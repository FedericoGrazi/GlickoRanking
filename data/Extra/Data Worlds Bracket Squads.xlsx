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ersonal Statistics\rcb\Ranking\data\Extra\Worlds\"/>
    </mc:Choice>
  </mc:AlternateContent>
  <xr:revisionPtr revIDLastSave="0" documentId="13_ncr:1_{22A1421C-EC9C-4623-83CD-E53A39F05C0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Women" sheetId="1" r:id="rId1"/>
    <sheet name="Men" sheetId="2" r:id="rId2"/>
    <sheet name="Full" sheetId="3" r:id="rId3"/>
    <sheet name="Updates" sheetId="4" r:id="rId4"/>
    <sheet name="Men 5-9" sheetId="5" state="hidden" r:id="rId5"/>
    <sheet name="Women 5-9" sheetId="6" state="hidden" r:id="rId6"/>
  </sheets>
  <definedNames>
    <definedName name="_xlnm._FilterDatabase" localSheetId="2" hidden="1">Full!$A$1:$K$1</definedName>
    <definedName name="_xlnm._FilterDatabase" localSheetId="1" hidden="1">Men!$A$1:$K$719</definedName>
    <definedName name="_xlnm._FilterDatabase" localSheetId="0" hidden="1">Women!$A$1:$K$546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4" i="3" l="1"/>
  <c r="P334" i="3"/>
  <c r="O334" i="3"/>
  <c r="N334" i="3"/>
  <c r="M334" i="3"/>
  <c r="R334" i="3" s="1"/>
  <c r="Q434" i="3"/>
  <c r="P434" i="3"/>
  <c r="O434" i="3"/>
  <c r="N434" i="3"/>
  <c r="M434" i="3"/>
  <c r="R434" i="3" s="1"/>
  <c r="Q433" i="3"/>
  <c r="P433" i="3"/>
  <c r="O433" i="3"/>
  <c r="R433" i="3" s="1"/>
  <c r="N433" i="3"/>
  <c r="M433" i="3"/>
  <c r="Q46" i="3"/>
  <c r="P46" i="3"/>
  <c r="O46" i="3"/>
  <c r="N46" i="3"/>
  <c r="M46" i="3"/>
  <c r="Q45" i="3"/>
  <c r="P45" i="3"/>
  <c r="O45" i="3"/>
  <c r="N45" i="3"/>
  <c r="M45" i="3"/>
  <c r="Q44" i="3"/>
  <c r="P44" i="3"/>
  <c r="O44" i="3"/>
  <c r="N44" i="3"/>
  <c r="M44" i="3"/>
  <c r="Q43" i="3"/>
  <c r="P43" i="3"/>
  <c r="O43" i="3"/>
  <c r="N43" i="3"/>
  <c r="M43" i="3"/>
  <c r="Q42" i="3"/>
  <c r="P42" i="3"/>
  <c r="O42" i="3"/>
  <c r="N42" i="3"/>
  <c r="M42" i="3"/>
  <c r="Q1090" i="3"/>
  <c r="Q1091" i="3"/>
  <c r="Q1092" i="3"/>
  <c r="Q1093" i="3"/>
  <c r="Q1094" i="3"/>
  <c r="Q1095" i="3"/>
  <c r="Q1096" i="3"/>
  <c r="Q1097" i="3"/>
  <c r="Q1098" i="3"/>
  <c r="Q1099" i="3"/>
  <c r="Q41" i="3"/>
  <c r="P41" i="3"/>
  <c r="O41" i="3"/>
  <c r="N41" i="3"/>
  <c r="M41" i="3"/>
  <c r="Q40" i="3"/>
  <c r="P40" i="3"/>
  <c r="O40" i="3"/>
  <c r="N40" i="3"/>
  <c r="M40" i="3"/>
  <c r="Q39" i="3"/>
  <c r="P39" i="3"/>
  <c r="O39" i="3"/>
  <c r="N39" i="3"/>
  <c r="M39" i="3"/>
  <c r="Q38" i="3"/>
  <c r="P38" i="3"/>
  <c r="O38" i="3"/>
  <c r="N38" i="3"/>
  <c r="M38" i="3"/>
  <c r="Q37" i="3"/>
  <c r="P37" i="3"/>
  <c r="O37" i="3"/>
  <c r="N37" i="3"/>
  <c r="M37" i="3"/>
  <c r="M705" i="3"/>
  <c r="N705" i="3"/>
  <c r="O705" i="3"/>
  <c r="P705" i="3"/>
  <c r="M706" i="3"/>
  <c r="N706" i="3"/>
  <c r="O706" i="3"/>
  <c r="P706" i="3"/>
  <c r="M707" i="3"/>
  <c r="N707" i="3"/>
  <c r="O707" i="3"/>
  <c r="P707" i="3"/>
  <c r="M708" i="3"/>
  <c r="N708" i="3"/>
  <c r="O708" i="3"/>
  <c r="P708" i="3"/>
  <c r="M709" i="3"/>
  <c r="N709" i="3"/>
  <c r="O709" i="3"/>
  <c r="P709" i="3"/>
  <c r="M1090" i="3"/>
  <c r="N1090" i="3"/>
  <c r="O1090" i="3"/>
  <c r="P1090" i="3"/>
  <c r="M1091" i="3"/>
  <c r="N1091" i="3"/>
  <c r="O1091" i="3"/>
  <c r="P1091" i="3"/>
  <c r="M1092" i="3"/>
  <c r="N1092" i="3"/>
  <c r="O1092" i="3"/>
  <c r="P1092" i="3"/>
  <c r="M1093" i="3"/>
  <c r="N1093" i="3"/>
  <c r="O1093" i="3"/>
  <c r="P1093" i="3"/>
  <c r="M1094" i="3"/>
  <c r="N1094" i="3"/>
  <c r="O1094" i="3"/>
  <c r="P1094" i="3"/>
  <c r="M1095" i="3"/>
  <c r="N1095" i="3"/>
  <c r="O1095" i="3"/>
  <c r="P1095" i="3"/>
  <c r="M1096" i="3"/>
  <c r="N1096" i="3"/>
  <c r="O1096" i="3"/>
  <c r="P1096" i="3"/>
  <c r="M1097" i="3"/>
  <c r="N1097" i="3"/>
  <c r="O1097" i="3"/>
  <c r="P1097" i="3"/>
  <c r="M1098" i="3"/>
  <c r="N1098" i="3"/>
  <c r="O1098" i="3"/>
  <c r="P1098" i="3"/>
  <c r="M1099" i="3"/>
  <c r="N1099" i="3"/>
  <c r="O1099" i="3"/>
  <c r="P1099" i="3"/>
  <c r="M710" i="3"/>
  <c r="N710" i="3"/>
  <c r="O710" i="3"/>
  <c r="P710" i="3"/>
  <c r="M711" i="3"/>
  <c r="N711" i="3"/>
  <c r="O711" i="3"/>
  <c r="P711" i="3"/>
  <c r="M712" i="3"/>
  <c r="N712" i="3"/>
  <c r="O712" i="3"/>
  <c r="P712" i="3"/>
  <c r="M713" i="3"/>
  <c r="N713" i="3"/>
  <c r="O713" i="3"/>
  <c r="P713" i="3"/>
  <c r="M714" i="3"/>
  <c r="N714" i="3"/>
  <c r="O714" i="3"/>
  <c r="P714" i="3"/>
  <c r="Q714" i="3"/>
  <c r="Q713" i="3"/>
  <c r="Q712" i="3"/>
  <c r="Q711" i="3"/>
  <c r="Q710" i="3"/>
  <c r="Q709" i="3"/>
  <c r="Q708" i="3"/>
  <c r="Q707" i="3"/>
  <c r="Q706" i="3"/>
  <c r="Q705" i="3"/>
  <c r="Q704" i="3"/>
  <c r="P704" i="3"/>
  <c r="O704" i="3"/>
  <c r="N704" i="3"/>
  <c r="M704" i="3"/>
  <c r="Q703" i="3"/>
  <c r="P703" i="3"/>
  <c r="O703" i="3"/>
  <c r="N703" i="3"/>
  <c r="M703" i="3"/>
  <c r="Q702" i="3"/>
  <c r="P702" i="3"/>
  <c r="O702" i="3"/>
  <c r="N702" i="3"/>
  <c r="M702" i="3"/>
  <c r="Q701" i="3"/>
  <c r="P701" i="3"/>
  <c r="O701" i="3"/>
  <c r="N701" i="3"/>
  <c r="M701" i="3"/>
  <c r="Q700" i="3"/>
  <c r="P700" i="3"/>
  <c r="O700" i="3"/>
  <c r="N700" i="3"/>
  <c r="M700" i="3"/>
  <c r="Q699" i="3"/>
  <c r="P699" i="3"/>
  <c r="O699" i="3"/>
  <c r="N699" i="3"/>
  <c r="M699" i="3"/>
  <c r="Q698" i="3"/>
  <c r="P698" i="3"/>
  <c r="O698" i="3"/>
  <c r="N698" i="3"/>
  <c r="M698" i="3"/>
  <c r="Q697" i="3"/>
  <c r="P697" i="3"/>
  <c r="O697" i="3"/>
  <c r="N697" i="3"/>
  <c r="M697" i="3"/>
  <c r="Q696" i="3"/>
  <c r="P696" i="3"/>
  <c r="O696" i="3"/>
  <c r="N696" i="3"/>
  <c r="M696" i="3"/>
  <c r="Q695" i="3"/>
  <c r="P695" i="3"/>
  <c r="O695" i="3"/>
  <c r="N695" i="3"/>
  <c r="M695" i="3"/>
  <c r="Q694" i="3"/>
  <c r="P694" i="3"/>
  <c r="O694" i="3"/>
  <c r="N694" i="3"/>
  <c r="M694" i="3"/>
  <c r="Q693" i="3"/>
  <c r="P693" i="3"/>
  <c r="O693" i="3"/>
  <c r="N693" i="3"/>
  <c r="M693" i="3"/>
  <c r="Q692" i="3"/>
  <c r="P692" i="3"/>
  <c r="O692" i="3"/>
  <c r="N692" i="3"/>
  <c r="M692" i="3"/>
  <c r="Q691" i="3"/>
  <c r="P691" i="3"/>
  <c r="O691" i="3"/>
  <c r="N691" i="3"/>
  <c r="M691" i="3"/>
  <c r="Q690" i="3"/>
  <c r="P690" i="3"/>
  <c r="O690" i="3"/>
  <c r="N690" i="3"/>
  <c r="M690" i="3"/>
  <c r="Q689" i="3"/>
  <c r="P689" i="3"/>
  <c r="O689" i="3"/>
  <c r="N689" i="3"/>
  <c r="M689" i="3"/>
  <c r="Q688" i="3"/>
  <c r="P688" i="3"/>
  <c r="O688" i="3"/>
  <c r="N688" i="3"/>
  <c r="M688" i="3"/>
  <c r="Q687" i="3"/>
  <c r="P687" i="3"/>
  <c r="O687" i="3"/>
  <c r="N687" i="3"/>
  <c r="M687" i="3"/>
  <c r="Q686" i="3"/>
  <c r="P686" i="3"/>
  <c r="O686" i="3"/>
  <c r="N686" i="3"/>
  <c r="M686" i="3"/>
  <c r="Q685" i="3"/>
  <c r="P685" i="3"/>
  <c r="O685" i="3"/>
  <c r="N685" i="3"/>
  <c r="M685" i="3"/>
  <c r="Q684" i="3"/>
  <c r="P684" i="3"/>
  <c r="O684" i="3"/>
  <c r="N684" i="3"/>
  <c r="M684" i="3"/>
  <c r="Q683" i="3"/>
  <c r="P683" i="3"/>
  <c r="O683" i="3"/>
  <c r="N683" i="3"/>
  <c r="M683" i="3"/>
  <c r="Q682" i="3"/>
  <c r="P682" i="3"/>
  <c r="O682" i="3"/>
  <c r="N682" i="3"/>
  <c r="M682" i="3"/>
  <c r="Q681" i="3"/>
  <c r="P681" i="3"/>
  <c r="O681" i="3"/>
  <c r="N681" i="3"/>
  <c r="M681" i="3"/>
  <c r="Q680" i="3"/>
  <c r="P680" i="3"/>
  <c r="O680" i="3"/>
  <c r="N680" i="3"/>
  <c r="M680" i="3"/>
  <c r="M675" i="3"/>
  <c r="N675" i="3"/>
  <c r="O675" i="3"/>
  <c r="P675" i="3"/>
  <c r="Q675" i="3"/>
  <c r="M676" i="3"/>
  <c r="N676" i="3"/>
  <c r="O676" i="3"/>
  <c r="P676" i="3"/>
  <c r="Q676" i="3"/>
  <c r="M677" i="3"/>
  <c r="N677" i="3"/>
  <c r="O677" i="3"/>
  <c r="P677" i="3"/>
  <c r="Q677" i="3"/>
  <c r="M678" i="3"/>
  <c r="N678" i="3"/>
  <c r="O678" i="3"/>
  <c r="P678" i="3"/>
  <c r="Q678" i="3"/>
  <c r="M679" i="3"/>
  <c r="N679" i="3"/>
  <c r="O679" i="3"/>
  <c r="P679" i="3"/>
  <c r="Q679" i="3"/>
  <c r="M671" i="3"/>
  <c r="N671" i="3"/>
  <c r="O671" i="3"/>
  <c r="P671" i="3"/>
  <c r="Q671" i="3"/>
  <c r="M672" i="3"/>
  <c r="N672" i="3"/>
  <c r="O672" i="3"/>
  <c r="P672" i="3"/>
  <c r="Q672" i="3"/>
  <c r="M673" i="3"/>
  <c r="N673" i="3"/>
  <c r="O673" i="3"/>
  <c r="P673" i="3"/>
  <c r="Q673" i="3"/>
  <c r="M674" i="3"/>
  <c r="N674" i="3"/>
  <c r="O674" i="3"/>
  <c r="P674" i="3"/>
  <c r="Q674" i="3"/>
  <c r="Q670" i="3"/>
  <c r="P670" i="3"/>
  <c r="O670" i="3"/>
  <c r="N670" i="3"/>
  <c r="M670" i="3"/>
  <c r="Q21" i="3"/>
  <c r="P21" i="3"/>
  <c r="O21" i="3"/>
  <c r="N21" i="3"/>
  <c r="M21" i="3"/>
  <c r="Q20" i="3"/>
  <c r="P20" i="3"/>
  <c r="O20" i="3"/>
  <c r="N20" i="3"/>
  <c r="M20" i="3"/>
  <c r="Q19" i="3"/>
  <c r="P19" i="3"/>
  <c r="O19" i="3"/>
  <c r="N19" i="3"/>
  <c r="M19" i="3"/>
  <c r="Q18" i="3"/>
  <c r="P18" i="3"/>
  <c r="O18" i="3"/>
  <c r="N18" i="3"/>
  <c r="M18" i="3"/>
  <c r="Q17" i="3"/>
  <c r="P17" i="3"/>
  <c r="O17" i="3"/>
  <c r="N17" i="3"/>
  <c r="M17" i="3"/>
  <c r="Q51" i="3"/>
  <c r="P51" i="3"/>
  <c r="O51" i="3"/>
  <c r="N51" i="3"/>
  <c r="M51" i="3"/>
  <c r="Q50" i="3"/>
  <c r="P50" i="3"/>
  <c r="O50" i="3"/>
  <c r="N50" i="3"/>
  <c r="M50" i="3"/>
  <c r="Q49" i="3"/>
  <c r="P49" i="3"/>
  <c r="O49" i="3"/>
  <c r="N49" i="3"/>
  <c r="M49" i="3"/>
  <c r="Q48" i="3"/>
  <c r="P48" i="3"/>
  <c r="O48" i="3"/>
  <c r="N48" i="3"/>
  <c r="M48" i="3"/>
  <c r="Q47" i="3"/>
  <c r="P47" i="3"/>
  <c r="O47" i="3"/>
  <c r="N47" i="3"/>
  <c r="M47" i="3"/>
  <c r="Q16" i="3"/>
  <c r="P16" i="3"/>
  <c r="O16" i="3"/>
  <c r="N16" i="3"/>
  <c r="M16" i="3"/>
  <c r="Q15" i="3"/>
  <c r="P15" i="3"/>
  <c r="O15" i="3"/>
  <c r="N15" i="3"/>
  <c r="M15" i="3"/>
  <c r="Q14" i="3"/>
  <c r="P14" i="3"/>
  <c r="O14" i="3"/>
  <c r="N14" i="3"/>
  <c r="M14" i="3"/>
  <c r="Q13" i="3"/>
  <c r="P13" i="3"/>
  <c r="O13" i="3"/>
  <c r="N13" i="3"/>
  <c r="M13" i="3"/>
  <c r="Q12" i="3"/>
  <c r="P12" i="3"/>
  <c r="O12" i="3"/>
  <c r="N12" i="3"/>
  <c r="M12" i="3"/>
  <c r="Q11" i="3"/>
  <c r="P11" i="3"/>
  <c r="O11" i="3"/>
  <c r="N11" i="3"/>
  <c r="M11" i="3"/>
  <c r="Q10" i="3"/>
  <c r="P10" i="3"/>
  <c r="O10" i="3"/>
  <c r="N10" i="3"/>
  <c r="M10" i="3"/>
  <c r="Q9" i="3"/>
  <c r="P9" i="3"/>
  <c r="O9" i="3"/>
  <c r="N9" i="3"/>
  <c r="M9" i="3"/>
  <c r="Q8" i="3"/>
  <c r="P8" i="3"/>
  <c r="O8" i="3"/>
  <c r="N8" i="3"/>
  <c r="M8" i="3"/>
  <c r="Q7" i="3"/>
  <c r="P7" i="3"/>
  <c r="O7" i="3"/>
  <c r="N7" i="3"/>
  <c r="M7" i="3"/>
  <c r="Q6" i="3"/>
  <c r="P6" i="3"/>
  <c r="O6" i="3"/>
  <c r="N6" i="3"/>
  <c r="M6" i="3"/>
  <c r="Q5" i="3"/>
  <c r="P5" i="3"/>
  <c r="O5" i="3"/>
  <c r="N5" i="3"/>
  <c r="M5" i="3"/>
  <c r="Q4" i="3"/>
  <c r="P4" i="3"/>
  <c r="O4" i="3"/>
  <c r="N4" i="3"/>
  <c r="M4" i="3"/>
  <c r="Q3" i="3"/>
  <c r="P3" i="3"/>
  <c r="O3" i="3"/>
  <c r="N3" i="3"/>
  <c r="M3" i="3"/>
  <c r="Q2" i="3"/>
  <c r="P2" i="3"/>
  <c r="O2" i="3"/>
  <c r="N2" i="3"/>
  <c r="M2" i="3"/>
  <c r="Q669" i="3"/>
  <c r="P669" i="3"/>
  <c r="O669" i="3"/>
  <c r="N669" i="3"/>
  <c r="M669" i="3"/>
  <c r="Q668" i="3"/>
  <c r="P668" i="3"/>
  <c r="O668" i="3"/>
  <c r="N668" i="3"/>
  <c r="M668" i="3"/>
  <c r="Q667" i="3"/>
  <c r="P667" i="3"/>
  <c r="O667" i="3"/>
  <c r="N667" i="3"/>
  <c r="M667" i="3"/>
  <c r="Q666" i="3"/>
  <c r="P666" i="3"/>
  <c r="O666" i="3"/>
  <c r="N666" i="3"/>
  <c r="M666" i="3"/>
  <c r="Q665" i="3"/>
  <c r="P665" i="3"/>
  <c r="O665" i="3"/>
  <c r="N665" i="3"/>
  <c r="M665" i="3"/>
  <c r="Q664" i="3"/>
  <c r="P664" i="3"/>
  <c r="O664" i="3"/>
  <c r="N664" i="3"/>
  <c r="M664" i="3"/>
  <c r="Q663" i="3"/>
  <c r="P663" i="3"/>
  <c r="O663" i="3"/>
  <c r="N663" i="3"/>
  <c r="M663" i="3"/>
  <c r="Q662" i="3"/>
  <c r="P662" i="3"/>
  <c r="O662" i="3"/>
  <c r="N662" i="3"/>
  <c r="M662" i="3"/>
  <c r="Q661" i="3"/>
  <c r="P661" i="3"/>
  <c r="O661" i="3"/>
  <c r="N661" i="3"/>
  <c r="M661" i="3"/>
  <c r="Q660" i="3"/>
  <c r="P660" i="3"/>
  <c r="O660" i="3"/>
  <c r="N660" i="3"/>
  <c r="M660" i="3"/>
  <c r="Q659" i="3"/>
  <c r="P659" i="3"/>
  <c r="O659" i="3"/>
  <c r="N659" i="3"/>
  <c r="M659" i="3"/>
  <c r="Q658" i="3"/>
  <c r="P658" i="3"/>
  <c r="O658" i="3"/>
  <c r="N658" i="3"/>
  <c r="M658" i="3"/>
  <c r="Q657" i="3"/>
  <c r="P657" i="3"/>
  <c r="O657" i="3"/>
  <c r="N657" i="3"/>
  <c r="M657" i="3"/>
  <c r="Q656" i="3"/>
  <c r="P656" i="3"/>
  <c r="O656" i="3"/>
  <c r="N656" i="3"/>
  <c r="M656" i="3"/>
  <c r="Q655" i="3"/>
  <c r="P655" i="3"/>
  <c r="O655" i="3"/>
  <c r="N655" i="3"/>
  <c r="M655" i="3"/>
  <c r="Q654" i="3"/>
  <c r="P654" i="3"/>
  <c r="O654" i="3"/>
  <c r="N654" i="3"/>
  <c r="M654" i="3"/>
  <c r="Q653" i="3"/>
  <c r="P653" i="3"/>
  <c r="O653" i="3"/>
  <c r="N653" i="3"/>
  <c r="M653" i="3"/>
  <c r="Q652" i="3"/>
  <c r="P652" i="3"/>
  <c r="O652" i="3"/>
  <c r="N652" i="3"/>
  <c r="M652" i="3"/>
  <c r="Q651" i="3"/>
  <c r="P651" i="3"/>
  <c r="O651" i="3"/>
  <c r="N651" i="3"/>
  <c r="M651" i="3"/>
  <c r="Q650" i="3"/>
  <c r="P650" i="3"/>
  <c r="O650" i="3"/>
  <c r="N650" i="3"/>
  <c r="M650" i="3"/>
  <c r="Q36" i="3"/>
  <c r="P36" i="3"/>
  <c r="O36" i="3"/>
  <c r="N36" i="3"/>
  <c r="M36" i="3"/>
  <c r="Q35" i="3"/>
  <c r="P35" i="3"/>
  <c r="O35" i="3"/>
  <c r="N35" i="3"/>
  <c r="M35" i="3"/>
  <c r="Q34" i="3"/>
  <c r="P34" i="3"/>
  <c r="O34" i="3"/>
  <c r="N34" i="3"/>
  <c r="M34" i="3"/>
  <c r="Q33" i="3"/>
  <c r="P33" i="3"/>
  <c r="O33" i="3"/>
  <c r="N33" i="3"/>
  <c r="M33" i="3"/>
  <c r="Q32" i="3"/>
  <c r="P32" i="3"/>
  <c r="O32" i="3"/>
  <c r="N32" i="3"/>
  <c r="M32" i="3"/>
  <c r="Q31" i="3"/>
  <c r="P31" i="3"/>
  <c r="O31" i="3"/>
  <c r="N31" i="3"/>
  <c r="M31" i="3"/>
  <c r="Q30" i="3"/>
  <c r="P30" i="3"/>
  <c r="O30" i="3"/>
  <c r="N30" i="3"/>
  <c r="M30" i="3"/>
  <c r="Q29" i="3"/>
  <c r="P29" i="3"/>
  <c r="O29" i="3"/>
  <c r="N29" i="3"/>
  <c r="M29" i="3"/>
  <c r="Q28" i="3"/>
  <c r="P28" i="3"/>
  <c r="O28" i="3"/>
  <c r="N28" i="3"/>
  <c r="M28" i="3"/>
  <c r="Q27" i="3"/>
  <c r="P27" i="3"/>
  <c r="O27" i="3"/>
  <c r="N27" i="3"/>
  <c r="M27" i="3"/>
  <c r="Q26" i="3"/>
  <c r="P26" i="3"/>
  <c r="O26" i="3"/>
  <c r="N26" i="3"/>
  <c r="M26" i="3"/>
  <c r="Q25" i="3"/>
  <c r="P25" i="3"/>
  <c r="O25" i="3"/>
  <c r="N25" i="3"/>
  <c r="M25" i="3"/>
  <c r="Q24" i="3"/>
  <c r="P24" i="3"/>
  <c r="O24" i="3"/>
  <c r="N24" i="3"/>
  <c r="M24" i="3"/>
  <c r="Q23" i="3"/>
  <c r="P23" i="3"/>
  <c r="O23" i="3"/>
  <c r="N23" i="3"/>
  <c r="M23" i="3"/>
  <c r="Q22" i="3"/>
  <c r="P22" i="3"/>
  <c r="O22" i="3"/>
  <c r="N22" i="3"/>
  <c r="M22" i="3"/>
  <c r="Q151" i="3"/>
  <c r="P151" i="3"/>
  <c r="O151" i="3"/>
  <c r="N151" i="3"/>
  <c r="M151" i="3"/>
  <c r="Q150" i="3"/>
  <c r="P150" i="3"/>
  <c r="O150" i="3"/>
  <c r="N150" i="3"/>
  <c r="M150" i="3"/>
  <c r="Q149" i="3"/>
  <c r="P149" i="3"/>
  <c r="O149" i="3"/>
  <c r="N149" i="3"/>
  <c r="M149" i="3"/>
  <c r="Q148" i="3"/>
  <c r="P148" i="3"/>
  <c r="O148" i="3"/>
  <c r="N148" i="3"/>
  <c r="M148" i="3"/>
  <c r="Q147" i="3"/>
  <c r="P147" i="3"/>
  <c r="O147" i="3"/>
  <c r="N147" i="3"/>
  <c r="M147" i="3"/>
  <c r="Q146" i="3"/>
  <c r="P146" i="3"/>
  <c r="O146" i="3"/>
  <c r="N146" i="3"/>
  <c r="M146" i="3"/>
  <c r="Q145" i="3"/>
  <c r="P145" i="3"/>
  <c r="O145" i="3"/>
  <c r="N145" i="3"/>
  <c r="M145" i="3"/>
  <c r="Q144" i="3"/>
  <c r="P144" i="3"/>
  <c r="O144" i="3"/>
  <c r="N144" i="3"/>
  <c r="M144" i="3"/>
  <c r="Q143" i="3"/>
  <c r="P143" i="3"/>
  <c r="O143" i="3"/>
  <c r="N143" i="3"/>
  <c r="M143" i="3"/>
  <c r="Q142" i="3"/>
  <c r="P142" i="3"/>
  <c r="O142" i="3"/>
  <c r="N142" i="3"/>
  <c r="M142" i="3"/>
  <c r="Q141" i="3"/>
  <c r="P141" i="3"/>
  <c r="O141" i="3"/>
  <c r="N141" i="3"/>
  <c r="M141" i="3"/>
  <c r="Q140" i="3"/>
  <c r="P140" i="3"/>
  <c r="O140" i="3"/>
  <c r="N140" i="3"/>
  <c r="M140" i="3"/>
  <c r="Q139" i="3"/>
  <c r="P139" i="3"/>
  <c r="O139" i="3"/>
  <c r="N139" i="3"/>
  <c r="M139" i="3"/>
  <c r="Q138" i="3"/>
  <c r="P138" i="3"/>
  <c r="O138" i="3"/>
  <c r="N138" i="3"/>
  <c r="M138" i="3"/>
  <c r="Q137" i="3"/>
  <c r="P137" i="3"/>
  <c r="O137" i="3"/>
  <c r="N137" i="3"/>
  <c r="M137" i="3"/>
  <c r="Q136" i="3"/>
  <c r="P136" i="3"/>
  <c r="O136" i="3"/>
  <c r="N136" i="3"/>
  <c r="M136" i="3"/>
  <c r="Q135" i="3"/>
  <c r="P135" i="3"/>
  <c r="O135" i="3"/>
  <c r="N135" i="3"/>
  <c r="M135" i="3"/>
  <c r="Q134" i="3"/>
  <c r="P134" i="3"/>
  <c r="O134" i="3"/>
  <c r="N134" i="3"/>
  <c r="M134" i="3"/>
  <c r="Q133" i="3"/>
  <c r="P133" i="3"/>
  <c r="O133" i="3"/>
  <c r="N133" i="3"/>
  <c r="M133" i="3"/>
  <c r="Q132" i="3"/>
  <c r="P132" i="3"/>
  <c r="O132" i="3"/>
  <c r="N132" i="3"/>
  <c r="M132" i="3"/>
  <c r="Q131" i="3"/>
  <c r="P131" i="3"/>
  <c r="O131" i="3"/>
  <c r="N131" i="3"/>
  <c r="M131" i="3"/>
  <c r="Q130" i="3"/>
  <c r="P130" i="3"/>
  <c r="O130" i="3"/>
  <c r="N130" i="3"/>
  <c r="M130" i="3"/>
  <c r="Q129" i="3"/>
  <c r="P129" i="3"/>
  <c r="O129" i="3"/>
  <c r="N129" i="3"/>
  <c r="M129" i="3"/>
  <c r="Q128" i="3"/>
  <c r="P128" i="3"/>
  <c r="O128" i="3"/>
  <c r="N128" i="3"/>
  <c r="M128" i="3"/>
  <c r="Q127" i="3"/>
  <c r="P127" i="3"/>
  <c r="O127" i="3"/>
  <c r="N127" i="3"/>
  <c r="M127" i="3"/>
  <c r="Q126" i="3"/>
  <c r="P126" i="3"/>
  <c r="O126" i="3"/>
  <c r="N126" i="3"/>
  <c r="M126" i="3"/>
  <c r="Q125" i="3"/>
  <c r="P125" i="3"/>
  <c r="O125" i="3"/>
  <c r="N125" i="3"/>
  <c r="M125" i="3"/>
  <c r="Q124" i="3"/>
  <c r="P124" i="3"/>
  <c r="O124" i="3"/>
  <c r="N124" i="3"/>
  <c r="M124" i="3"/>
  <c r="Q123" i="3"/>
  <c r="P123" i="3"/>
  <c r="O123" i="3"/>
  <c r="N123" i="3"/>
  <c r="M123" i="3"/>
  <c r="Q122" i="3"/>
  <c r="P122" i="3"/>
  <c r="O122" i="3"/>
  <c r="N122" i="3"/>
  <c r="M122" i="3"/>
  <c r="Q121" i="3"/>
  <c r="P121" i="3"/>
  <c r="O121" i="3"/>
  <c r="N121" i="3"/>
  <c r="M121" i="3"/>
  <c r="Q120" i="3"/>
  <c r="P120" i="3"/>
  <c r="O120" i="3"/>
  <c r="N120" i="3"/>
  <c r="M120" i="3"/>
  <c r="Q119" i="3"/>
  <c r="P119" i="3"/>
  <c r="O119" i="3"/>
  <c r="N119" i="3"/>
  <c r="M119" i="3"/>
  <c r="Q118" i="3"/>
  <c r="P118" i="3"/>
  <c r="O118" i="3"/>
  <c r="N118" i="3"/>
  <c r="M118" i="3"/>
  <c r="Q117" i="3"/>
  <c r="P117" i="3"/>
  <c r="O117" i="3"/>
  <c r="N117" i="3"/>
  <c r="M117" i="3"/>
  <c r="Q116" i="3"/>
  <c r="P116" i="3"/>
  <c r="O116" i="3"/>
  <c r="N116" i="3"/>
  <c r="M116" i="3"/>
  <c r="Q115" i="3"/>
  <c r="P115" i="3"/>
  <c r="O115" i="3"/>
  <c r="N115" i="3"/>
  <c r="M115" i="3"/>
  <c r="Q114" i="3"/>
  <c r="P114" i="3"/>
  <c r="O114" i="3"/>
  <c r="N114" i="3"/>
  <c r="M114" i="3"/>
  <c r="Q113" i="3"/>
  <c r="P113" i="3"/>
  <c r="O113" i="3"/>
  <c r="N113" i="3"/>
  <c r="M113" i="3"/>
  <c r="Q112" i="3"/>
  <c r="P112" i="3"/>
  <c r="O112" i="3"/>
  <c r="N112" i="3"/>
  <c r="M112" i="3"/>
  <c r="M107" i="3"/>
  <c r="N107" i="3"/>
  <c r="O107" i="3"/>
  <c r="P107" i="3"/>
  <c r="M108" i="3"/>
  <c r="N108" i="3"/>
  <c r="O108" i="3"/>
  <c r="P108" i="3"/>
  <c r="M109" i="3"/>
  <c r="N109" i="3"/>
  <c r="O109" i="3"/>
  <c r="P109" i="3"/>
  <c r="M110" i="3"/>
  <c r="N110" i="3"/>
  <c r="O110" i="3"/>
  <c r="P110" i="3"/>
  <c r="M111" i="3"/>
  <c r="N111" i="3"/>
  <c r="O111" i="3"/>
  <c r="P111" i="3"/>
  <c r="Q111" i="3"/>
  <c r="Q110" i="3"/>
  <c r="Q109" i="3"/>
  <c r="Q108" i="3"/>
  <c r="Q107" i="3"/>
  <c r="Q106" i="3"/>
  <c r="P106" i="3"/>
  <c r="O106" i="3"/>
  <c r="N106" i="3"/>
  <c r="M106" i="3"/>
  <c r="Q105" i="3"/>
  <c r="P105" i="3"/>
  <c r="O105" i="3"/>
  <c r="N105" i="3"/>
  <c r="M105" i="3"/>
  <c r="Q104" i="3"/>
  <c r="P104" i="3"/>
  <c r="O104" i="3"/>
  <c r="N104" i="3"/>
  <c r="M104" i="3"/>
  <c r="Q103" i="3"/>
  <c r="P103" i="3"/>
  <c r="O103" i="3"/>
  <c r="N103" i="3"/>
  <c r="M103" i="3"/>
  <c r="Q102" i="3"/>
  <c r="P102" i="3"/>
  <c r="O102" i="3"/>
  <c r="N102" i="3"/>
  <c r="M102" i="3"/>
  <c r="Q101" i="3"/>
  <c r="P101" i="3"/>
  <c r="O101" i="3"/>
  <c r="N101" i="3"/>
  <c r="M101" i="3"/>
  <c r="Q100" i="3"/>
  <c r="P100" i="3"/>
  <c r="O100" i="3"/>
  <c r="N100" i="3"/>
  <c r="M100" i="3"/>
  <c r="Q99" i="3"/>
  <c r="P99" i="3"/>
  <c r="O99" i="3"/>
  <c r="N99" i="3"/>
  <c r="M99" i="3"/>
  <c r="Q98" i="3"/>
  <c r="P98" i="3"/>
  <c r="O98" i="3"/>
  <c r="N98" i="3"/>
  <c r="M98" i="3"/>
  <c r="Q97" i="3"/>
  <c r="P97" i="3"/>
  <c r="O97" i="3"/>
  <c r="N97" i="3"/>
  <c r="M97" i="3"/>
  <c r="Q96" i="3"/>
  <c r="P96" i="3"/>
  <c r="O96" i="3"/>
  <c r="N96" i="3"/>
  <c r="M96" i="3"/>
  <c r="Q95" i="3"/>
  <c r="P95" i="3"/>
  <c r="O95" i="3"/>
  <c r="N95" i="3"/>
  <c r="M95" i="3"/>
  <c r="Q94" i="3"/>
  <c r="P94" i="3"/>
  <c r="O94" i="3"/>
  <c r="N94" i="3"/>
  <c r="M94" i="3"/>
  <c r="Q93" i="3"/>
  <c r="P93" i="3"/>
  <c r="O93" i="3"/>
  <c r="N93" i="3"/>
  <c r="M93" i="3"/>
  <c r="Q92" i="3"/>
  <c r="P92" i="3"/>
  <c r="O92" i="3"/>
  <c r="N92" i="3"/>
  <c r="M92" i="3"/>
  <c r="Q91" i="3"/>
  <c r="P91" i="3"/>
  <c r="O91" i="3"/>
  <c r="N91" i="3"/>
  <c r="M91" i="3"/>
  <c r="Q90" i="3"/>
  <c r="P90" i="3"/>
  <c r="O90" i="3"/>
  <c r="N90" i="3"/>
  <c r="M90" i="3"/>
  <c r="Q89" i="3"/>
  <c r="P89" i="3"/>
  <c r="O89" i="3"/>
  <c r="N89" i="3"/>
  <c r="M89" i="3"/>
  <c r="Q88" i="3"/>
  <c r="P88" i="3"/>
  <c r="O88" i="3"/>
  <c r="N88" i="3"/>
  <c r="M88" i="3"/>
  <c r="Q87" i="3"/>
  <c r="P87" i="3"/>
  <c r="O87" i="3"/>
  <c r="N87" i="3"/>
  <c r="M87" i="3"/>
  <c r="Q86" i="3"/>
  <c r="P86" i="3"/>
  <c r="O86" i="3"/>
  <c r="N86" i="3"/>
  <c r="M86" i="3"/>
  <c r="Q85" i="3"/>
  <c r="P85" i="3"/>
  <c r="O85" i="3"/>
  <c r="N85" i="3"/>
  <c r="M85" i="3"/>
  <c r="Q84" i="3"/>
  <c r="P84" i="3"/>
  <c r="O84" i="3"/>
  <c r="N84" i="3"/>
  <c r="M84" i="3"/>
  <c r="Q83" i="3"/>
  <c r="P83" i="3"/>
  <c r="O83" i="3"/>
  <c r="N83" i="3"/>
  <c r="M83" i="3"/>
  <c r="Q82" i="3"/>
  <c r="P82" i="3"/>
  <c r="O82" i="3"/>
  <c r="N82" i="3"/>
  <c r="M82" i="3"/>
  <c r="Q81" i="3"/>
  <c r="P81" i="3"/>
  <c r="O81" i="3"/>
  <c r="N81" i="3"/>
  <c r="M81" i="3"/>
  <c r="Q80" i="3"/>
  <c r="P80" i="3"/>
  <c r="O80" i="3"/>
  <c r="N80" i="3"/>
  <c r="M80" i="3"/>
  <c r="Q79" i="3"/>
  <c r="P79" i="3"/>
  <c r="O79" i="3"/>
  <c r="N79" i="3"/>
  <c r="M79" i="3"/>
  <c r="Q78" i="3"/>
  <c r="P78" i="3"/>
  <c r="O78" i="3"/>
  <c r="N78" i="3"/>
  <c r="M78" i="3"/>
  <c r="Q77" i="3"/>
  <c r="P77" i="3"/>
  <c r="O77" i="3"/>
  <c r="N77" i="3"/>
  <c r="M77" i="3"/>
  <c r="Q76" i="3"/>
  <c r="P76" i="3"/>
  <c r="O76" i="3"/>
  <c r="N76" i="3"/>
  <c r="M76" i="3"/>
  <c r="Q75" i="3"/>
  <c r="P75" i="3"/>
  <c r="O75" i="3"/>
  <c r="N75" i="3"/>
  <c r="M75" i="3"/>
  <c r="Q74" i="3"/>
  <c r="P74" i="3"/>
  <c r="O74" i="3"/>
  <c r="N74" i="3"/>
  <c r="M74" i="3"/>
  <c r="Q73" i="3"/>
  <c r="P73" i="3"/>
  <c r="O73" i="3"/>
  <c r="N73" i="3"/>
  <c r="M73" i="3"/>
  <c r="Q72" i="3"/>
  <c r="P72" i="3"/>
  <c r="O72" i="3"/>
  <c r="N72" i="3"/>
  <c r="M72" i="3"/>
  <c r="Q71" i="3"/>
  <c r="P71" i="3"/>
  <c r="O71" i="3"/>
  <c r="N71" i="3"/>
  <c r="M71" i="3"/>
  <c r="Q70" i="3"/>
  <c r="P70" i="3"/>
  <c r="O70" i="3"/>
  <c r="N70" i="3"/>
  <c r="M70" i="3"/>
  <c r="Q69" i="3"/>
  <c r="P69" i="3"/>
  <c r="O69" i="3"/>
  <c r="N69" i="3"/>
  <c r="M69" i="3"/>
  <c r="Q68" i="3"/>
  <c r="P68" i="3"/>
  <c r="O68" i="3"/>
  <c r="N68" i="3"/>
  <c r="M68" i="3"/>
  <c r="Q67" i="3"/>
  <c r="P67" i="3"/>
  <c r="O67" i="3"/>
  <c r="N67" i="3"/>
  <c r="M67" i="3"/>
  <c r="Q66" i="3"/>
  <c r="P66" i="3"/>
  <c r="O66" i="3"/>
  <c r="N66" i="3"/>
  <c r="M66" i="3"/>
  <c r="Q65" i="3"/>
  <c r="P65" i="3"/>
  <c r="O65" i="3"/>
  <c r="N65" i="3"/>
  <c r="M65" i="3"/>
  <c r="Q64" i="3"/>
  <c r="P64" i="3"/>
  <c r="O64" i="3"/>
  <c r="N64" i="3"/>
  <c r="M64" i="3"/>
  <c r="Q63" i="3"/>
  <c r="P63" i="3"/>
  <c r="O63" i="3"/>
  <c r="N63" i="3"/>
  <c r="M63" i="3"/>
  <c r="Q62" i="3"/>
  <c r="P62" i="3"/>
  <c r="O62" i="3"/>
  <c r="N62" i="3"/>
  <c r="M62" i="3"/>
  <c r="M53" i="3"/>
  <c r="N53" i="3"/>
  <c r="O53" i="3"/>
  <c r="P53" i="3"/>
  <c r="Q53" i="3"/>
  <c r="M54" i="3"/>
  <c r="N54" i="3"/>
  <c r="O54" i="3"/>
  <c r="P54" i="3"/>
  <c r="Q54" i="3"/>
  <c r="M55" i="3"/>
  <c r="N55" i="3"/>
  <c r="O55" i="3"/>
  <c r="P55" i="3"/>
  <c r="Q55" i="3"/>
  <c r="M56" i="3"/>
  <c r="N56" i="3"/>
  <c r="O56" i="3"/>
  <c r="P56" i="3"/>
  <c r="Q56" i="3"/>
  <c r="M57" i="3"/>
  <c r="N57" i="3"/>
  <c r="O57" i="3"/>
  <c r="P57" i="3"/>
  <c r="Q57" i="3"/>
  <c r="M58" i="3"/>
  <c r="N58" i="3"/>
  <c r="O58" i="3"/>
  <c r="P58" i="3"/>
  <c r="Q58" i="3"/>
  <c r="M59" i="3"/>
  <c r="N59" i="3"/>
  <c r="O59" i="3"/>
  <c r="P59" i="3"/>
  <c r="Q59" i="3"/>
  <c r="M60" i="3"/>
  <c r="N60" i="3"/>
  <c r="O60" i="3"/>
  <c r="P60" i="3"/>
  <c r="Q60" i="3"/>
  <c r="M61" i="3"/>
  <c r="N61" i="3"/>
  <c r="O61" i="3"/>
  <c r="P61" i="3"/>
  <c r="Q61" i="3"/>
  <c r="O52" i="3"/>
  <c r="P52" i="3"/>
  <c r="M52" i="3"/>
  <c r="N52" i="3"/>
  <c r="Q52" i="3"/>
  <c r="I2" i="4" a="1"/>
  <c r="B2" i="4" a="1"/>
  <c r="H2" i="4" a="1"/>
  <c r="H2" i="4" s="1"/>
  <c r="J30" i="4" s="1"/>
  <c r="A2" i="4" a="1"/>
  <c r="A2" i="4" s="1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5" i="3"/>
  <c r="Q436" i="3"/>
  <c r="Q437" i="3"/>
  <c r="Q438" i="3"/>
  <c r="Q439" i="3"/>
  <c r="Q440" i="3"/>
  <c r="Q441" i="3"/>
  <c r="Q442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463" i="3"/>
  <c r="Q464" i="3"/>
  <c r="Q465" i="3"/>
  <c r="Q466" i="3"/>
  <c r="Q467" i="3"/>
  <c r="Q468" i="3"/>
  <c r="Q469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568" i="3"/>
  <c r="M569" i="3"/>
  <c r="N569" i="3"/>
  <c r="O569" i="3"/>
  <c r="P569" i="3"/>
  <c r="M570" i="3"/>
  <c r="N570" i="3"/>
  <c r="O570" i="3"/>
  <c r="P570" i="3"/>
  <c r="M571" i="3"/>
  <c r="N571" i="3"/>
  <c r="O571" i="3"/>
  <c r="P571" i="3"/>
  <c r="M572" i="3"/>
  <c r="N572" i="3"/>
  <c r="O572" i="3"/>
  <c r="P572" i="3"/>
  <c r="M573" i="3"/>
  <c r="N573" i="3"/>
  <c r="O573" i="3"/>
  <c r="P573" i="3"/>
  <c r="M574" i="3"/>
  <c r="N574" i="3"/>
  <c r="O574" i="3"/>
  <c r="P574" i="3"/>
  <c r="M575" i="3"/>
  <c r="N575" i="3"/>
  <c r="O575" i="3"/>
  <c r="P575" i="3"/>
  <c r="M576" i="3"/>
  <c r="N576" i="3"/>
  <c r="O576" i="3"/>
  <c r="P576" i="3"/>
  <c r="M577" i="3"/>
  <c r="N577" i="3"/>
  <c r="O577" i="3"/>
  <c r="P577" i="3"/>
  <c r="M578" i="3"/>
  <c r="N578" i="3"/>
  <c r="O578" i="3"/>
  <c r="P578" i="3"/>
  <c r="M579" i="3"/>
  <c r="N579" i="3"/>
  <c r="O579" i="3"/>
  <c r="P579" i="3"/>
  <c r="M580" i="3"/>
  <c r="N580" i="3"/>
  <c r="O580" i="3"/>
  <c r="P580" i="3"/>
  <c r="M581" i="3"/>
  <c r="N581" i="3"/>
  <c r="O581" i="3"/>
  <c r="P581" i="3"/>
  <c r="M582" i="3"/>
  <c r="N582" i="3"/>
  <c r="O582" i="3"/>
  <c r="P582" i="3"/>
  <c r="M583" i="3"/>
  <c r="N583" i="3"/>
  <c r="O583" i="3"/>
  <c r="P583" i="3"/>
  <c r="M584" i="3"/>
  <c r="N584" i="3"/>
  <c r="O584" i="3"/>
  <c r="P584" i="3"/>
  <c r="M585" i="3"/>
  <c r="N585" i="3"/>
  <c r="O585" i="3"/>
  <c r="P585" i="3"/>
  <c r="M586" i="3"/>
  <c r="N586" i="3"/>
  <c r="O586" i="3"/>
  <c r="P586" i="3"/>
  <c r="M587" i="3"/>
  <c r="N587" i="3"/>
  <c r="O587" i="3"/>
  <c r="P587" i="3"/>
  <c r="M588" i="3"/>
  <c r="N588" i="3"/>
  <c r="O588" i="3"/>
  <c r="P588" i="3"/>
  <c r="M589" i="3"/>
  <c r="N589" i="3"/>
  <c r="O589" i="3"/>
  <c r="P589" i="3"/>
  <c r="M590" i="3"/>
  <c r="N590" i="3"/>
  <c r="O590" i="3"/>
  <c r="P590" i="3"/>
  <c r="M591" i="3"/>
  <c r="N591" i="3"/>
  <c r="O591" i="3"/>
  <c r="P591" i="3"/>
  <c r="M592" i="3"/>
  <c r="N592" i="3"/>
  <c r="O592" i="3"/>
  <c r="P592" i="3"/>
  <c r="M593" i="3"/>
  <c r="N593" i="3"/>
  <c r="O593" i="3"/>
  <c r="P593" i="3"/>
  <c r="M594" i="3"/>
  <c r="N594" i="3"/>
  <c r="O594" i="3"/>
  <c r="P594" i="3"/>
  <c r="M595" i="3"/>
  <c r="N595" i="3"/>
  <c r="O595" i="3"/>
  <c r="P595" i="3"/>
  <c r="M596" i="3"/>
  <c r="N596" i="3"/>
  <c r="O596" i="3"/>
  <c r="P596" i="3"/>
  <c r="M597" i="3"/>
  <c r="N597" i="3"/>
  <c r="O597" i="3"/>
  <c r="P597" i="3"/>
  <c r="M598" i="3"/>
  <c r="N598" i="3"/>
  <c r="O598" i="3"/>
  <c r="P598" i="3"/>
  <c r="M599" i="3"/>
  <c r="N599" i="3"/>
  <c r="O599" i="3"/>
  <c r="P599" i="3"/>
  <c r="M600" i="3"/>
  <c r="N600" i="3"/>
  <c r="O600" i="3"/>
  <c r="P600" i="3"/>
  <c r="M601" i="3"/>
  <c r="N601" i="3"/>
  <c r="O601" i="3"/>
  <c r="P601" i="3"/>
  <c r="M602" i="3"/>
  <c r="N602" i="3"/>
  <c r="O602" i="3"/>
  <c r="P602" i="3"/>
  <c r="M603" i="3"/>
  <c r="N603" i="3"/>
  <c r="O603" i="3"/>
  <c r="P603" i="3"/>
  <c r="M604" i="3"/>
  <c r="N604" i="3"/>
  <c r="O604" i="3"/>
  <c r="P604" i="3"/>
  <c r="M605" i="3"/>
  <c r="N605" i="3"/>
  <c r="O605" i="3"/>
  <c r="P605" i="3"/>
  <c r="M606" i="3"/>
  <c r="N606" i="3"/>
  <c r="O606" i="3"/>
  <c r="P606" i="3"/>
  <c r="M607" i="3"/>
  <c r="N607" i="3"/>
  <c r="O607" i="3"/>
  <c r="P607" i="3"/>
  <c r="M608" i="3"/>
  <c r="N608" i="3"/>
  <c r="O608" i="3"/>
  <c r="P608" i="3"/>
  <c r="M609" i="3"/>
  <c r="N609" i="3"/>
  <c r="O609" i="3"/>
  <c r="P609" i="3"/>
  <c r="M610" i="3"/>
  <c r="N610" i="3"/>
  <c r="O610" i="3"/>
  <c r="P610" i="3"/>
  <c r="M611" i="3"/>
  <c r="N611" i="3"/>
  <c r="O611" i="3"/>
  <c r="P611" i="3"/>
  <c r="M612" i="3"/>
  <c r="N612" i="3"/>
  <c r="O612" i="3"/>
  <c r="P612" i="3"/>
  <c r="M613" i="3"/>
  <c r="N613" i="3"/>
  <c r="O613" i="3"/>
  <c r="P613" i="3"/>
  <c r="M614" i="3"/>
  <c r="N614" i="3"/>
  <c r="O614" i="3"/>
  <c r="P614" i="3"/>
  <c r="M615" i="3"/>
  <c r="N615" i="3"/>
  <c r="O615" i="3"/>
  <c r="P615" i="3"/>
  <c r="M616" i="3"/>
  <c r="N616" i="3"/>
  <c r="O616" i="3"/>
  <c r="P616" i="3"/>
  <c r="M617" i="3"/>
  <c r="N617" i="3"/>
  <c r="O617" i="3"/>
  <c r="P617" i="3"/>
  <c r="M618" i="3"/>
  <c r="N618" i="3"/>
  <c r="O618" i="3"/>
  <c r="P618" i="3"/>
  <c r="M619" i="3"/>
  <c r="N619" i="3"/>
  <c r="O619" i="3"/>
  <c r="P619" i="3"/>
  <c r="M620" i="3"/>
  <c r="N620" i="3"/>
  <c r="O620" i="3"/>
  <c r="P620" i="3"/>
  <c r="M621" i="3"/>
  <c r="N621" i="3"/>
  <c r="O621" i="3"/>
  <c r="P621" i="3"/>
  <c r="M622" i="3"/>
  <c r="N622" i="3"/>
  <c r="O622" i="3"/>
  <c r="P622" i="3"/>
  <c r="M623" i="3"/>
  <c r="N623" i="3"/>
  <c r="O623" i="3"/>
  <c r="P623" i="3"/>
  <c r="M624" i="3"/>
  <c r="N624" i="3"/>
  <c r="O624" i="3"/>
  <c r="P624" i="3"/>
  <c r="M625" i="3"/>
  <c r="N625" i="3"/>
  <c r="O625" i="3"/>
  <c r="P625" i="3"/>
  <c r="M626" i="3"/>
  <c r="N626" i="3"/>
  <c r="O626" i="3"/>
  <c r="P626" i="3"/>
  <c r="M627" i="3"/>
  <c r="N627" i="3"/>
  <c r="O627" i="3"/>
  <c r="P627" i="3"/>
  <c r="M628" i="3"/>
  <c r="N628" i="3"/>
  <c r="O628" i="3"/>
  <c r="P628" i="3"/>
  <c r="M629" i="3"/>
  <c r="N629" i="3"/>
  <c r="O629" i="3"/>
  <c r="P629" i="3"/>
  <c r="M630" i="3"/>
  <c r="N630" i="3"/>
  <c r="O630" i="3"/>
  <c r="P630" i="3"/>
  <c r="M631" i="3"/>
  <c r="N631" i="3"/>
  <c r="O631" i="3"/>
  <c r="P631" i="3"/>
  <c r="M632" i="3"/>
  <c r="N632" i="3"/>
  <c r="O632" i="3"/>
  <c r="P632" i="3"/>
  <c r="M633" i="3"/>
  <c r="N633" i="3"/>
  <c r="O633" i="3"/>
  <c r="P633" i="3"/>
  <c r="M634" i="3"/>
  <c r="N634" i="3"/>
  <c r="O634" i="3"/>
  <c r="P634" i="3"/>
  <c r="M635" i="3"/>
  <c r="N635" i="3"/>
  <c r="O635" i="3"/>
  <c r="P635" i="3"/>
  <c r="M636" i="3"/>
  <c r="N636" i="3"/>
  <c r="O636" i="3"/>
  <c r="P636" i="3"/>
  <c r="M637" i="3"/>
  <c r="N637" i="3"/>
  <c r="O637" i="3"/>
  <c r="P637" i="3"/>
  <c r="M638" i="3"/>
  <c r="N638" i="3"/>
  <c r="O638" i="3"/>
  <c r="P638" i="3"/>
  <c r="M639" i="3"/>
  <c r="N639" i="3"/>
  <c r="O639" i="3"/>
  <c r="P639" i="3"/>
  <c r="M640" i="3"/>
  <c r="N640" i="3"/>
  <c r="O640" i="3"/>
  <c r="P640" i="3"/>
  <c r="M641" i="3"/>
  <c r="N641" i="3"/>
  <c r="O641" i="3"/>
  <c r="P641" i="3"/>
  <c r="M642" i="3"/>
  <c r="N642" i="3"/>
  <c r="O642" i="3"/>
  <c r="P642" i="3"/>
  <c r="M643" i="3"/>
  <c r="N643" i="3"/>
  <c r="O643" i="3"/>
  <c r="P643" i="3"/>
  <c r="M644" i="3"/>
  <c r="N644" i="3"/>
  <c r="O644" i="3"/>
  <c r="P644" i="3"/>
  <c r="M645" i="3"/>
  <c r="N645" i="3"/>
  <c r="O645" i="3"/>
  <c r="P645" i="3"/>
  <c r="M646" i="3"/>
  <c r="N646" i="3"/>
  <c r="O646" i="3"/>
  <c r="P646" i="3"/>
  <c r="M647" i="3"/>
  <c r="N647" i="3"/>
  <c r="O647" i="3"/>
  <c r="P647" i="3"/>
  <c r="M648" i="3"/>
  <c r="N648" i="3"/>
  <c r="O648" i="3"/>
  <c r="P648" i="3"/>
  <c r="M649" i="3"/>
  <c r="N649" i="3"/>
  <c r="O649" i="3"/>
  <c r="P649" i="3"/>
  <c r="M287" i="3"/>
  <c r="N287" i="3"/>
  <c r="O287" i="3"/>
  <c r="P287" i="3"/>
  <c r="M288" i="3"/>
  <c r="N288" i="3"/>
  <c r="O288" i="3"/>
  <c r="P288" i="3"/>
  <c r="M289" i="3"/>
  <c r="N289" i="3"/>
  <c r="O289" i="3"/>
  <c r="P289" i="3"/>
  <c r="M290" i="3"/>
  <c r="N290" i="3"/>
  <c r="O290" i="3"/>
  <c r="P290" i="3"/>
  <c r="M291" i="3"/>
  <c r="N291" i="3"/>
  <c r="O291" i="3"/>
  <c r="P291" i="3"/>
  <c r="M292" i="3"/>
  <c r="N292" i="3"/>
  <c r="O292" i="3"/>
  <c r="P292" i="3"/>
  <c r="M293" i="3"/>
  <c r="N293" i="3"/>
  <c r="O293" i="3"/>
  <c r="P293" i="3"/>
  <c r="M294" i="3"/>
  <c r="N294" i="3"/>
  <c r="O294" i="3"/>
  <c r="P294" i="3"/>
  <c r="M295" i="3"/>
  <c r="N295" i="3"/>
  <c r="O295" i="3"/>
  <c r="P295" i="3"/>
  <c r="M296" i="3"/>
  <c r="N296" i="3"/>
  <c r="O296" i="3"/>
  <c r="P296" i="3"/>
  <c r="M297" i="3"/>
  <c r="N297" i="3"/>
  <c r="O297" i="3"/>
  <c r="P297" i="3"/>
  <c r="M298" i="3"/>
  <c r="N298" i="3"/>
  <c r="O298" i="3"/>
  <c r="P298" i="3"/>
  <c r="M299" i="3"/>
  <c r="N299" i="3"/>
  <c r="O299" i="3"/>
  <c r="P299" i="3"/>
  <c r="M300" i="3"/>
  <c r="N300" i="3"/>
  <c r="O300" i="3"/>
  <c r="P300" i="3"/>
  <c r="M301" i="3"/>
  <c r="N301" i="3"/>
  <c r="O301" i="3"/>
  <c r="P301" i="3"/>
  <c r="M302" i="3"/>
  <c r="N302" i="3"/>
  <c r="O302" i="3"/>
  <c r="P302" i="3"/>
  <c r="M303" i="3"/>
  <c r="N303" i="3"/>
  <c r="O303" i="3"/>
  <c r="P303" i="3"/>
  <c r="M304" i="3"/>
  <c r="N304" i="3"/>
  <c r="O304" i="3"/>
  <c r="P304" i="3"/>
  <c r="M305" i="3"/>
  <c r="N305" i="3"/>
  <c r="O305" i="3"/>
  <c r="P305" i="3"/>
  <c r="M306" i="3"/>
  <c r="N306" i="3"/>
  <c r="O306" i="3"/>
  <c r="P306" i="3"/>
  <c r="M307" i="3"/>
  <c r="N307" i="3"/>
  <c r="O307" i="3"/>
  <c r="P307" i="3"/>
  <c r="M308" i="3"/>
  <c r="N308" i="3"/>
  <c r="O308" i="3"/>
  <c r="P308" i="3"/>
  <c r="M309" i="3"/>
  <c r="N309" i="3"/>
  <c r="O309" i="3"/>
  <c r="P309" i="3"/>
  <c r="M310" i="3"/>
  <c r="N310" i="3"/>
  <c r="O310" i="3"/>
  <c r="P310" i="3"/>
  <c r="M311" i="3"/>
  <c r="N311" i="3"/>
  <c r="O311" i="3"/>
  <c r="P311" i="3"/>
  <c r="M312" i="3"/>
  <c r="N312" i="3"/>
  <c r="O312" i="3"/>
  <c r="P312" i="3"/>
  <c r="M313" i="3"/>
  <c r="N313" i="3"/>
  <c r="O313" i="3"/>
  <c r="P313" i="3"/>
  <c r="M314" i="3"/>
  <c r="N314" i="3"/>
  <c r="O314" i="3"/>
  <c r="P314" i="3"/>
  <c r="M315" i="3"/>
  <c r="N315" i="3"/>
  <c r="O315" i="3"/>
  <c r="P315" i="3"/>
  <c r="M316" i="3"/>
  <c r="N316" i="3"/>
  <c r="O316" i="3"/>
  <c r="P316" i="3"/>
  <c r="M317" i="3"/>
  <c r="N317" i="3"/>
  <c r="O317" i="3"/>
  <c r="P317" i="3"/>
  <c r="M318" i="3"/>
  <c r="N318" i="3"/>
  <c r="O318" i="3"/>
  <c r="P318" i="3"/>
  <c r="M319" i="3"/>
  <c r="N319" i="3"/>
  <c r="O319" i="3"/>
  <c r="P319" i="3"/>
  <c r="M320" i="3"/>
  <c r="N320" i="3"/>
  <c r="O320" i="3"/>
  <c r="P320" i="3"/>
  <c r="M321" i="3"/>
  <c r="N321" i="3"/>
  <c r="O321" i="3"/>
  <c r="P321" i="3"/>
  <c r="M322" i="3"/>
  <c r="N322" i="3"/>
  <c r="O322" i="3"/>
  <c r="P322" i="3"/>
  <c r="M323" i="3"/>
  <c r="N323" i="3"/>
  <c r="O323" i="3"/>
  <c r="P323" i="3"/>
  <c r="M324" i="3"/>
  <c r="N324" i="3"/>
  <c r="O324" i="3"/>
  <c r="P324" i="3"/>
  <c r="M325" i="3"/>
  <c r="N325" i="3"/>
  <c r="O325" i="3"/>
  <c r="P325" i="3"/>
  <c r="M326" i="3"/>
  <c r="N326" i="3"/>
  <c r="O326" i="3"/>
  <c r="P326" i="3"/>
  <c r="M327" i="3"/>
  <c r="N327" i="3"/>
  <c r="O327" i="3"/>
  <c r="P327" i="3"/>
  <c r="M328" i="3"/>
  <c r="N328" i="3"/>
  <c r="O328" i="3"/>
  <c r="P328" i="3"/>
  <c r="M329" i="3"/>
  <c r="N329" i="3"/>
  <c r="O329" i="3"/>
  <c r="P329" i="3"/>
  <c r="M330" i="3"/>
  <c r="N330" i="3"/>
  <c r="O330" i="3"/>
  <c r="P330" i="3"/>
  <c r="M331" i="3"/>
  <c r="N331" i="3"/>
  <c r="O331" i="3"/>
  <c r="P331" i="3"/>
  <c r="M332" i="3"/>
  <c r="N332" i="3"/>
  <c r="O332" i="3"/>
  <c r="P332" i="3"/>
  <c r="M333" i="3"/>
  <c r="N333" i="3"/>
  <c r="O333" i="3"/>
  <c r="P333" i="3"/>
  <c r="M335" i="3"/>
  <c r="N335" i="3"/>
  <c r="O335" i="3"/>
  <c r="P335" i="3"/>
  <c r="M336" i="3"/>
  <c r="N336" i="3"/>
  <c r="O336" i="3"/>
  <c r="P336" i="3"/>
  <c r="M337" i="3"/>
  <c r="N337" i="3"/>
  <c r="O337" i="3"/>
  <c r="P337" i="3"/>
  <c r="M338" i="3"/>
  <c r="N338" i="3"/>
  <c r="O338" i="3"/>
  <c r="P338" i="3"/>
  <c r="M339" i="3"/>
  <c r="N339" i="3"/>
  <c r="O339" i="3"/>
  <c r="P339" i="3"/>
  <c r="M340" i="3"/>
  <c r="N340" i="3"/>
  <c r="O340" i="3"/>
  <c r="P340" i="3"/>
  <c r="M341" i="3"/>
  <c r="N341" i="3"/>
  <c r="O341" i="3"/>
  <c r="P341" i="3"/>
  <c r="M342" i="3"/>
  <c r="N342" i="3"/>
  <c r="O342" i="3"/>
  <c r="P342" i="3"/>
  <c r="M343" i="3"/>
  <c r="N343" i="3"/>
  <c r="O343" i="3"/>
  <c r="P343" i="3"/>
  <c r="M344" i="3"/>
  <c r="N344" i="3"/>
  <c r="O344" i="3"/>
  <c r="P344" i="3"/>
  <c r="M345" i="3"/>
  <c r="N345" i="3"/>
  <c r="O345" i="3"/>
  <c r="P345" i="3"/>
  <c r="M346" i="3"/>
  <c r="N346" i="3"/>
  <c r="O346" i="3"/>
  <c r="P346" i="3"/>
  <c r="M347" i="3"/>
  <c r="N347" i="3"/>
  <c r="O347" i="3"/>
  <c r="P347" i="3"/>
  <c r="M348" i="3"/>
  <c r="N348" i="3"/>
  <c r="O348" i="3"/>
  <c r="P348" i="3"/>
  <c r="M349" i="3"/>
  <c r="N349" i="3"/>
  <c r="O349" i="3"/>
  <c r="P349" i="3"/>
  <c r="M350" i="3"/>
  <c r="N350" i="3"/>
  <c r="O350" i="3"/>
  <c r="P350" i="3"/>
  <c r="M351" i="3"/>
  <c r="N351" i="3"/>
  <c r="O351" i="3"/>
  <c r="P351" i="3"/>
  <c r="M352" i="3"/>
  <c r="N352" i="3"/>
  <c r="O352" i="3"/>
  <c r="P352" i="3"/>
  <c r="M353" i="3"/>
  <c r="N353" i="3"/>
  <c r="O353" i="3"/>
  <c r="P353" i="3"/>
  <c r="M354" i="3"/>
  <c r="N354" i="3"/>
  <c r="O354" i="3"/>
  <c r="P354" i="3"/>
  <c r="M355" i="3"/>
  <c r="N355" i="3"/>
  <c r="O355" i="3"/>
  <c r="P355" i="3"/>
  <c r="M356" i="3"/>
  <c r="N356" i="3"/>
  <c r="O356" i="3"/>
  <c r="P356" i="3"/>
  <c r="M357" i="3"/>
  <c r="N357" i="3"/>
  <c r="O357" i="3"/>
  <c r="P357" i="3"/>
  <c r="M358" i="3"/>
  <c r="N358" i="3"/>
  <c r="O358" i="3"/>
  <c r="P358" i="3"/>
  <c r="M359" i="3"/>
  <c r="N359" i="3"/>
  <c r="O359" i="3"/>
  <c r="P359" i="3"/>
  <c r="M360" i="3"/>
  <c r="N360" i="3"/>
  <c r="O360" i="3"/>
  <c r="P360" i="3"/>
  <c r="M361" i="3"/>
  <c r="N361" i="3"/>
  <c r="O361" i="3"/>
  <c r="P361" i="3"/>
  <c r="M362" i="3"/>
  <c r="N362" i="3"/>
  <c r="O362" i="3"/>
  <c r="P362" i="3"/>
  <c r="M363" i="3"/>
  <c r="N363" i="3"/>
  <c r="O363" i="3"/>
  <c r="P363" i="3"/>
  <c r="M364" i="3"/>
  <c r="N364" i="3"/>
  <c r="O364" i="3"/>
  <c r="P364" i="3"/>
  <c r="M365" i="3"/>
  <c r="N365" i="3"/>
  <c r="O365" i="3"/>
  <c r="P365" i="3"/>
  <c r="M366" i="3"/>
  <c r="N366" i="3"/>
  <c r="O366" i="3"/>
  <c r="P366" i="3"/>
  <c r="M367" i="3"/>
  <c r="N367" i="3"/>
  <c r="O367" i="3"/>
  <c r="P367" i="3"/>
  <c r="M368" i="3"/>
  <c r="N368" i="3"/>
  <c r="O368" i="3"/>
  <c r="P368" i="3"/>
  <c r="M369" i="3"/>
  <c r="N369" i="3"/>
  <c r="O369" i="3"/>
  <c r="P369" i="3"/>
  <c r="M370" i="3"/>
  <c r="N370" i="3"/>
  <c r="O370" i="3"/>
  <c r="P370" i="3"/>
  <c r="M371" i="3"/>
  <c r="N371" i="3"/>
  <c r="O371" i="3"/>
  <c r="P371" i="3"/>
  <c r="M372" i="3"/>
  <c r="N372" i="3"/>
  <c r="O372" i="3"/>
  <c r="P372" i="3"/>
  <c r="M373" i="3"/>
  <c r="N373" i="3"/>
  <c r="O373" i="3"/>
  <c r="P373" i="3"/>
  <c r="M374" i="3"/>
  <c r="N374" i="3"/>
  <c r="O374" i="3"/>
  <c r="P374" i="3"/>
  <c r="M152" i="3"/>
  <c r="N152" i="3"/>
  <c r="O152" i="3"/>
  <c r="P152" i="3"/>
  <c r="M153" i="3"/>
  <c r="N153" i="3"/>
  <c r="O153" i="3"/>
  <c r="P153" i="3"/>
  <c r="M154" i="3"/>
  <c r="N154" i="3"/>
  <c r="O154" i="3"/>
  <c r="P154" i="3"/>
  <c r="M155" i="3"/>
  <c r="N155" i="3"/>
  <c r="O155" i="3"/>
  <c r="P155" i="3"/>
  <c r="M156" i="3"/>
  <c r="N156" i="3"/>
  <c r="O156" i="3"/>
  <c r="P156" i="3"/>
  <c r="M157" i="3"/>
  <c r="N157" i="3"/>
  <c r="O157" i="3"/>
  <c r="P157" i="3"/>
  <c r="M158" i="3"/>
  <c r="N158" i="3"/>
  <c r="O158" i="3"/>
  <c r="P158" i="3"/>
  <c r="M159" i="3"/>
  <c r="N159" i="3"/>
  <c r="O159" i="3"/>
  <c r="P159" i="3"/>
  <c r="M160" i="3"/>
  <c r="N160" i="3"/>
  <c r="O160" i="3"/>
  <c r="P160" i="3"/>
  <c r="M161" i="3"/>
  <c r="N161" i="3"/>
  <c r="O161" i="3"/>
  <c r="P161" i="3"/>
  <c r="M162" i="3"/>
  <c r="N162" i="3"/>
  <c r="O162" i="3"/>
  <c r="P162" i="3"/>
  <c r="M163" i="3"/>
  <c r="N163" i="3"/>
  <c r="O163" i="3"/>
  <c r="P163" i="3"/>
  <c r="M164" i="3"/>
  <c r="N164" i="3"/>
  <c r="O164" i="3"/>
  <c r="P164" i="3"/>
  <c r="M165" i="3"/>
  <c r="N165" i="3"/>
  <c r="O165" i="3"/>
  <c r="P165" i="3"/>
  <c r="M166" i="3"/>
  <c r="N166" i="3"/>
  <c r="O166" i="3"/>
  <c r="P166" i="3"/>
  <c r="M167" i="3"/>
  <c r="N167" i="3"/>
  <c r="O167" i="3"/>
  <c r="P167" i="3"/>
  <c r="M168" i="3"/>
  <c r="N168" i="3"/>
  <c r="O168" i="3"/>
  <c r="P168" i="3"/>
  <c r="M169" i="3"/>
  <c r="N169" i="3"/>
  <c r="O169" i="3"/>
  <c r="P169" i="3"/>
  <c r="M170" i="3"/>
  <c r="N170" i="3"/>
  <c r="O170" i="3"/>
  <c r="P170" i="3"/>
  <c r="M171" i="3"/>
  <c r="N171" i="3"/>
  <c r="O171" i="3"/>
  <c r="P171" i="3"/>
  <c r="M172" i="3"/>
  <c r="N172" i="3"/>
  <c r="O172" i="3"/>
  <c r="P172" i="3"/>
  <c r="M173" i="3"/>
  <c r="N173" i="3"/>
  <c r="O173" i="3"/>
  <c r="P173" i="3"/>
  <c r="M174" i="3"/>
  <c r="N174" i="3"/>
  <c r="O174" i="3"/>
  <c r="P174" i="3"/>
  <c r="M175" i="3"/>
  <c r="N175" i="3"/>
  <c r="O175" i="3"/>
  <c r="P175" i="3"/>
  <c r="M176" i="3"/>
  <c r="N176" i="3"/>
  <c r="O176" i="3"/>
  <c r="P176" i="3"/>
  <c r="M177" i="3"/>
  <c r="N177" i="3"/>
  <c r="O177" i="3"/>
  <c r="P177" i="3"/>
  <c r="M178" i="3"/>
  <c r="N178" i="3"/>
  <c r="O178" i="3"/>
  <c r="P178" i="3"/>
  <c r="M179" i="3"/>
  <c r="N179" i="3"/>
  <c r="O179" i="3"/>
  <c r="P179" i="3"/>
  <c r="M180" i="3"/>
  <c r="N180" i="3"/>
  <c r="O180" i="3"/>
  <c r="P180" i="3"/>
  <c r="M181" i="3"/>
  <c r="N181" i="3"/>
  <c r="O181" i="3"/>
  <c r="P181" i="3"/>
  <c r="M182" i="3"/>
  <c r="N182" i="3"/>
  <c r="O182" i="3"/>
  <c r="P182" i="3"/>
  <c r="M183" i="3"/>
  <c r="N183" i="3"/>
  <c r="O183" i="3"/>
  <c r="P183" i="3"/>
  <c r="M184" i="3"/>
  <c r="N184" i="3"/>
  <c r="O184" i="3"/>
  <c r="P184" i="3"/>
  <c r="M185" i="3"/>
  <c r="N185" i="3"/>
  <c r="O185" i="3"/>
  <c r="P185" i="3"/>
  <c r="M186" i="3"/>
  <c r="N186" i="3"/>
  <c r="O186" i="3"/>
  <c r="P186" i="3"/>
  <c r="M187" i="3"/>
  <c r="N187" i="3"/>
  <c r="O187" i="3"/>
  <c r="P187" i="3"/>
  <c r="M188" i="3"/>
  <c r="N188" i="3"/>
  <c r="O188" i="3"/>
  <c r="P188" i="3"/>
  <c r="M189" i="3"/>
  <c r="N189" i="3"/>
  <c r="O189" i="3"/>
  <c r="P189" i="3"/>
  <c r="M190" i="3"/>
  <c r="N190" i="3"/>
  <c r="O190" i="3"/>
  <c r="P190" i="3"/>
  <c r="M191" i="3"/>
  <c r="N191" i="3"/>
  <c r="O191" i="3"/>
  <c r="P191" i="3"/>
  <c r="M192" i="3"/>
  <c r="N192" i="3"/>
  <c r="O192" i="3"/>
  <c r="P192" i="3"/>
  <c r="M193" i="3"/>
  <c r="N193" i="3"/>
  <c r="O193" i="3"/>
  <c r="P193" i="3"/>
  <c r="M194" i="3"/>
  <c r="N194" i="3"/>
  <c r="O194" i="3"/>
  <c r="P194" i="3"/>
  <c r="M195" i="3"/>
  <c r="N195" i="3"/>
  <c r="O195" i="3"/>
  <c r="P195" i="3"/>
  <c r="M196" i="3"/>
  <c r="N196" i="3"/>
  <c r="O196" i="3"/>
  <c r="P196" i="3"/>
  <c r="M197" i="3"/>
  <c r="N197" i="3"/>
  <c r="O197" i="3"/>
  <c r="P197" i="3"/>
  <c r="M198" i="3"/>
  <c r="N198" i="3"/>
  <c r="O198" i="3"/>
  <c r="P198" i="3"/>
  <c r="M199" i="3"/>
  <c r="N199" i="3"/>
  <c r="O199" i="3"/>
  <c r="P199" i="3"/>
  <c r="M200" i="3"/>
  <c r="N200" i="3"/>
  <c r="O200" i="3"/>
  <c r="P200" i="3"/>
  <c r="M201" i="3"/>
  <c r="N201" i="3"/>
  <c r="O201" i="3"/>
  <c r="P201" i="3"/>
  <c r="M202" i="3"/>
  <c r="N202" i="3"/>
  <c r="O202" i="3"/>
  <c r="P202" i="3"/>
  <c r="M203" i="3"/>
  <c r="N203" i="3"/>
  <c r="O203" i="3"/>
  <c r="P203" i="3"/>
  <c r="M204" i="3"/>
  <c r="N204" i="3"/>
  <c r="O204" i="3"/>
  <c r="P204" i="3"/>
  <c r="M205" i="3"/>
  <c r="N205" i="3"/>
  <c r="O205" i="3"/>
  <c r="P205" i="3"/>
  <c r="M206" i="3"/>
  <c r="N206" i="3"/>
  <c r="O206" i="3"/>
  <c r="P206" i="3"/>
  <c r="M207" i="3"/>
  <c r="N207" i="3"/>
  <c r="O207" i="3"/>
  <c r="P207" i="3"/>
  <c r="M208" i="3"/>
  <c r="N208" i="3"/>
  <c r="O208" i="3"/>
  <c r="P208" i="3"/>
  <c r="M209" i="3"/>
  <c r="N209" i="3"/>
  <c r="O209" i="3"/>
  <c r="P209" i="3"/>
  <c r="M210" i="3"/>
  <c r="N210" i="3"/>
  <c r="O210" i="3"/>
  <c r="P210" i="3"/>
  <c r="M211" i="3"/>
  <c r="N211" i="3"/>
  <c r="O211" i="3"/>
  <c r="P211" i="3"/>
  <c r="M212" i="3"/>
  <c r="N212" i="3"/>
  <c r="O212" i="3"/>
  <c r="P212" i="3"/>
  <c r="M213" i="3"/>
  <c r="N213" i="3"/>
  <c r="O213" i="3"/>
  <c r="P213" i="3"/>
  <c r="M214" i="3"/>
  <c r="N214" i="3"/>
  <c r="O214" i="3"/>
  <c r="P214" i="3"/>
  <c r="M215" i="3"/>
  <c r="N215" i="3"/>
  <c r="O215" i="3"/>
  <c r="P215" i="3"/>
  <c r="M216" i="3"/>
  <c r="N216" i="3"/>
  <c r="O216" i="3"/>
  <c r="P216" i="3"/>
  <c r="M217" i="3"/>
  <c r="N217" i="3"/>
  <c r="O217" i="3"/>
  <c r="P217" i="3"/>
  <c r="M218" i="3"/>
  <c r="N218" i="3"/>
  <c r="O218" i="3"/>
  <c r="P218" i="3"/>
  <c r="M219" i="3"/>
  <c r="N219" i="3"/>
  <c r="O219" i="3"/>
  <c r="P219" i="3"/>
  <c r="M220" i="3"/>
  <c r="N220" i="3"/>
  <c r="O220" i="3"/>
  <c r="P220" i="3"/>
  <c r="M221" i="3"/>
  <c r="N221" i="3"/>
  <c r="O221" i="3"/>
  <c r="P221" i="3"/>
  <c r="M222" i="3"/>
  <c r="N222" i="3"/>
  <c r="O222" i="3"/>
  <c r="P222" i="3"/>
  <c r="M223" i="3"/>
  <c r="N223" i="3"/>
  <c r="O223" i="3"/>
  <c r="P223" i="3"/>
  <c r="M224" i="3"/>
  <c r="N224" i="3"/>
  <c r="O224" i="3"/>
  <c r="P224" i="3"/>
  <c r="M225" i="3"/>
  <c r="N225" i="3"/>
  <c r="O225" i="3"/>
  <c r="P225" i="3"/>
  <c r="M226" i="3"/>
  <c r="N226" i="3"/>
  <c r="O226" i="3"/>
  <c r="P226" i="3"/>
  <c r="M227" i="3"/>
  <c r="N227" i="3"/>
  <c r="O227" i="3"/>
  <c r="P227" i="3"/>
  <c r="M228" i="3"/>
  <c r="N228" i="3"/>
  <c r="O228" i="3"/>
  <c r="P228" i="3"/>
  <c r="M229" i="3"/>
  <c r="N229" i="3"/>
  <c r="O229" i="3"/>
  <c r="P229" i="3"/>
  <c r="M230" i="3"/>
  <c r="N230" i="3"/>
  <c r="O230" i="3"/>
  <c r="P230" i="3"/>
  <c r="M231" i="3"/>
  <c r="N231" i="3"/>
  <c r="O231" i="3"/>
  <c r="P231" i="3"/>
  <c r="M232" i="3"/>
  <c r="N232" i="3"/>
  <c r="O232" i="3"/>
  <c r="P232" i="3"/>
  <c r="M233" i="3"/>
  <c r="N233" i="3"/>
  <c r="O233" i="3"/>
  <c r="P233" i="3"/>
  <c r="M234" i="3"/>
  <c r="N234" i="3"/>
  <c r="O234" i="3"/>
  <c r="P234" i="3"/>
  <c r="M235" i="3"/>
  <c r="N235" i="3"/>
  <c r="O235" i="3"/>
  <c r="P235" i="3"/>
  <c r="M236" i="3"/>
  <c r="N236" i="3"/>
  <c r="O236" i="3"/>
  <c r="P236" i="3"/>
  <c r="M237" i="3"/>
  <c r="N237" i="3"/>
  <c r="O237" i="3"/>
  <c r="P237" i="3"/>
  <c r="M238" i="3"/>
  <c r="N238" i="3"/>
  <c r="O238" i="3"/>
  <c r="P238" i="3"/>
  <c r="M239" i="3"/>
  <c r="N239" i="3"/>
  <c r="O239" i="3"/>
  <c r="P239" i="3"/>
  <c r="M240" i="3"/>
  <c r="N240" i="3"/>
  <c r="O240" i="3"/>
  <c r="P240" i="3"/>
  <c r="M241" i="3"/>
  <c r="N241" i="3"/>
  <c r="O241" i="3"/>
  <c r="P241" i="3"/>
  <c r="M242" i="3"/>
  <c r="N242" i="3"/>
  <c r="O242" i="3"/>
  <c r="P242" i="3"/>
  <c r="M243" i="3"/>
  <c r="N243" i="3"/>
  <c r="O243" i="3"/>
  <c r="P243" i="3"/>
  <c r="M244" i="3"/>
  <c r="N244" i="3"/>
  <c r="O244" i="3"/>
  <c r="P244" i="3"/>
  <c r="M245" i="3"/>
  <c r="N245" i="3"/>
  <c r="O245" i="3"/>
  <c r="P245" i="3"/>
  <c r="M246" i="3"/>
  <c r="N246" i="3"/>
  <c r="O246" i="3"/>
  <c r="P246" i="3"/>
  <c r="M247" i="3"/>
  <c r="N247" i="3"/>
  <c r="O247" i="3"/>
  <c r="P247" i="3"/>
  <c r="M248" i="3"/>
  <c r="N248" i="3"/>
  <c r="O248" i="3"/>
  <c r="P248" i="3"/>
  <c r="M249" i="3"/>
  <c r="N249" i="3"/>
  <c r="O249" i="3"/>
  <c r="P249" i="3"/>
  <c r="M250" i="3"/>
  <c r="N250" i="3"/>
  <c r="O250" i="3"/>
  <c r="P250" i="3"/>
  <c r="M251" i="3"/>
  <c r="N251" i="3"/>
  <c r="O251" i="3"/>
  <c r="P251" i="3"/>
  <c r="M252" i="3"/>
  <c r="N252" i="3"/>
  <c r="O252" i="3"/>
  <c r="P252" i="3"/>
  <c r="M253" i="3"/>
  <c r="N253" i="3"/>
  <c r="O253" i="3"/>
  <c r="P253" i="3"/>
  <c r="M254" i="3"/>
  <c r="N254" i="3"/>
  <c r="O254" i="3"/>
  <c r="P254" i="3"/>
  <c r="M255" i="3"/>
  <c r="N255" i="3"/>
  <c r="O255" i="3"/>
  <c r="P255" i="3"/>
  <c r="M256" i="3"/>
  <c r="N256" i="3"/>
  <c r="O256" i="3"/>
  <c r="P256" i="3"/>
  <c r="M257" i="3"/>
  <c r="N257" i="3"/>
  <c r="O257" i="3"/>
  <c r="P257" i="3"/>
  <c r="M258" i="3"/>
  <c r="N258" i="3"/>
  <c r="O258" i="3"/>
  <c r="P258" i="3"/>
  <c r="M259" i="3"/>
  <c r="N259" i="3"/>
  <c r="O259" i="3"/>
  <c r="P259" i="3"/>
  <c r="M260" i="3"/>
  <c r="N260" i="3"/>
  <c r="O260" i="3"/>
  <c r="P260" i="3"/>
  <c r="M261" i="3"/>
  <c r="N261" i="3"/>
  <c r="O261" i="3"/>
  <c r="P261" i="3"/>
  <c r="M262" i="3"/>
  <c r="N262" i="3"/>
  <c r="O262" i="3"/>
  <c r="P262" i="3"/>
  <c r="M263" i="3"/>
  <c r="N263" i="3"/>
  <c r="O263" i="3"/>
  <c r="P263" i="3"/>
  <c r="M264" i="3"/>
  <c r="N264" i="3"/>
  <c r="O264" i="3"/>
  <c r="P264" i="3"/>
  <c r="M265" i="3"/>
  <c r="N265" i="3"/>
  <c r="O265" i="3"/>
  <c r="P265" i="3"/>
  <c r="M266" i="3"/>
  <c r="N266" i="3"/>
  <c r="O266" i="3"/>
  <c r="P266" i="3"/>
  <c r="M267" i="3"/>
  <c r="N267" i="3"/>
  <c r="O267" i="3"/>
  <c r="P267" i="3"/>
  <c r="M268" i="3"/>
  <c r="N268" i="3"/>
  <c r="O268" i="3"/>
  <c r="P268" i="3"/>
  <c r="M269" i="3"/>
  <c r="N269" i="3"/>
  <c r="O269" i="3"/>
  <c r="P269" i="3"/>
  <c r="M270" i="3"/>
  <c r="N270" i="3"/>
  <c r="O270" i="3"/>
  <c r="P270" i="3"/>
  <c r="M271" i="3"/>
  <c r="N271" i="3"/>
  <c r="O271" i="3"/>
  <c r="P271" i="3"/>
  <c r="M272" i="3"/>
  <c r="N272" i="3"/>
  <c r="O272" i="3"/>
  <c r="P272" i="3"/>
  <c r="M273" i="3"/>
  <c r="N273" i="3"/>
  <c r="O273" i="3"/>
  <c r="P273" i="3"/>
  <c r="M274" i="3"/>
  <c r="N274" i="3"/>
  <c r="O274" i="3"/>
  <c r="P274" i="3"/>
  <c r="M275" i="3"/>
  <c r="N275" i="3"/>
  <c r="O275" i="3"/>
  <c r="P275" i="3"/>
  <c r="M276" i="3"/>
  <c r="N276" i="3"/>
  <c r="O276" i="3"/>
  <c r="P276" i="3"/>
  <c r="M277" i="3"/>
  <c r="N277" i="3"/>
  <c r="O277" i="3"/>
  <c r="P277" i="3"/>
  <c r="M278" i="3"/>
  <c r="N278" i="3"/>
  <c r="O278" i="3"/>
  <c r="P278" i="3"/>
  <c r="M279" i="3"/>
  <c r="N279" i="3"/>
  <c r="O279" i="3"/>
  <c r="P279" i="3"/>
  <c r="M280" i="3"/>
  <c r="N280" i="3"/>
  <c r="O280" i="3"/>
  <c r="P280" i="3"/>
  <c r="M281" i="3"/>
  <c r="N281" i="3"/>
  <c r="O281" i="3"/>
  <c r="P281" i="3"/>
  <c r="M282" i="3"/>
  <c r="N282" i="3"/>
  <c r="O282" i="3"/>
  <c r="P282" i="3"/>
  <c r="M283" i="3"/>
  <c r="N283" i="3"/>
  <c r="O283" i="3"/>
  <c r="P283" i="3"/>
  <c r="M284" i="3"/>
  <c r="N284" i="3"/>
  <c r="O284" i="3"/>
  <c r="P284" i="3"/>
  <c r="M285" i="3"/>
  <c r="N285" i="3"/>
  <c r="O285" i="3"/>
  <c r="P285" i="3"/>
  <c r="M286" i="3"/>
  <c r="N286" i="3"/>
  <c r="O286" i="3"/>
  <c r="P286" i="3"/>
  <c r="M404" i="3"/>
  <c r="N404" i="3"/>
  <c r="O404" i="3"/>
  <c r="P404" i="3"/>
  <c r="M405" i="3"/>
  <c r="N405" i="3"/>
  <c r="O405" i="3"/>
  <c r="P405" i="3"/>
  <c r="M406" i="3"/>
  <c r="N406" i="3"/>
  <c r="O406" i="3"/>
  <c r="P406" i="3"/>
  <c r="M407" i="3"/>
  <c r="N407" i="3"/>
  <c r="O407" i="3"/>
  <c r="P407" i="3"/>
  <c r="M408" i="3"/>
  <c r="N408" i="3"/>
  <c r="O408" i="3"/>
  <c r="P408" i="3"/>
  <c r="M409" i="3"/>
  <c r="N409" i="3"/>
  <c r="O409" i="3"/>
  <c r="P409" i="3"/>
  <c r="M410" i="3"/>
  <c r="N410" i="3"/>
  <c r="O410" i="3"/>
  <c r="P410" i="3"/>
  <c r="M411" i="3"/>
  <c r="N411" i="3"/>
  <c r="O411" i="3"/>
  <c r="P411" i="3"/>
  <c r="M412" i="3"/>
  <c r="N412" i="3"/>
  <c r="O412" i="3"/>
  <c r="P412" i="3"/>
  <c r="M413" i="3"/>
  <c r="N413" i="3"/>
  <c r="O413" i="3"/>
  <c r="P413" i="3"/>
  <c r="M414" i="3"/>
  <c r="N414" i="3"/>
  <c r="O414" i="3"/>
  <c r="P414" i="3"/>
  <c r="M415" i="3"/>
  <c r="N415" i="3"/>
  <c r="O415" i="3"/>
  <c r="P415" i="3"/>
  <c r="M416" i="3"/>
  <c r="N416" i="3"/>
  <c r="O416" i="3"/>
  <c r="P416" i="3"/>
  <c r="M417" i="3"/>
  <c r="N417" i="3"/>
  <c r="O417" i="3"/>
  <c r="P417" i="3"/>
  <c r="M418" i="3"/>
  <c r="N418" i="3"/>
  <c r="O418" i="3"/>
  <c r="P418" i="3"/>
  <c r="M419" i="3"/>
  <c r="N419" i="3"/>
  <c r="O419" i="3"/>
  <c r="P419" i="3"/>
  <c r="M420" i="3"/>
  <c r="N420" i="3"/>
  <c r="O420" i="3"/>
  <c r="P420" i="3"/>
  <c r="M421" i="3"/>
  <c r="N421" i="3"/>
  <c r="O421" i="3"/>
  <c r="P421" i="3"/>
  <c r="M422" i="3"/>
  <c r="N422" i="3"/>
  <c r="O422" i="3"/>
  <c r="P422" i="3"/>
  <c r="M423" i="3"/>
  <c r="N423" i="3"/>
  <c r="O423" i="3"/>
  <c r="P423" i="3"/>
  <c r="M424" i="3"/>
  <c r="N424" i="3"/>
  <c r="O424" i="3"/>
  <c r="P424" i="3"/>
  <c r="M425" i="3"/>
  <c r="N425" i="3"/>
  <c r="O425" i="3"/>
  <c r="P425" i="3"/>
  <c r="M426" i="3"/>
  <c r="N426" i="3"/>
  <c r="O426" i="3"/>
  <c r="P426" i="3"/>
  <c r="M427" i="3"/>
  <c r="N427" i="3"/>
  <c r="O427" i="3"/>
  <c r="P427" i="3"/>
  <c r="M428" i="3"/>
  <c r="N428" i="3"/>
  <c r="O428" i="3"/>
  <c r="P428" i="3"/>
  <c r="M429" i="3"/>
  <c r="N429" i="3"/>
  <c r="O429" i="3"/>
  <c r="P429" i="3"/>
  <c r="M430" i="3"/>
  <c r="N430" i="3"/>
  <c r="O430" i="3"/>
  <c r="P430" i="3"/>
  <c r="M431" i="3"/>
  <c r="N431" i="3"/>
  <c r="O431" i="3"/>
  <c r="P431" i="3"/>
  <c r="M432" i="3"/>
  <c r="N432" i="3"/>
  <c r="O432" i="3"/>
  <c r="P432" i="3"/>
  <c r="M435" i="3"/>
  <c r="N435" i="3"/>
  <c r="O435" i="3"/>
  <c r="P435" i="3"/>
  <c r="M436" i="3"/>
  <c r="N436" i="3"/>
  <c r="O436" i="3"/>
  <c r="P436" i="3"/>
  <c r="M437" i="3"/>
  <c r="N437" i="3"/>
  <c r="O437" i="3"/>
  <c r="P437" i="3"/>
  <c r="M438" i="3"/>
  <c r="N438" i="3"/>
  <c r="O438" i="3"/>
  <c r="P438" i="3"/>
  <c r="M439" i="3"/>
  <c r="N439" i="3"/>
  <c r="O439" i="3"/>
  <c r="P439" i="3"/>
  <c r="M440" i="3"/>
  <c r="N440" i="3"/>
  <c r="O440" i="3"/>
  <c r="P440" i="3"/>
  <c r="M441" i="3"/>
  <c r="N441" i="3"/>
  <c r="O441" i="3"/>
  <c r="P441" i="3"/>
  <c r="M442" i="3"/>
  <c r="N442" i="3"/>
  <c r="O442" i="3"/>
  <c r="P442" i="3"/>
  <c r="M490" i="3"/>
  <c r="N490" i="3"/>
  <c r="O490" i="3"/>
  <c r="P490" i="3"/>
  <c r="M491" i="3"/>
  <c r="N491" i="3"/>
  <c r="O491" i="3"/>
  <c r="P491" i="3"/>
  <c r="M492" i="3"/>
  <c r="N492" i="3"/>
  <c r="O492" i="3"/>
  <c r="P492" i="3"/>
  <c r="M493" i="3"/>
  <c r="N493" i="3"/>
  <c r="O493" i="3"/>
  <c r="P493" i="3"/>
  <c r="M494" i="3"/>
  <c r="N494" i="3"/>
  <c r="O494" i="3"/>
  <c r="P494" i="3"/>
  <c r="M495" i="3"/>
  <c r="N495" i="3"/>
  <c r="O495" i="3"/>
  <c r="P495" i="3"/>
  <c r="M496" i="3"/>
  <c r="N496" i="3"/>
  <c r="O496" i="3"/>
  <c r="P496" i="3"/>
  <c r="M497" i="3"/>
  <c r="N497" i="3"/>
  <c r="O497" i="3"/>
  <c r="P497" i="3"/>
  <c r="M498" i="3"/>
  <c r="N498" i="3"/>
  <c r="O498" i="3"/>
  <c r="P498" i="3"/>
  <c r="M499" i="3"/>
  <c r="N499" i="3"/>
  <c r="O499" i="3"/>
  <c r="P499" i="3"/>
  <c r="M500" i="3"/>
  <c r="N500" i="3"/>
  <c r="O500" i="3"/>
  <c r="P500" i="3"/>
  <c r="M501" i="3"/>
  <c r="N501" i="3"/>
  <c r="O501" i="3"/>
  <c r="P501" i="3"/>
  <c r="M502" i="3"/>
  <c r="N502" i="3"/>
  <c r="O502" i="3"/>
  <c r="P502" i="3"/>
  <c r="M503" i="3"/>
  <c r="N503" i="3"/>
  <c r="O503" i="3"/>
  <c r="P503" i="3"/>
  <c r="M504" i="3"/>
  <c r="N504" i="3"/>
  <c r="O504" i="3"/>
  <c r="P504" i="3"/>
  <c r="M505" i="3"/>
  <c r="N505" i="3"/>
  <c r="O505" i="3"/>
  <c r="P505" i="3"/>
  <c r="M506" i="3"/>
  <c r="N506" i="3"/>
  <c r="O506" i="3"/>
  <c r="P506" i="3"/>
  <c r="M507" i="3"/>
  <c r="N507" i="3"/>
  <c r="O507" i="3"/>
  <c r="P507" i="3"/>
  <c r="M508" i="3"/>
  <c r="N508" i="3"/>
  <c r="O508" i="3"/>
  <c r="P508" i="3"/>
  <c r="M509" i="3"/>
  <c r="N509" i="3"/>
  <c r="O509" i="3"/>
  <c r="P509" i="3"/>
  <c r="M510" i="3"/>
  <c r="N510" i="3"/>
  <c r="O510" i="3"/>
  <c r="P510" i="3"/>
  <c r="M511" i="3"/>
  <c r="N511" i="3"/>
  <c r="O511" i="3"/>
  <c r="P511" i="3"/>
  <c r="M512" i="3"/>
  <c r="N512" i="3"/>
  <c r="O512" i="3"/>
  <c r="P512" i="3"/>
  <c r="M513" i="3"/>
  <c r="N513" i="3"/>
  <c r="O513" i="3"/>
  <c r="P513" i="3"/>
  <c r="M514" i="3"/>
  <c r="N514" i="3"/>
  <c r="O514" i="3"/>
  <c r="P514" i="3"/>
  <c r="M515" i="3"/>
  <c r="N515" i="3"/>
  <c r="O515" i="3"/>
  <c r="P515" i="3"/>
  <c r="M516" i="3"/>
  <c r="N516" i="3"/>
  <c r="O516" i="3"/>
  <c r="P516" i="3"/>
  <c r="M517" i="3"/>
  <c r="N517" i="3"/>
  <c r="O517" i="3"/>
  <c r="P517" i="3"/>
  <c r="M518" i="3"/>
  <c r="N518" i="3"/>
  <c r="O518" i="3"/>
  <c r="P518" i="3"/>
  <c r="M519" i="3"/>
  <c r="N519" i="3"/>
  <c r="O519" i="3"/>
  <c r="P519" i="3"/>
  <c r="M520" i="3"/>
  <c r="N520" i="3"/>
  <c r="O520" i="3"/>
  <c r="P520" i="3"/>
  <c r="M521" i="3"/>
  <c r="N521" i="3"/>
  <c r="O521" i="3"/>
  <c r="P521" i="3"/>
  <c r="M522" i="3"/>
  <c r="N522" i="3"/>
  <c r="O522" i="3"/>
  <c r="P522" i="3"/>
  <c r="M523" i="3"/>
  <c r="N523" i="3"/>
  <c r="O523" i="3"/>
  <c r="P523" i="3"/>
  <c r="M524" i="3"/>
  <c r="N524" i="3"/>
  <c r="O524" i="3"/>
  <c r="P524" i="3"/>
  <c r="M525" i="3"/>
  <c r="N525" i="3"/>
  <c r="O525" i="3"/>
  <c r="P525" i="3"/>
  <c r="M526" i="3"/>
  <c r="N526" i="3"/>
  <c r="O526" i="3"/>
  <c r="P526" i="3"/>
  <c r="M527" i="3"/>
  <c r="N527" i="3"/>
  <c r="O527" i="3"/>
  <c r="P527" i="3"/>
  <c r="M528" i="3"/>
  <c r="N528" i="3"/>
  <c r="O528" i="3"/>
  <c r="P528" i="3"/>
  <c r="M529" i="3"/>
  <c r="N529" i="3"/>
  <c r="O529" i="3"/>
  <c r="P529" i="3"/>
  <c r="M443" i="3"/>
  <c r="N443" i="3"/>
  <c r="O443" i="3"/>
  <c r="P443" i="3"/>
  <c r="M444" i="3"/>
  <c r="N444" i="3"/>
  <c r="O444" i="3"/>
  <c r="P444" i="3"/>
  <c r="M445" i="3"/>
  <c r="N445" i="3"/>
  <c r="O445" i="3"/>
  <c r="P445" i="3"/>
  <c r="M446" i="3"/>
  <c r="N446" i="3"/>
  <c r="O446" i="3"/>
  <c r="P446" i="3"/>
  <c r="M447" i="3"/>
  <c r="N447" i="3"/>
  <c r="O447" i="3"/>
  <c r="P447" i="3"/>
  <c r="M448" i="3"/>
  <c r="N448" i="3"/>
  <c r="O448" i="3"/>
  <c r="P448" i="3"/>
  <c r="M449" i="3"/>
  <c r="N449" i="3"/>
  <c r="O449" i="3"/>
  <c r="P449" i="3"/>
  <c r="M450" i="3"/>
  <c r="N450" i="3"/>
  <c r="O450" i="3"/>
  <c r="P450" i="3"/>
  <c r="M451" i="3"/>
  <c r="N451" i="3"/>
  <c r="O451" i="3"/>
  <c r="P451" i="3"/>
  <c r="M452" i="3"/>
  <c r="N452" i="3"/>
  <c r="O452" i="3"/>
  <c r="P452" i="3"/>
  <c r="M453" i="3"/>
  <c r="N453" i="3"/>
  <c r="O453" i="3"/>
  <c r="P453" i="3"/>
  <c r="M454" i="3"/>
  <c r="N454" i="3"/>
  <c r="O454" i="3"/>
  <c r="P454" i="3"/>
  <c r="M455" i="3"/>
  <c r="N455" i="3"/>
  <c r="O455" i="3"/>
  <c r="P455" i="3"/>
  <c r="M456" i="3"/>
  <c r="N456" i="3"/>
  <c r="O456" i="3"/>
  <c r="P456" i="3"/>
  <c r="M457" i="3"/>
  <c r="N457" i="3"/>
  <c r="O457" i="3"/>
  <c r="P457" i="3"/>
  <c r="M458" i="3"/>
  <c r="N458" i="3"/>
  <c r="O458" i="3"/>
  <c r="P458" i="3"/>
  <c r="M459" i="3"/>
  <c r="N459" i="3"/>
  <c r="O459" i="3"/>
  <c r="P459" i="3"/>
  <c r="M460" i="3"/>
  <c r="N460" i="3"/>
  <c r="O460" i="3"/>
  <c r="P460" i="3"/>
  <c r="M461" i="3"/>
  <c r="N461" i="3"/>
  <c r="O461" i="3"/>
  <c r="P461" i="3"/>
  <c r="M462" i="3"/>
  <c r="N462" i="3"/>
  <c r="O462" i="3"/>
  <c r="P462" i="3"/>
  <c r="M375" i="3"/>
  <c r="N375" i="3"/>
  <c r="O375" i="3"/>
  <c r="P375" i="3"/>
  <c r="M376" i="3"/>
  <c r="N376" i="3"/>
  <c r="O376" i="3"/>
  <c r="P376" i="3"/>
  <c r="M377" i="3"/>
  <c r="N377" i="3"/>
  <c r="O377" i="3"/>
  <c r="P377" i="3"/>
  <c r="M378" i="3"/>
  <c r="N378" i="3"/>
  <c r="O378" i="3"/>
  <c r="P378" i="3"/>
  <c r="M379" i="3"/>
  <c r="N379" i="3"/>
  <c r="O379" i="3"/>
  <c r="P379" i="3"/>
  <c r="M380" i="3"/>
  <c r="N380" i="3"/>
  <c r="O380" i="3"/>
  <c r="P380" i="3"/>
  <c r="M381" i="3"/>
  <c r="N381" i="3"/>
  <c r="O381" i="3"/>
  <c r="P381" i="3"/>
  <c r="M382" i="3"/>
  <c r="N382" i="3"/>
  <c r="O382" i="3"/>
  <c r="P382" i="3"/>
  <c r="M383" i="3"/>
  <c r="N383" i="3"/>
  <c r="O383" i="3"/>
  <c r="P383" i="3"/>
  <c r="M384" i="3"/>
  <c r="N384" i="3"/>
  <c r="O384" i="3"/>
  <c r="P384" i="3"/>
  <c r="M385" i="3"/>
  <c r="N385" i="3"/>
  <c r="O385" i="3"/>
  <c r="P385" i="3"/>
  <c r="M386" i="3"/>
  <c r="N386" i="3"/>
  <c r="O386" i="3"/>
  <c r="P386" i="3"/>
  <c r="M387" i="3"/>
  <c r="N387" i="3"/>
  <c r="O387" i="3"/>
  <c r="P387" i="3"/>
  <c r="M388" i="3"/>
  <c r="N388" i="3"/>
  <c r="O388" i="3"/>
  <c r="P388" i="3"/>
  <c r="M389" i="3"/>
  <c r="N389" i="3"/>
  <c r="O389" i="3"/>
  <c r="P389" i="3"/>
  <c r="M390" i="3"/>
  <c r="N390" i="3"/>
  <c r="O390" i="3"/>
  <c r="P390" i="3"/>
  <c r="M391" i="3"/>
  <c r="N391" i="3"/>
  <c r="O391" i="3"/>
  <c r="P391" i="3"/>
  <c r="M392" i="3"/>
  <c r="N392" i="3"/>
  <c r="O392" i="3"/>
  <c r="P392" i="3"/>
  <c r="M393" i="3"/>
  <c r="N393" i="3"/>
  <c r="O393" i="3"/>
  <c r="P393" i="3"/>
  <c r="M394" i="3"/>
  <c r="N394" i="3"/>
  <c r="O394" i="3"/>
  <c r="P394" i="3"/>
  <c r="M395" i="3"/>
  <c r="N395" i="3"/>
  <c r="O395" i="3"/>
  <c r="P395" i="3"/>
  <c r="M396" i="3"/>
  <c r="N396" i="3"/>
  <c r="O396" i="3"/>
  <c r="P396" i="3"/>
  <c r="M397" i="3"/>
  <c r="N397" i="3"/>
  <c r="O397" i="3"/>
  <c r="P397" i="3"/>
  <c r="M398" i="3"/>
  <c r="N398" i="3"/>
  <c r="O398" i="3"/>
  <c r="P398" i="3"/>
  <c r="M399" i="3"/>
  <c r="N399" i="3"/>
  <c r="O399" i="3"/>
  <c r="P399" i="3"/>
  <c r="M400" i="3"/>
  <c r="N400" i="3"/>
  <c r="O400" i="3"/>
  <c r="P400" i="3"/>
  <c r="M401" i="3"/>
  <c r="N401" i="3"/>
  <c r="O401" i="3"/>
  <c r="P401" i="3"/>
  <c r="M402" i="3"/>
  <c r="N402" i="3"/>
  <c r="O402" i="3"/>
  <c r="P402" i="3"/>
  <c r="M403" i="3"/>
  <c r="N403" i="3"/>
  <c r="O403" i="3"/>
  <c r="P403" i="3"/>
  <c r="M530" i="3"/>
  <c r="N530" i="3"/>
  <c r="O530" i="3"/>
  <c r="P530" i="3"/>
  <c r="M531" i="3"/>
  <c r="N531" i="3"/>
  <c r="O531" i="3"/>
  <c r="P531" i="3"/>
  <c r="M532" i="3"/>
  <c r="N532" i="3"/>
  <c r="O532" i="3"/>
  <c r="P532" i="3"/>
  <c r="M533" i="3"/>
  <c r="N533" i="3"/>
  <c r="O533" i="3"/>
  <c r="P533" i="3"/>
  <c r="M534" i="3"/>
  <c r="N534" i="3"/>
  <c r="O534" i="3"/>
  <c r="P534" i="3"/>
  <c r="M535" i="3"/>
  <c r="N535" i="3"/>
  <c r="O535" i="3"/>
  <c r="P535" i="3"/>
  <c r="M536" i="3"/>
  <c r="N536" i="3"/>
  <c r="O536" i="3"/>
  <c r="P536" i="3"/>
  <c r="M537" i="3"/>
  <c r="N537" i="3"/>
  <c r="O537" i="3"/>
  <c r="P537" i="3"/>
  <c r="M538" i="3"/>
  <c r="N538" i="3"/>
  <c r="O538" i="3"/>
  <c r="P538" i="3"/>
  <c r="M539" i="3"/>
  <c r="N539" i="3"/>
  <c r="O539" i="3"/>
  <c r="P539" i="3"/>
  <c r="M540" i="3"/>
  <c r="N540" i="3"/>
  <c r="O540" i="3"/>
  <c r="P540" i="3"/>
  <c r="M541" i="3"/>
  <c r="N541" i="3"/>
  <c r="O541" i="3"/>
  <c r="P541" i="3"/>
  <c r="M542" i="3"/>
  <c r="N542" i="3"/>
  <c r="O542" i="3"/>
  <c r="P542" i="3"/>
  <c r="M543" i="3"/>
  <c r="N543" i="3"/>
  <c r="O543" i="3"/>
  <c r="P543" i="3"/>
  <c r="M544" i="3"/>
  <c r="N544" i="3"/>
  <c r="O544" i="3"/>
  <c r="P544" i="3"/>
  <c r="M545" i="3"/>
  <c r="N545" i="3"/>
  <c r="O545" i="3"/>
  <c r="P545" i="3"/>
  <c r="M546" i="3"/>
  <c r="N546" i="3"/>
  <c r="O546" i="3"/>
  <c r="P546" i="3"/>
  <c r="M547" i="3"/>
  <c r="N547" i="3"/>
  <c r="O547" i="3"/>
  <c r="P547" i="3"/>
  <c r="M463" i="3"/>
  <c r="N463" i="3"/>
  <c r="O463" i="3"/>
  <c r="P463" i="3"/>
  <c r="M464" i="3"/>
  <c r="N464" i="3"/>
  <c r="O464" i="3"/>
  <c r="P464" i="3"/>
  <c r="M465" i="3"/>
  <c r="N465" i="3"/>
  <c r="O465" i="3"/>
  <c r="P465" i="3"/>
  <c r="M466" i="3"/>
  <c r="N466" i="3"/>
  <c r="O466" i="3"/>
  <c r="P466" i="3"/>
  <c r="M467" i="3"/>
  <c r="N467" i="3"/>
  <c r="O467" i="3"/>
  <c r="P467" i="3"/>
  <c r="M468" i="3"/>
  <c r="N468" i="3"/>
  <c r="O468" i="3"/>
  <c r="P468" i="3"/>
  <c r="M469" i="3"/>
  <c r="N469" i="3"/>
  <c r="O469" i="3"/>
  <c r="P469" i="3"/>
  <c r="M548" i="3"/>
  <c r="N548" i="3"/>
  <c r="O548" i="3"/>
  <c r="P548" i="3"/>
  <c r="M549" i="3"/>
  <c r="N549" i="3"/>
  <c r="O549" i="3"/>
  <c r="P549" i="3"/>
  <c r="M550" i="3"/>
  <c r="N550" i="3"/>
  <c r="O550" i="3"/>
  <c r="P550" i="3"/>
  <c r="M551" i="3"/>
  <c r="N551" i="3"/>
  <c r="O551" i="3"/>
  <c r="P551" i="3"/>
  <c r="M552" i="3"/>
  <c r="N552" i="3"/>
  <c r="O552" i="3"/>
  <c r="P552" i="3"/>
  <c r="M553" i="3"/>
  <c r="N553" i="3"/>
  <c r="O553" i="3"/>
  <c r="P553" i="3"/>
  <c r="M554" i="3"/>
  <c r="N554" i="3"/>
  <c r="O554" i="3"/>
  <c r="P554" i="3"/>
  <c r="M555" i="3"/>
  <c r="N555" i="3"/>
  <c r="O555" i="3"/>
  <c r="P555" i="3"/>
  <c r="M556" i="3"/>
  <c r="N556" i="3"/>
  <c r="O556" i="3"/>
  <c r="P556" i="3"/>
  <c r="M557" i="3"/>
  <c r="N557" i="3"/>
  <c r="O557" i="3"/>
  <c r="P557" i="3"/>
  <c r="M558" i="3"/>
  <c r="N558" i="3"/>
  <c r="O558" i="3"/>
  <c r="P558" i="3"/>
  <c r="M559" i="3"/>
  <c r="N559" i="3"/>
  <c r="O559" i="3"/>
  <c r="P559" i="3"/>
  <c r="M560" i="3"/>
  <c r="N560" i="3"/>
  <c r="O560" i="3"/>
  <c r="P560" i="3"/>
  <c r="M561" i="3"/>
  <c r="N561" i="3"/>
  <c r="O561" i="3"/>
  <c r="P561" i="3"/>
  <c r="M562" i="3"/>
  <c r="N562" i="3"/>
  <c r="O562" i="3"/>
  <c r="P562" i="3"/>
  <c r="M563" i="3"/>
  <c r="N563" i="3"/>
  <c r="O563" i="3"/>
  <c r="P563" i="3"/>
  <c r="M564" i="3"/>
  <c r="N564" i="3"/>
  <c r="O564" i="3"/>
  <c r="P564" i="3"/>
  <c r="M565" i="3"/>
  <c r="N565" i="3"/>
  <c r="O565" i="3"/>
  <c r="P565" i="3"/>
  <c r="M566" i="3"/>
  <c r="N566" i="3"/>
  <c r="O566" i="3"/>
  <c r="P566" i="3"/>
  <c r="M567" i="3"/>
  <c r="N567" i="3"/>
  <c r="O567" i="3"/>
  <c r="P567" i="3"/>
  <c r="M470" i="3"/>
  <c r="N470" i="3"/>
  <c r="O470" i="3"/>
  <c r="P470" i="3"/>
  <c r="M471" i="3"/>
  <c r="N471" i="3"/>
  <c r="O471" i="3"/>
  <c r="P471" i="3"/>
  <c r="M472" i="3"/>
  <c r="N472" i="3"/>
  <c r="O472" i="3"/>
  <c r="P472" i="3"/>
  <c r="M473" i="3"/>
  <c r="N473" i="3"/>
  <c r="O473" i="3"/>
  <c r="P473" i="3"/>
  <c r="M474" i="3"/>
  <c r="N474" i="3"/>
  <c r="O474" i="3"/>
  <c r="P474" i="3"/>
  <c r="M475" i="3"/>
  <c r="N475" i="3"/>
  <c r="O475" i="3"/>
  <c r="P475" i="3"/>
  <c r="M476" i="3"/>
  <c r="N476" i="3"/>
  <c r="O476" i="3"/>
  <c r="P476" i="3"/>
  <c r="M477" i="3"/>
  <c r="N477" i="3"/>
  <c r="O477" i="3"/>
  <c r="P477" i="3"/>
  <c r="M478" i="3"/>
  <c r="N478" i="3"/>
  <c r="O478" i="3"/>
  <c r="P478" i="3"/>
  <c r="M479" i="3"/>
  <c r="N479" i="3"/>
  <c r="O479" i="3"/>
  <c r="P479" i="3"/>
  <c r="M480" i="3"/>
  <c r="N480" i="3"/>
  <c r="O480" i="3"/>
  <c r="P480" i="3"/>
  <c r="M481" i="3"/>
  <c r="N481" i="3"/>
  <c r="O481" i="3"/>
  <c r="P481" i="3"/>
  <c r="M482" i="3"/>
  <c r="N482" i="3"/>
  <c r="O482" i="3"/>
  <c r="P482" i="3"/>
  <c r="M483" i="3"/>
  <c r="N483" i="3"/>
  <c r="O483" i="3"/>
  <c r="P483" i="3"/>
  <c r="M484" i="3"/>
  <c r="N484" i="3"/>
  <c r="O484" i="3"/>
  <c r="P484" i="3"/>
  <c r="M485" i="3"/>
  <c r="N485" i="3"/>
  <c r="O485" i="3"/>
  <c r="P485" i="3"/>
  <c r="M486" i="3"/>
  <c r="N486" i="3"/>
  <c r="O486" i="3"/>
  <c r="P486" i="3"/>
  <c r="M487" i="3"/>
  <c r="N487" i="3"/>
  <c r="O487" i="3"/>
  <c r="P487" i="3"/>
  <c r="M488" i="3"/>
  <c r="N488" i="3"/>
  <c r="O488" i="3"/>
  <c r="P488" i="3"/>
  <c r="M489" i="3"/>
  <c r="N489" i="3"/>
  <c r="O489" i="3"/>
  <c r="P489" i="3"/>
  <c r="M1032" i="3"/>
  <c r="N1032" i="3"/>
  <c r="O1032" i="3"/>
  <c r="P1032" i="3"/>
  <c r="M1033" i="3"/>
  <c r="N1033" i="3"/>
  <c r="O1033" i="3"/>
  <c r="P1033" i="3"/>
  <c r="M1034" i="3"/>
  <c r="N1034" i="3"/>
  <c r="O1034" i="3"/>
  <c r="P1034" i="3"/>
  <c r="M1035" i="3"/>
  <c r="N1035" i="3"/>
  <c r="O1035" i="3"/>
  <c r="P1035" i="3"/>
  <c r="M1036" i="3"/>
  <c r="N1036" i="3"/>
  <c r="O1036" i="3"/>
  <c r="P1036" i="3"/>
  <c r="M1037" i="3"/>
  <c r="N1037" i="3"/>
  <c r="O1037" i="3"/>
  <c r="P1037" i="3"/>
  <c r="M1038" i="3"/>
  <c r="N1038" i="3"/>
  <c r="O1038" i="3"/>
  <c r="P1038" i="3"/>
  <c r="M1039" i="3"/>
  <c r="N1039" i="3"/>
  <c r="O1039" i="3"/>
  <c r="P1039" i="3"/>
  <c r="M1040" i="3"/>
  <c r="N1040" i="3"/>
  <c r="O1040" i="3"/>
  <c r="P1040" i="3"/>
  <c r="M1041" i="3"/>
  <c r="N1041" i="3"/>
  <c r="O1041" i="3"/>
  <c r="P1041" i="3"/>
  <c r="M1042" i="3"/>
  <c r="N1042" i="3"/>
  <c r="O1042" i="3"/>
  <c r="P1042" i="3"/>
  <c r="M1043" i="3"/>
  <c r="N1043" i="3"/>
  <c r="O1043" i="3"/>
  <c r="P1043" i="3"/>
  <c r="M1044" i="3"/>
  <c r="N1044" i="3"/>
  <c r="O1044" i="3"/>
  <c r="P1044" i="3"/>
  <c r="M1045" i="3"/>
  <c r="N1045" i="3"/>
  <c r="O1045" i="3"/>
  <c r="P1045" i="3"/>
  <c r="M1046" i="3"/>
  <c r="N1046" i="3"/>
  <c r="O1046" i="3"/>
  <c r="P1046" i="3"/>
  <c r="M1047" i="3"/>
  <c r="N1047" i="3"/>
  <c r="O1047" i="3"/>
  <c r="P1047" i="3"/>
  <c r="M1048" i="3"/>
  <c r="N1048" i="3"/>
  <c r="O1048" i="3"/>
  <c r="P1048" i="3"/>
  <c r="M1049" i="3"/>
  <c r="N1049" i="3"/>
  <c r="O1049" i="3"/>
  <c r="P1049" i="3"/>
  <c r="M1050" i="3"/>
  <c r="N1050" i="3"/>
  <c r="O1050" i="3"/>
  <c r="P1050" i="3"/>
  <c r="M1051" i="3"/>
  <c r="N1051" i="3"/>
  <c r="O1051" i="3"/>
  <c r="P1051" i="3"/>
  <c r="M1052" i="3"/>
  <c r="N1052" i="3"/>
  <c r="O1052" i="3"/>
  <c r="P1052" i="3"/>
  <c r="M1053" i="3"/>
  <c r="N1053" i="3"/>
  <c r="O1053" i="3"/>
  <c r="P1053" i="3"/>
  <c r="M1054" i="3"/>
  <c r="N1054" i="3"/>
  <c r="O1054" i="3"/>
  <c r="P1054" i="3"/>
  <c r="M1055" i="3"/>
  <c r="N1055" i="3"/>
  <c r="O1055" i="3"/>
  <c r="P1055" i="3"/>
  <c r="M1056" i="3"/>
  <c r="N1056" i="3"/>
  <c r="O1056" i="3"/>
  <c r="P1056" i="3"/>
  <c r="M1057" i="3"/>
  <c r="N1057" i="3"/>
  <c r="O1057" i="3"/>
  <c r="P1057" i="3"/>
  <c r="M1058" i="3"/>
  <c r="N1058" i="3"/>
  <c r="O1058" i="3"/>
  <c r="P1058" i="3"/>
  <c r="M1059" i="3"/>
  <c r="N1059" i="3"/>
  <c r="O1059" i="3"/>
  <c r="P1059" i="3"/>
  <c r="M1060" i="3"/>
  <c r="N1060" i="3"/>
  <c r="O1060" i="3"/>
  <c r="P1060" i="3"/>
  <c r="M1061" i="3"/>
  <c r="N1061" i="3"/>
  <c r="O1061" i="3"/>
  <c r="P1061" i="3"/>
  <c r="M1062" i="3"/>
  <c r="N1062" i="3"/>
  <c r="O1062" i="3"/>
  <c r="P1062" i="3"/>
  <c r="M1063" i="3"/>
  <c r="N1063" i="3"/>
  <c r="O1063" i="3"/>
  <c r="P1063" i="3"/>
  <c r="M1064" i="3"/>
  <c r="N1064" i="3"/>
  <c r="O1064" i="3"/>
  <c r="P1064" i="3"/>
  <c r="M1065" i="3"/>
  <c r="N1065" i="3"/>
  <c r="O1065" i="3"/>
  <c r="P1065" i="3"/>
  <c r="M1066" i="3"/>
  <c r="N1066" i="3"/>
  <c r="O1066" i="3"/>
  <c r="P1066" i="3"/>
  <c r="M1067" i="3"/>
  <c r="N1067" i="3"/>
  <c r="O1067" i="3"/>
  <c r="P1067" i="3"/>
  <c r="M1068" i="3"/>
  <c r="N1068" i="3"/>
  <c r="O1068" i="3"/>
  <c r="P1068" i="3"/>
  <c r="M1069" i="3"/>
  <c r="N1069" i="3"/>
  <c r="O1069" i="3"/>
  <c r="P1069" i="3"/>
  <c r="M1070" i="3"/>
  <c r="N1070" i="3"/>
  <c r="O1070" i="3"/>
  <c r="P1070" i="3"/>
  <c r="M1071" i="3"/>
  <c r="N1071" i="3"/>
  <c r="O1071" i="3"/>
  <c r="P1071" i="3"/>
  <c r="M1072" i="3"/>
  <c r="N1072" i="3"/>
  <c r="O1072" i="3"/>
  <c r="P1072" i="3"/>
  <c r="M1073" i="3"/>
  <c r="N1073" i="3"/>
  <c r="O1073" i="3"/>
  <c r="P1073" i="3"/>
  <c r="M1074" i="3"/>
  <c r="N1074" i="3"/>
  <c r="O1074" i="3"/>
  <c r="P1074" i="3"/>
  <c r="M1075" i="3"/>
  <c r="N1075" i="3"/>
  <c r="O1075" i="3"/>
  <c r="P1075" i="3"/>
  <c r="M1076" i="3"/>
  <c r="N1076" i="3"/>
  <c r="O1076" i="3"/>
  <c r="P1076" i="3"/>
  <c r="M1077" i="3"/>
  <c r="N1077" i="3"/>
  <c r="O1077" i="3"/>
  <c r="P1077" i="3"/>
  <c r="M1078" i="3"/>
  <c r="N1078" i="3"/>
  <c r="O1078" i="3"/>
  <c r="P1078" i="3"/>
  <c r="M1079" i="3"/>
  <c r="N1079" i="3"/>
  <c r="O1079" i="3"/>
  <c r="P1079" i="3"/>
  <c r="M1080" i="3"/>
  <c r="N1080" i="3"/>
  <c r="O1080" i="3"/>
  <c r="P1080" i="3"/>
  <c r="M1081" i="3"/>
  <c r="N1081" i="3"/>
  <c r="O1081" i="3"/>
  <c r="P1081" i="3"/>
  <c r="M1082" i="3"/>
  <c r="N1082" i="3"/>
  <c r="O1082" i="3"/>
  <c r="P1082" i="3"/>
  <c r="M1083" i="3"/>
  <c r="N1083" i="3"/>
  <c r="O1083" i="3"/>
  <c r="P1083" i="3"/>
  <c r="M1084" i="3"/>
  <c r="N1084" i="3"/>
  <c r="O1084" i="3"/>
  <c r="P1084" i="3"/>
  <c r="M1085" i="3"/>
  <c r="N1085" i="3"/>
  <c r="O1085" i="3"/>
  <c r="P1085" i="3"/>
  <c r="M1086" i="3"/>
  <c r="N1086" i="3"/>
  <c r="O1086" i="3"/>
  <c r="P1086" i="3"/>
  <c r="M1087" i="3"/>
  <c r="N1087" i="3"/>
  <c r="O1087" i="3"/>
  <c r="P1087" i="3"/>
  <c r="M1088" i="3"/>
  <c r="N1088" i="3"/>
  <c r="O1088" i="3"/>
  <c r="P1088" i="3"/>
  <c r="M1089" i="3"/>
  <c r="N1089" i="3"/>
  <c r="O1089" i="3"/>
  <c r="P1089" i="3"/>
  <c r="M970" i="3"/>
  <c r="N970" i="3"/>
  <c r="O970" i="3"/>
  <c r="P970" i="3"/>
  <c r="M971" i="3"/>
  <c r="N971" i="3"/>
  <c r="O971" i="3"/>
  <c r="P971" i="3"/>
  <c r="M972" i="3"/>
  <c r="N972" i="3"/>
  <c r="O972" i="3"/>
  <c r="P972" i="3"/>
  <c r="M973" i="3"/>
  <c r="N973" i="3"/>
  <c r="O973" i="3"/>
  <c r="P973" i="3"/>
  <c r="M974" i="3"/>
  <c r="N974" i="3"/>
  <c r="O974" i="3"/>
  <c r="P974" i="3"/>
  <c r="M975" i="3"/>
  <c r="N975" i="3"/>
  <c r="O975" i="3"/>
  <c r="P975" i="3"/>
  <c r="M976" i="3"/>
  <c r="N976" i="3"/>
  <c r="O976" i="3"/>
  <c r="P976" i="3"/>
  <c r="M977" i="3"/>
  <c r="N977" i="3"/>
  <c r="O977" i="3"/>
  <c r="P977" i="3"/>
  <c r="M978" i="3"/>
  <c r="N978" i="3"/>
  <c r="O978" i="3"/>
  <c r="P978" i="3"/>
  <c r="M979" i="3"/>
  <c r="N979" i="3"/>
  <c r="O979" i="3"/>
  <c r="P979" i="3"/>
  <c r="M980" i="3"/>
  <c r="N980" i="3"/>
  <c r="O980" i="3"/>
  <c r="P980" i="3"/>
  <c r="M981" i="3"/>
  <c r="N981" i="3"/>
  <c r="O981" i="3"/>
  <c r="P981" i="3"/>
  <c r="M982" i="3"/>
  <c r="N982" i="3"/>
  <c r="O982" i="3"/>
  <c r="P982" i="3"/>
  <c r="M983" i="3"/>
  <c r="N983" i="3"/>
  <c r="O983" i="3"/>
  <c r="P983" i="3"/>
  <c r="M984" i="3"/>
  <c r="N984" i="3"/>
  <c r="O984" i="3"/>
  <c r="P984" i="3"/>
  <c r="M985" i="3"/>
  <c r="N985" i="3"/>
  <c r="O985" i="3"/>
  <c r="P985" i="3"/>
  <c r="M986" i="3"/>
  <c r="N986" i="3"/>
  <c r="O986" i="3"/>
  <c r="P986" i="3"/>
  <c r="M987" i="3"/>
  <c r="N987" i="3"/>
  <c r="O987" i="3"/>
  <c r="P987" i="3"/>
  <c r="M988" i="3"/>
  <c r="N988" i="3"/>
  <c r="O988" i="3"/>
  <c r="P988" i="3"/>
  <c r="M989" i="3"/>
  <c r="N989" i="3"/>
  <c r="O989" i="3"/>
  <c r="P989" i="3"/>
  <c r="M990" i="3"/>
  <c r="N990" i="3"/>
  <c r="O990" i="3"/>
  <c r="P990" i="3"/>
  <c r="M991" i="3"/>
  <c r="N991" i="3"/>
  <c r="O991" i="3"/>
  <c r="P991" i="3"/>
  <c r="M992" i="3"/>
  <c r="N992" i="3"/>
  <c r="O992" i="3"/>
  <c r="P992" i="3"/>
  <c r="M993" i="3"/>
  <c r="N993" i="3"/>
  <c r="O993" i="3"/>
  <c r="P993" i="3"/>
  <c r="M994" i="3"/>
  <c r="N994" i="3"/>
  <c r="O994" i="3"/>
  <c r="P994" i="3"/>
  <c r="M995" i="3"/>
  <c r="N995" i="3"/>
  <c r="O995" i="3"/>
  <c r="P995" i="3"/>
  <c r="M996" i="3"/>
  <c r="N996" i="3"/>
  <c r="O996" i="3"/>
  <c r="P996" i="3"/>
  <c r="M997" i="3"/>
  <c r="N997" i="3"/>
  <c r="O997" i="3"/>
  <c r="P997" i="3"/>
  <c r="M998" i="3"/>
  <c r="N998" i="3"/>
  <c r="O998" i="3"/>
  <c r="P998" i="3"/>
  <c r="M999" i="3"/>
  <c r="N999" i="3"/>
  <c r="O999" i="3"/>
  <c r="P999" i="3"/>
  <c r="M1000" i="3"/>
  <c r="N1000" i="3"/>
  <c r="O1000" i="3"/>
  <c r="P1000" i="3"/>
  <c r="M1001" i="3"/>
  <c r="N1001" i="3"/>
  <c r="O1001" i="3"/>
  <c r="P1001" i="3"/>
  <c r="M1002" i="3"/>
  <c r="N1002" i="3"/>
  <c r="O1002" i="3"/>
  <c r="P1002" i="3"/>
  <c r="M1003" i="3"/>
  <c r="N1003" i="3"/>
  <c r="O1003" i="3"/>
  <c r="P1003" i="3"/>
  <c r="M1004" i="3"/>
  <c r="N1004" i="3"/>
  <c r="O1004" i="3"/>
  <c r="P1004" i="3"/>
  <c r="M1005" i="3"/>
  <c r="N1005" i="3"/>
  <c r="O1005" i="3"/>
  <c r="P1005" i="3"/>
  <c r="M1006" i="3"/>
  <c r="N1006" i="3"/>
  <c r="O1006" i="3"/>
  <c r="P1006" i="3"/>
  <c r="M1007" i="3"/>
  <c r="N1007" i="3"/>
  <c r="O1007" i="3"/>
  <c r="P1007" i="3"/>
  <c r="M1008" i="3"/>
  <c r="N1008" i="3"/>
  <c r="O1008" i="3"/>
  <c r="P1008" i="3"/>
  <c r="M1009" i="3"/>
  <c r="N1009" i="3"/>
  <c r="O1009" i="3"/>
  <c r="P1009" i="3"/>
  <c r="M1010" i="3"/>
  <c r="N1010" i="3"/>
  <c r="O1010" i="3"/>
  <c r="P1010" i="3"/>
  <c r="M1011" i="3"/>
  <c r="N1011" i="3"/>
  <c r="O1011" i="3"/>
  <c r="P1011" i="3"/>
  <c r="M1012" i="3"/>
  <c r="N1012" i="3"/>
  <c r="O1012" i="3"/>
  <c r="P1012" i="3"/>
  <c r="M1013" i="3"/>
  <c r="N1013" i="3"/>
  <c r="O1013" i="3"/>
  <c r="P1013" i="3"/>
  <c r="M1014" i="3"/>
  <c r="N1014" i="3"/>
  <c r="O1014" i="3"/>
  <c r="P1014" i="3"/>
  <c r="M1015" i="3"/>
  <c r="N1015" i="3"/>
  <c r="O1015" i="3"/>
  <c r="P1015" i="3"/>
  <c r="M1016" i="3"/>
  <c r="N1016" i="3"/>
  <c r="O1016" i="3"/>
  <c r="P1016" i="3"/>
  <c r="M1017" i="3"/>
  <c r="N1017" i="3"/>
  <c r="O1017" i="3"/>
  <c r="P1017" i="3"/>
  <c r="M1018" i="3"/>
  <c r="N1018" i="3"/>
  <c r="O1018" i="3"/>
  <c r="P1018" i="3"/>
  <c r="M1019" i="3"/>
  <c r="N1019" i="3"/>
  <c r="O1019" i="3"/>
  <c r="P1019" i="3"/>
  <c r="M1020" i="3"/>
  <c r="N1020" i="3"/>
  <c r="O1020" i="3"/>
  <c r="P1020" i="3"/>
  <c r="M1021" i="3"/>
  <c r="N1021" i="3"/>
  <c r="O1021" i="3"/>
  <c r="P1021" i="3"/>
  <c r="M1022" i="3"/>
  <c r="N1022" i="3"/>
  <c r="O1022" i="3"/>
  <c r="P1022" i="3"/>
  <c r="M1023" i="3"/>
  <c r="N1023" i="3"/>
  <c r="O1023" i="3"/>
  <c r="P1023" i="3"/>
  <c r="M1024" i="3"/>
  <c r="N1024" i="3"/>
  <c r="O1024" i="3"/>
  <c r="P1024" i="3"/>
  <c r="M1025" i="3"/>
  <c r="N1025" i="3"/>
  <c r="O1025" i="3"/>
  <c r="P1025" i="3"/>
  <c r="M1026" i="3"/>
  <c r="N1026" i="3"/>
  <c r="O1026" i="3"/>
  <c r="P1026" i="3"/>
  <c r="M1027" i="3"/>
  <c r="N1027" i="3"/>
  <c r="O1027" i="3"/>
  <c r="P1027" i="3"/>
  <c r="M1028" i="3"/>
  <c r="N1028" i="3"/>
  <c r="O1028" i="3"/>
  <c r="P1028" i="3"/>
  <c r="M1029" i="3"/>
  <c r="N1029" i="3"/>
  <c r="O1029" i="3"/>
  <c r="P1029" i="3"/>
  <c r="M1030" i="3"/>
  <c r="N1030" i="3"/>
  <c r="O1030" i="3"/>
  <c r="P1030" i="3"/>
  <c r="M1031" i="3"/>
  <c r="N1031" i="3"/>
  <c r="O1031" i="3"/>
  <c r="P1031" i="3"/>
  <c r="M893" i="3"/>
  <c r="N893" i="3"/>
  <c r="O893" i="3"/>
  <c r="P893" i="3"/>
  <c r="M894" i="3"/>
  <c r="N894" i="3"/>
  <c r="O894" i="3"/>
  <c r="P894" i="3"/>
  <c r="M895" i="3"/>
  <c r="N895" i="3"/>
  <c r="O895" i="3"/>
  <c r="P895" i="3"/>
  <c r="M896" i="3"/>
  <c r="N896" i="3"/>
  <c r="O896" i="3"/>
  <c r="P896" i="3"/>
  <c r="M897" i="3"/>
  <c r="N897" i="3"/>
  <c r="O897" i="3"/>
  <c r="P897" i="3"/>
  <c r="M898" i="3"/>
  <c r="N898" i="3"/>
  <c r="O898" i="3"/>
  <c r="P898" i="3"/>
  <c r="M899" i="3"/>
  <c r="N899" i="3"/>
  <c r="O899" i="3"/>
  <c r="P899" i="3"/>
  <c r="M900" i="3"/>
  <c r="N900" i="3"/>
  <c r="O900" i="3"/>
  <c r="P900" i="3"/>
  <c r="M901" i="3"/>
  <c r="N901" i="3"/>
  <c r="O901" i="3"/>
  <c r="P901" i="3"/>
  <c r="M902" i="3"/>
  <c r="N902" i="3"/>
  <c r="O902" i="3"/>
  <c r="P902" i="3"/>
  <c r="M903" i="3"/>
  <c r="N903" i="3"/>
  <c r="O903" i="3"/>
  <c r="P903" i="3"/>
  <c r="M904" i="3"/>
  <c r="N904" i="3"/>
  <c r="O904" i="3"/>
  <c r="P904" i="3"/>
  <c r="M905" i="3"/>
  <c r="N905" i="3"/>
  <c r="O905" i="3"/>
  <c r="P905" i="3"/>
  <c r="M906" i="3"/>
  <c r="N906" i="3"/>
  <c r="O906" i="3"/>
  <c r="P906" i="3"/>
  <c r="M907" i="3"/>
  <c r="N907" i="3"/>
  <c r="O907" i="3"/>
  <c r="P907" i="3"/>
  <c r="M908" i="3"/>
  <c r="N908" i="3"/>
  <c r="O908" i="3"/>
  <c r="P908" i="3"/>
  <c r="M909" i="3"/>
  <c r="N909" i="3"/>
  <c r="O909" i="3"/>
  <c r="P909" i="3"/>
  <c r="M910" i="3"/>
  <c r="N910" i="3"/>
  <c r="O910" i="3"/>
  <c r="P910" i="3"/>
  <c r="M911" i="3"/>
  <c r="N911" i="3"/>
  <c r="O911" i="3"/>
  <c r="P911" i="3"/>
  <c r="M912" i="3"/>
  <c r="N912" i="3"/>
  <c r="O912" i="3"/>
  <c r="P912" i="3"/>
  <c r="M913" i="3"/>
  <c r="N913" i="3"/>
  <c r="O913" i="3"/>
  <c r="P913" i="3"/>
  <c r="M914" i="3"/>
  <c r="N914" i="3"/>
  <c r="O914" i="3"/>
  <c r="P914" i="3"/>
  <c r="M915" i="3"/>
  <c r="N915" i="3"/>
  <c r="O915" i="3"/>
  <c r="P915" i="3"/>
  <c r="M916" i="3"/>
  <c r="N916" i="3"/>
  <c r="O916" i="3"/>
  <c r="P916" i="3"/>
  <c r="M917" i="3"/>
  <c r="N917" i="3"/>
  <c r="O917" i="3"/>
  <c r="P917" i="3"/>
  <c r="M918" i="3"/>
  <c r="N918" i="3"/>
  <c r="O918" i="3"/>
  <c r="P918" i="3"/>
  <c r="M919" i="3"/>
  <c r="N919" i="3"/>
  <c r="O919" i="3"/>
  <c r="P919" i="3"/>
  <c r="M920" i="3"/>
  <c r="N920" i="3"/>
  <c r="O920" i="3"/>
  <c r="P920" i="3"/>
  <c r="M921" i="3"/>
  <c r="N921" i="3"/>
  <c r="O921" i="3"/>
  <c r="P921" i="3"/>
  <c r="M922" i="3"/>
  <c r="N922" i="3"/>
  <c r="O922" i="3"/>
  <c r="P922" i="3"/>
  <c r="M923" i="3"/>
  <c r="N923" i="3"/>
  <c r="O923" i="3"/>
  <c r="P923" i="3"/>
  <c r="M924" i="3"/>
  <c r="N924" i="3"/>
  <c r="O924" i="3"/>
  <c r="P924" i="3"/>
  <c r="M925" i="3"/>
  <c r="N925" i="3"/>
  <c r="O925" i="3"/>
  <c r="P925" i="3"/>
  <c r="M926" i="3"/>
  <c r="N926" i="3"/>
  <c r="O926" i="3"/>
  <c r="P926" i="3"/>
  <c r="M927" i="3"/>
  <c r="N927" i="3"/>
  <c r="O927" i="3"/>
  <c r="P927" i="3"/>
  <c r="M928" i="3"/>
  <c r="N928" i="3"/>
  <c r="O928" i="3"/>
  <c r="P928" i="3"/>
  <c r="M929" i="3"/>
  <c r="N929" i="3"/>
  <c r="O929" i="3"/>
  <c r="P929" i="3"/>
  <c r="M930" i="3"/>
  <c r="N930" i="3"/>
  <c r="O930" i="3"/>
  <c r="P930" i="3"/>
  <c r="M931" i="3"/>
  <c r="N931" i="3"/>
  <c r="O931" i="3"/>
  <c r="P931" i="3"/>
  <c r="M932" i="3"/>
  <c r="N932" i="3"/>
  <c r="O932" i="3"/>
  <c r="P932" i="3"/>
  <c r="M933" i="3"/>
  <c r="N933" i="3"/>
  <c r="O933" i="3"/>
  <c r="P933" i="3"/>
  <c r="M934" i="3"/>
  <c r="N934" i="3"/>
  <c r="O934" i="3"/>
  <c r="P934" i="3"/>
  <c r="M935" i="3"/>
  <c r="N935" i="3"/>
  <c r="O935" i="3"/>
  <c r="P935" i="3"/>
  <c r="M936" i="3"/>
  <c r="N936" i="3"/>
  <c r="O936" i="3"/>
  <c r="P936" i="3"/>
  <c r="M937" i="3"/>
  <c r="N937" i="3"/>
  <c r="O937" i="3"/>
  <c r="P937" i="3"/>
  <c r="M938" i="3"/>
  <c r="N938" i="3"/>
  <c r="O938" i="3"/>
  <c r="P938" i="3"/>
  <c r="M939" i="3"/>
  <c r="N939" i="3"/>
  <c r="O939" i="3"/>
  <c r="P939" i="3"/>
  <c r="M940" i="3"/>
  <c r="N940" i="3"/>
  <c r="O940" i="3"/>
  <c r="P940" i="3"/>
  <c r="M941" i="3"/>
  <c r="N941" i="3"/>
  <c r="O941" i="3"/>
  <c r="P941" i="3"/>
  <c r="M942" i="3"/>
  <c r="N942" i="3"/>
  <c r="O942" i="3"/>
  <c r="P942" i="3"/>
  <c r="M943" i="3"/>
  <c r="N943" i="3"/>
  <c r="O943" i="3"/>
  <c r="P943" i="3"/>
  <c r="M944" i="3"/>
  <c r="N944" i="3"/>
  <c r="O944" i="3"/>
  <c r="P944" i="3"/>
  <c r="M945" i="3"/>
  <c r="N945" i="3"/>
  <c r="O945" i="3"/>
  <c r="P945" i="3"/>
  <c r="M946" i="3"/>
  <c r="N946" i="3"/>
  <c r="O946" i="3"/>
  <c r="P946" i="3"/>
  <c r="M947" i="3"/>
  <c r="N947" i="3"/>
  <c r="O947" i="3"/>
  <c r="P947" i="3"/>
  <c r="M948" i="3"/>
  <c r="N948" i="3"/>
  <c r="O948" i="3"/>
  <c r="P948" i="3"/>
  <c r="M949" i="3"/>
  <c r="N949" i="3"/>
  <c r="O949" i="3"/>
  <c r="P949" i="3"/>
  <c r="M950" i="3"/>
  <c r="N950" i="3"/>
  <c r="O950" i="3"/>
  <c r="P950" i="3"/>
  <c r="M951" i="3"/>
  <c r="N951" i="3"/>
  <c r="O951" i="3"/>
  <c r="P951" i="3"/>
  <c r="M952" i="3"/>
  <c r="N952" i="3"/>
  <c r="O952" i="3"/>
  <c r="P952" i="3"/>
  <c r="M953" i="3"/>
  <c r="N953" i="3"/>
  <c r="O953" i="3"/>
  <c r="P953" i="3"/>
  <c r="M954" i="3"/>
  <c r="N954" i="3"/>
  <c r="O954" i="3"/>
  <c r="P954" i="3"/>
  <c r="M955" i="3"/>
  <c r="N955" i="3"/>
  <c r="O955" i="3"/>
  <c r="P955" i="3"/>
  <c r="M956" i="3"/>
  <c r="N956" i="3"/>
  <c r="O956" i="3"/>
  <c r="P956" i="3"/>
  <c r="M957" i="3"/>
  <c r="N957" i="3"/>
  <c r="O957" i="3"/>
  <c r="P957" i="3"/>
  <c r="M958" i="3"/>
  <c r="N958" i="3"/>
  <c r="O958" i="3"/>
  <c r="P958" i="3"/>
  <c r="M959" i="3"/>
  <c r="N959" i="3"/>
  <c r="O959" i="3"/>
  <c r="P959" i="3"/>
  <c r="M960" i="3"/>
  <c r="N960" i="3"/>
  <c r="O960" i="3"/>
  <c r="P960" i="3"/>
  <c r="M961" i="3"/>
  <c r="N961" i="3"/>
  <c r="O961" i="3"/>
  <c r="P961" i="3"/>
  <c r="M962" i="3"/>
  <c r="N962" i="3"/>
  <c r="O962" i="3"/>
  <c r="P962" i="3"/>
  <c r="M963" i="3"/>
  <c r="N963" i="3"/>
  <c r="O963" i="3"/>
  <c r="P963" i="3"/>
  <c r="M964" i="3"/>
  <c r="N964" i="3"/>
  <c r="O964" i="3"/>
  <c r="P964" i="3"/>
  <c r="M965" i="3"/>
  <c r="N965" i="3"/>
  <c r="O965" i="3"/>
  <c r="P965" i="3"/>
  <c r="M966" i="3"/>
  <c r="N966" i="3"/>
  <c r="O966" i="3"/>
  <c r="P966" i="3"/>
  <c r="M967" i="3"/>
  <c r="N967" i="3"/>
  <c r="O967" i="3"/>
  <c r="P967" i="3"/>
  <c r="M968" i="3"/>
  <c r="N968" i="3"/>
  <c r="O968" i="3"/>
  <c r="P968" i="3"/>
  <c r="M969" i="3"/>
  <c r="N969" i="3"/>
  <c r="O969" i="3"/>
  <c r="P969" i="3"/>
  <c r="M804" i="3"/>
  <c r="N804" i="3"/>
  <c r="O804" i="3"/>
  <c r="P804" i="3"/>
  <c r="M805" i="3"/>
  <c r="N805" i="3"/>
  <c r="O805" i="3"/>
  <c r="P805" i="3"/>
  <c r="M806" i="3"/>
  <c r="N806" i="3"/>
  <c r="O806" i="3"/>
  <c r="P806" i="3"/>
  <c r="M807" i="3"/>
  <c r="N807" i="3"/>
  <c r="O807" i="3"/>
  <c r="P807" i="3"/>
  <c r="M808" i="3"/>
  <c r="N808" i="3"/>
  <c r="O808" i="3"/>
  <c r="P808" i="3"/>
  <c r="M809" i="3"/>
  <c r="N809" i="3"/>
  <c r="O809" i="3"/>
  <c r="P809" i="3"/>
  <c r="M810" i="3"/>
  <c r="N810" i="3"/>
  <c r="O810" i="3"/>
  <c r="P810" i="3"/>
  <c r="M811" i="3"/>
  <c r="N811" i="3"/>
  <c r="O811" i="3"/>
  <c r="P811" i="3"/>
  <c r="M812" i="3"/>
  <c r="N812" i="3"/>
  <c r="O812" i="3"/>
  <c r="P812" i="3"/>
  <c r="M813" i="3"/>
  <c r="N813" i="3"/>
  <c r="O813" i="3"/>
  <c r="P813" i="3"/>
  <c r="M814" i="3"/>
  <c r="N814" i="3"/>
  <c r="O814" i="3"/>
  <c r="P814" i="3"/>
  <c r="M815" i="3"/>
  <c r="N815" i="3"/>
  <c r="O815" i="3"/>
  <c r="P815" i="3"/>
  <c r="M816" i="3"/>
  <c r="N816" i="3"/>
  <c r="O816" i="3"/>
  <c r="P816" i="3"/>
  <c r="M817" i="3"/>
  <c r="N817" i="3"/>
  <c r="O817" i="3"/>
  <c r="P817" i="3"/>
  <c r="M818" i="3"/>
  <c r="N818" i="3"/>
  <c r="O818" i="3"/>
  <c r="P818" i="3"/>
  <c r="M819" i="3"/>
  <c r="N819" i="3"/>
  <c r="O819" i="3"/>
  <c r="P819" i="3"/>
  <c r="M820" i="3"/>
  <c r="N820" i="3"/>
  <c r="O820" i="3"/>
  <c r="P820" i="3"/>
  <c r="M821" i="3"/>
  <c r="N821" i="3"/>
  <c r="O821" i="3"/>
  <c r="P821" i="3"/>
  <c r="M822" i="3"/>
  <c r="N822" i="3"/>
  <c r="O822" i="3"/>
  <c r="P822" i="3"/>
  <c r="M823" i="3"/>
  <c r="N823" i="3"/>
  <c r="O823" i="3"/>
  <c r="P823" i="3"/>
  <c r="M824" i="3"/>
  <c r="N824" i="3"/>
  <c r="O824" i="3"/>
  <c r="P824" i="3"/>
  <c r="M825" i="3"/>
  <c r="N825" i="3"/>
  <c r="O825" i="3"/>
  <c r="P825" i="3"/>
  <c r="M826" i="3"/>
  <c r="N826" i="3"/>
  <c r="O826" i="3"/>
  <c r="P826" i="3"/>
  <c r="M827" i="3"/>
  <c r="N827" i="3"/>
  <c r="O827" i="3"/>
  <c r="P827" i="3"/>
  <c r="M828" i="3"/>
  <c r="N828" i="3"/>
  <c r="O828" i="3"/>
  <c r="P828" i="3"/>
  <c r="M829" i="3"/>
  <c r="N829" i="3"/>
  <c r="O829" i="3"/>
  <c r="P829" i="3"/>
  <c r="M830" i="3"/>
  <c r="N830" i="3"/>
  <c r="O830" i="3"/>
  <c r="P830" i="3"/>
  <c r="M831" i="3"/>
  <c r="N831" i="3"/>
  <c r="O831" i="3"/>
  <c r="P831" i="3"/>
  <c r="M832" i="3"/>
  <c r="N832" i="3"/>
  <c r="O832" i="3"/>
  <c r="P832" i="3"/>
  <c r="M833" i="3"/>
  <c r="N833" i="3"/>
  <c r="O833" i="3"/>
  <c r="P833" i="3"/>
  <c r="M834" i="3"/>
  <c r="N834" i="3"/>
  <c r="O834" i="3"/>
  <c r="P834" i="3"/>
  <c r="M835" i="3"/>
  <c r="N835" i="3"/>
  <c r="O835" i="3"/>
  <c r="P835" i="3"/>
  <c r="M836" i="3"/>
  <c r="N836" i="3"/>
  <c r="O836" i="3"/>
  <c r="P836" i="3"/>
  <c r="M837" i="3"/>
  <c r="N837" i="3"/>
  <c r="O837" i="3"/>
  <c r="P837" i="3"/>
  <c r="M838" i="3"/>
  <c r="N838" i="3"/>
  <c r="O838" i="3"/>
  <c r="P838" i="3"/>
  <c r="M839" i="3"/>
  <c r="N839" i="3"/>
  <c r="O839" i="3"/>
  <c r="P839" i="3"/>
  <c r="M840" i="3"/>
  <c r="N840" i="3"/>
  <c r="O840" i="3"/>
  <c r="P840" i="3"/>
  <c r="M841" i="3"/>
  <c r="N841" i="3"/>
  <c r="O841" i="3"/>
  <c r="P841" i="3"/>
  <c r="M842" i="3"/>
  <c r="N842" i="3"/>
  <c r="O842" i="3"/>
  <c r="P842" i="3"/>
  <c r="M843" i="3"/>
  <c r="N843" i="3"/>
  <c r="O843" i="3"/>
  <c r="P843" i="3"/>
  <c r="M844" i="3"/>
  <c r="N844" i="3"/>
  <c r="O844" i="3"/>
  <c r="P844" i="3"/>
  <c r="M845" i="3"/>
  <c r="N845" i="3"/>
  <c r="O845" i="3"/>
  <c r="P845" i="3"/>
  <c r="M846" i="3"/>
  <c r="N846" i="3"/>
  <c r="O846" i="3"/>
  <c r="P846" i="3"/>
  <c r="M847" i="3"/>
  <c r="N847" i="3"/>
  <c r="O847" i="3"/>
  <c r="P847" i="3"/>
  <c r="M848" i="3"/>
  <c r="N848" i="3"/>
  <c r="O848" i="3"/>
  <c r="P848" i="3"/>
  <c r="M849" i="3"/>
  <c r="N849" i="3"/>
  <c r="O849" i="3"/>
  <c r="P849" i="3"/>
  <c r="M850" i="3"/>
  <c r="N850" i="3"/>
  <c r="O850" i="3"/>
  <c r="P850" i="3"/>
  <c r="M851" i="3"/>
  <c r="N851" i="3"/>
  <c r="O851" i="3"/>
  <c r="P851" i="3"/>
  <c r="M852" i="3"/>
  <c r="N852" i="3"/>
  <c r="O852" i="3"/>
  <c r="P852" i="3"/>
  <c r="M853" i="3"/>
  <c r="N853" i="3"/>
  <c r="O853" i="3"/>
  <c r="P853" i="3"/>
  <c r="M854" i="3"/>
  <c r="N854" i="3"/>
  <c r="O854" i="3"/>
  <c r="P854" i="3"/>
  <c r="M855" i="3"/>
  <c r="N855" i="3"/>
  <c r="O855" i="3"/>
  <c r="P855" i="3"/>
  <c r="M856" i="3"/>
  <c r="N856" i="3"/>
  <c r="O856" i="3"/>
  <c r="P856" i="3"/>
  <c r="M857" i="3"/>
  <c r="N857" i="3"/>
  <c r="O857" i="3"/>
  <c r="P857" i="3"/>
  <c r="M858" i="3"/>
  <c r="N858" i="3"/>
  <c r="O858" i="3"/>
  <c r="P858" i="3"/>
  <c r="M859" i="3"/>
  <c r="N859" i="3"/>
  <c r="O859" i="3"/>
  <c r="P859" i="3"/>
  <c r="M860" i="3"/>
  <c r="N860" i="3"/>
  <c r="O860" i="3"/>
  <c r="P860" i="3"/>
  <c r="M861" i="3"/>
  <c r="N861" i="3"/>
  <c r="O861" i="3"/>
  <c r="P861" i="3"/>
  <c r="M862" i="3"/>
  <c r="N862" i="3"/>
  <c r="O862" i="3"/>
  <c r="P862" i="3"/>
  <c r="M863" i="3"/>
  <c r="N863" i="3"/>
  <c r="O863" i="3"/>
  <c r="P863" i="3"/>
  <c r="M864" i="3"/>
  <c r="N864" i="3"/>
  <c r="O864" i="3"/>
  <c r="P864" i="3"/>
  <c r="M865" i="3"/>
  <c r="N865" i="3"/>
  <c r="O865" i="3"/>
  <c r="P865" i="3"/>
  <c r="M866" i="3"/>
  <c r="N866" i="3"/>
  <c r="O866" i="3"/>
  <c r="P866" i="3"/>
  <c r="M867" i="3"/>
  <c r="N867" i="3"/>
  <c r="O867" i="3"/>
  <c r="P867" i="3"/>
  <c r="M868" i="3"/>
  <c r="N868" i="3"/>
  <c r="O868" i="3"/>
  <c r="P868" i="3"/>
  <c r="M869" i="3"/>
  <c r="N869" i="3"/>
  <c r="O869" i="3"/>
  <c r="P869" i="3"/>
  <c r="M870" i="3"/>
  <c r="N870" i="3"/>
  <c r="O870" i="3"/>
  <c r="P870" i="3"/>
  <c r="M871" i="3"/>
  <c r="N871" i="3"/>
  <c r="O871" i="3"/>
  <c r="P871" i="3"/>
  <c r="M872" i="3"/>
  <c r="N872" i="3"/>
  <c r="O872" i="3"/>
  <c r="P872" i="3"/>
  <c r="M873" i="3"/>
  <c r="N873" i="3"/>
  <c r="O873" i="3"/>
  <c r="P873" i="3"/>
  <c r="M874" i="3"/>
  <c r="N874" i="3"/>
  <c r="O874" i="3"/>
  <c r="P874" i="3"/>
  <c r="M875" i="3"/>
  <c r="N875" i="3"/>
  <c r="O875" i="3"/>
  <c r="P875" i="3"/>
  <c r="M876" i="3"/>
  <c r="N876" i="3"/>
  <c r="O876" i="3"/>
  <c r="P876" i="3"/>
  <c r="M877" i="3"/>
  <c r="N877" i="3"/>
  <c r="O877" i="3"/>
  <c r="P877" i="3"/>
  <c r="M878" i="3"/>
  <c r="N878" i="3"/>
  <c r="O878" i="3"/>
  <c r="P878" i="3"/>
  <c r="M879" i="3"/>
  <c r="N879" i="3"/>
  <c r="O879" i="3"/>
  <c r="P879" i="3"/>
  <c r="M880" i="3"/>
  <c r="N880" i="3"/>
  <c r="O880" i="3"/>
  <c r="P880" i="3"/>
  <c r="M881" i="3"/>
  <c r="N881" i="3"/>
  <c r="O881" i="3"/>
  <c r="P881" i="3"/>
  <c r="M882" i="3"/>
  <c r="N882" i="3"/>
  <c r="O882" i="3"/>
  <c r="P882" i="3"/>
  <c r="M883" i="3"/>
  <c r="N883" i="3"/>
  <c r="O883" i="3"/>
  <c r="P883" i="3"/>
  <c r="M884" i="3"/>
  <c r="N884" i="3"/>
  <c r="O884" i="3"/>
  <c r="P884" i="3"/>
  <c r="M885" i="3"/>
  <c r="N885" i="3"/>
  <c r="O885" i="3"/>
  <c r="P885" i="3"/>
  <c r="M886" i="3"/>
  <c r="N886" i="3"/>
  <c r="O886" i="3"/>
  <c r="P886" i="3"/>
  <c r="M887" i="3"/>
  <c r="N887" i="3"/>
  <c r="O887" i="3"/>
  <c r="P887" i="3"/>
  <c r="M888" i="3"/>
  <c r="N888" i="3"/>
  <c r="O888" i="3"/>
  <c r="P888" i="3"/>
  <c r="M889" i="3"/>
  <c r="N889" i="3"/>
  <c r="O889" i="3"/>
  <c r="P889" i="3"/>
  <c r="M890" i="3"/>
  <c r="N890" i="3"/>
  <c r="O890" i="3"/>
  <c r="P890" i="3"/>
  <c r="M891" i="3"/>
  <c r="N891" i="3"/>
  <c r="O891" i="3"/>
  <c r="P891" i="3"/>
  <c r="M892" i="3"/>
  <c r="N892" i="3"/>
  <c r="O892" i="3"/>
  <c r="P892" i="3"/>
  <c r="M715" i="3"/>
  <c r="N715" i="3"/>
  <c r="O715" i="3"/>
  <c r="P715" i="3"/>
  <c r="M716" i="3"/>
  <c r="N716" i="3"/>
  <c r="O716" i="3"/>
  <c r="P716" i="3"/>
  <c r="M717" i="3"/>
  <c r="N717" i="3"/>
  <c r="O717" i="3"/>
  <c r="P717" i="3"/>
  <c r="M718" i="3"/>
  <c r="N718" i="3"/>
  <c r="O718" i="3"/>
  <c r="P718" i="3"/>
  <c r="M719" i="3"/>
  <c r="N719" i="3"/>
  <c r="O719" i="3"/>
  <c r="P719" i="3"/>
  <c r="M720" i="3"/>
  <c r="N720" i="3"/>
  <c r="O720" i="3"/>
  <c r="P720" i="3"/>
  <c r="M721" i="3"/>
  <c r="N721" i="3"/>
  <c r="O721" i="3"/>
  <c r="P721" i="3"/>
  <c r="M722" i="3"/>
  <c r="N722" i="3"/>
  <c r="O722" i="3"/>
  <c r="P722" i="3"/>
  <c r="M723" i="3"/>
  <c r="N723" i="3"/>
  <c r="O723" i="3"/>
  <c r="P723" i="3"/>
  <c r="M724" i="3"/>
  <c r="N724" i="3"/>
  <c r="O724" i="3"/>
  <c r="P724" i="3"/>
  <c r="M725" i="3"/>
  <c r="N725" i="3"/>
  <c r="O725" i="3"/>
  <c r="P725" i="3"/>
  <c r="M726" i="3"/>
  <c r="N726" i="3"/>
  <c r="O726" i="3"/>
  <c r="P726" i="3"/>
  <c r="M727" i="3"/>
  <c r="N727" i="3"/>
  <c r="O727" i="3"/>
  <c r="P727" i="3"/>
  <c r="M728" i="3"/>
  <c r="N728" i="3"/>
  <c r="O728" i="3"/>
  <c r="P728" i="3"/>
  <c r="M729" i="3"/>
  <c r="N729" i="3"/>
  <c r="O729" i="3"/>
  <c r="P729" i="3"/>
  <c r="M730" i="3"/>
  <c r="N730" i="3"/>
  <c r="O730" i="3"/>
  <c r="P730" i="3"/>
  <c r="M731" i="3"/>
  <c r="N731" i="3"/>
  <c r="O731" i="3"/>
  <c r="P731" i="3"/>
  <c r="M732" i="3"/>
  <c r="N732" i="3"/>
  <c r="O732" i="3"/>
  <c r="P732" i="3"/>
  <c r="M733" i="3"/>
  <c r="N733" i="3"/>
  <c r="O733" i="3"/>
  <c r="P733" i="3"/>
  <c r="M734" i="3"/>
  <c r="N734" i="3"/>
  <c r="O734" i="3"/>
  <c r="P734" i="3"/>
  <c r="M735" i="3"/>
  <c r="N735" i="3"/>
  <c r="O735" i="3"/>
  <c r="P735" i="3"/>
  <c r="M736" i="3"/>
  <c r="N736" i="3"/>
  <c r="O736" i="3"/>
  <c r="P736" i="3"/>
  <c r="M737" i="3"/>
  <c r="N737" i="3"/>
  <c r="O737" i="3"/>
  <c r="P737" i="3"/>
  <c r="M738" i="3"/>
  <c r="N738" i="3"/>
  <c r="O738" i="3"/>
  <c r="P738" i="3"/>
  <c r="M739" i="3"/>
  <c r="N739" i="3"/>
  <c r="O739" i="3"/>
  <c r="P739" i="3"/>
  <c r="M740" i="3"/>
  <c r="N740" i="3"/>
  <c r="O740" i="3"/>
  <c r="P740" i="3"/>
  <c r="M741" i="3"/>
  <c r="N741" i="3"/>
  <c r="O741" i="3"/>
  <c r="P741" i="3"/>
  <c r="M742" i="3"/>
  <c r="N742" i="3"/>
  <c r="O742" i="3"/>
  <c r="P742" i="3"/>
  <c r="M743" i="3"/>
  <c r="N743" i="3"/>
  <c r="O743" i="3"/>
  <c r="P743" i="3"/>
  <c r="M744" i="3"/>
  <c r="N744" i="3"/>
  <c r="O744" i="3"/>
  <c r="P744" i="3"/>
  <c r="M745" i="3"/>
  <c r="N745" i="3"/>
  <c r="O745" i="3"/>
  <c r="P745" i="3"/>
  <c r="M746" i="3"/>
  <c r="N746" i="3"/>
  <c r="O746" i="3"/>
  <c r="P746" i="3"/>
  <c r="M747" i="3"/>
  <c r="N747" i="3"/>
  <c r="O747" i="3"/>
  <c r="P747" i="3"/>
  <c r="M748" i="3"/>
  <c r="N748" i="3"/>
  <c r="O748" i="3"/>
  <c r="P748" i="3"/>
  <c r="M749" i="3"/>
  <c r="N749" i="3"/>
  <c r="O749" i="3"/>
  <c r="P749" i="3"/>
  <c r="M750" i="3"/>
  <c r="N750" i="3"/>
  <c r="O750" i="3"/>
  <c r="P750" i="3"/>
  <c r="M751" i="3"/>
  <c r="N751" i="3"/>
  <c r="O751" i="3"/>
  <c r="P751" i="3"/>
  <c r="M752" i="3"/>
  <c r="N752" i="3"/>
  <c r="O752" i="3"/>
  <c r="P752" i="3"/>
  <c r="M753" i="3"/>
  <c r="N753" i="3"/>
  <c r="O753" i="3"/>
  <c r="P753" i="3"/>
  <c r="M754" i="3"/>
  <c r="N754" i="3"/>
  <c r="O754" i="3"/>
  <c r="P754" i="3"/>
  <c r="M755" i="3"/>
  <c r="N755" i="3"/>
  <c r="O755" i="3"/>
  <c r="P755" i="3"/>
  <c r="M756" i="3"/>
  <c r="N756" i="3"/>
  <c r="O756" i="3"/>
  <c r="P756" i="3"/>
  <c r="M757" i="3"/>
  <c r="N757" i="3"/>
  <c r="O757" i="3"/>
  <c r="P757" i="3"/>
  <c r="M758" i="3"/>
  <c r="N758" i="3"/>
  <c r="O758" i="3"/>
  <c r="P758" i="3"/>
  <c r="M759" i="3"/>
  <c r="N759" i="3"/>
  <c r="O759" i="3"/>
  <c r="P759" i="3"/>
  <c r="M760" i="3"/>
  <c r="N760" i="3"/>
  <c r="O760" i="3"/>
  <c r="P760" i="3"/>
  <c r="M761" i="3"/>
  <c r="N761" i="3"/>
  <c r="O761" i="3"/>
  <c r="P761" i="3"/>
  <c r="M762" i="3"/>
  <c r="N762" i="3"/>
  <c r="O762" i="3"/>
  <c r="P762" i="3"/>
  <c r="M763" i="3"/>
  <c r="N763" i="3"/>
  <c r="O763" i="3"/>
  <c r="P763" i="3"/>
  <c r="M764" i="3"/>
  <c r="N764" i="3"/>
  <c r="O764" i="3"/>
  <c r="P764" i="3"/>
  <c r="M765" i="3"/>
  <c r="N765" i="3"/>
  <c r="O765" i="3"/>
  <c r="P765" i="3"/>
  <c r="M766" i="3"/>
  <c r="N766" i="3"/>
  <c r="O766" i="3"/>
  <c r="P766" i="3"/>
  <c r="M767" i="3"/>
  <c r="N767" i="3"/>
  <c r="O767" i="3"/>
  <c r="P767" i="3"/>
  <c r="M768" i="3"/>
  <c r="N768" i="3"/>
  <c r="O768" i="3"/>
  <c r="P768" i="3"/>
  <c r="M769" i="3"/>
  <c r="N769" i="3"/>
  <c r="O769" i="3"/>
  <c r="P769" i="3"/>
  <c r="M770" i="3"/>
  <c r="N770" i="3"/>
  <c r="O770" i="3"/>
  <c r="P770" i="3"/>
  <c r="M771" i="3"/>
  <c r="N771" i="3"/>
  <c r="O771" i="3"/>
  <c r="P771" i="3"/>
  <c r="M772" i="3"/>
  <c r="N772" i="3"/>
  <c r="O772" i="3"/>
  <c r="P772" i="3"/>
  <c r="M773" i="3"/>
  <c r="N773" i="3"/>
  <c r="O773" i="3"/>
  <c r="P773" i="3"/>
  <c r="M774" i="3"/>
  <c r="N774" i="3"/>
  <c r="O774" i="3"/>
  <c r="P774" i="3"/>
  <c r="M775" i="3"/>
  <c r="N775" i="3"/>
  <c r="O775" i="3"/>
  <c r="P775" i="3"/>
  <c r="M776" i="3"/>
  <c r="N776" i="3"/>
  <c r="O776" i="3"/>
  <c r="P776" i="3"/>
  <c r="M777" i="3"/>
  <c r="N777" i="3"/>
  <c r="O777" i="3"/>
  <c r="P777" i="3"/>
  <c r="M778" i="3"/>
  <c r="N778" i="3"/>
  <c r="O778" i="3"/>
  <c r="P778" i="3"/>
  <c r="M779" i="3"/>
  <c r="N779" i="3"/>
  <c r="O779" i="3"/>
  <c r="P779" i="3"/>
  <c r="M780" i="3"/>
  <c r="N780" i="3"/>
  <c r="O780" i="3"/>
  <c r="P780" i="3"/>
  <c r="M781" i="3"/>
  <c r="N781" i="3"/>
  <c r="O781" i="3"/>
  <c r="P781" i="3"/>
  <c r="M782" i="3"/>
  <c r="N782" i="3"/>
  <c r="O782" i="3"/>
  <c r="P782" i="3"/>
  <c r="M783" i="3"/>
  <c r="N783" i="3"/>
  <c r="O783" i="3"/>
  <c r="P783" i="3"/>
  <c r="M784" i="3"/>
  <c r="N784" i="3"/>
  <c r="O784" i="3"/>
  <c r="P784" i="3"/>
  <c r="M785" i="3"/>
  <c r="N785" i="3"/>
  <c r="O785" i="3"/>
  <c r="P785" i="3"/>
  <c r="M786" i="3"/>
  <c r="N786" i="3"/>
  <c r="O786" i="3"/>
  <c r="P786" i="3"/>
  <c r="M787" i="3"/>
  <c r="N787" i="3"/>
  <c r="O787" i="3"/>
  <c r="P787" i="3"/>
  <c r="M788" i="3"/>
  <c r="N788" i="3"/>
  <c r="O788" i="3"/>
  <c r="P788" i="3"/>
  <c r="M789" i="3"/>
  <c r="N789" i="3"/>
  <c r="O789" i="3"/>
  <c r="P789" i="3"/>
  <c r="M790" i="3"/>
  <c r="N790" i="3"/>
  <c r="O790" i="3"/>
  <c r="P790" i="3"/>
  <c r="M791" i="3"/>
  <c r="N791" i="3"/>
  <c r="O791" i="3"/>
  <c r="P791" i="3"/>
  <c r="M792" i="3"/>
  <c r="N792" i="3"/>
  <c r="O792" i="3"/>
  <c r="P792" i="3"/>
  <c r="M793" i="3"/>
  <c r="N793" i="3"/>
  <c r="O793" i="3"/>
  <c r="P793" i="3"/>
  <c r="M794" i="3"/>
  <c r="N794" i="3"/>
  <c r="O794" i="3"/>
  <c r="P794" i="3"/>
  <c r="M795" i="3"/>
  <c r="N795" i="3"/>
  <c r="O795" i="3"/>
  <c r="P795" i="3"/>
  <c r="M796" i="3"/>
  <c r="N796" i="3"/>
  <c r="O796" i="3"/>
  <c r="P796" i="3"/>
  <c r="M797" i="3"/>
  <c r="N797" i="3"/>
  <c r="O797" i="3"/>
  <c r="P797" i="3"/>
  <c r="M798" i="3"/>
  <c r="N798" i="3"/>
  <c r="O798" i="3"/>
  <c r="P798" i="3"/>
  <c r="M799" i="3"/>
  <c r="N799" i="3"/>
  <c r="O799" i="3"/>
  <c r="P799" i="3"/>
  <c r="M800" i="3"/>
  <c r="N800" i="3"/>
  <c r="O800" i="3"/>
  <c r="P800" i="3"/>
  <c r="M801" i="3"/>
  <c r="N801" i="3"/>
  <c r="O801" i="3"/>
  <c r="P801" i="3"/>
  <c r="M802" i="3"/>
  <c r="N802" i="3"/>
  <c r="O802" i="3"/>
  <c r="P802" i="3"/>
  <c r="M803" i="3"/>
  <c r="N803" i="3"/>
  <c r="O803" i="3"/>
  <c r="P803" i="3"/>
  <c r="P568" i="3"/>
  <c r="O568" i="3"/>
  <c r="N568" i="3"/>
  <c r="M568" i="3"/>
  <c r="R1092" i="3" l="1"/>
  <c r="R1096" i="3"/>
  <c r="R1099" i="3"/>
  <c r="R1093" i="3"/>
  <c r="R705" i="3"/>
  <c r="R1097" i="3"/>
  <c r="R1091" i="3"/>
  <c r="R45" i="3"/>
  <c r="R46" i="3"/>
  <c r="R1095" i="3"/>
  <c r="R709" i="3"/>
  <c r="R43" i="3"/>
  <c r="R1098" i="3"/>
  <c r="R1094" i="3"/>
  <c r="R1090" i="3"/>
  <c r="R40" i="3"/>
  <c r="R44" i="3"/>
  <c r="R39" i="3"/>
  <c r="R41" i="3"/>
  <c r="R707" i="3"/>
  <c r="R38" i="3"/>
  <c r="R42" i="3"/>
  <c r="R37" i="3"/>
  <c r="R711" i="3"/>
  <c r="R712" i="3"/>
  <c r="R708" i="3"/>
  <c r="R706" i="3"/>
  <c r="R714" i="3"/>
  <c r="R710" i="3"/>
  <c r="R713" i="3"/>
  <c r="R675" i="3"/>
  <c r="R703" i="3"/>
  <c r="R682" i="3"/>
  <c r="R698" i="3"/>
  <c r="R702" i="3"/>
  <c r="R695" i="3"/>
  <c r="R678" i="3"/>
  <c r="R684" i="3"/>
  <c r="R692" i="3"/>
  <c r="R679" i="3"/>
  <c r="R676" i="3"/>
  <c r="R693" i="3"/>
  <c r="R701" i="3"/>
  <c r="R704" i="3"/>
  <c r="R671" i="3"/>
  <c r="R681" i="3"/>
  <c r="R689" i="3"/>
  <c r="R674" i="3"/>
  <c r="R683" i="3"/>
  <c r="R677" i="3"/>
  <c r="R672" i="3"/>
  <c r="R687" i="3"/>
  <c r="R691" i="3"/>
  <c r="R673" i="3"/>
  <c r="R699" i="3"/>
  <c r="R700" i="3"/>
  <c r="R694" i="3"/>
  <c r="R696" i="3"/>
  <c r="R697" i="3"/>
  <c r="R690" i="3"/>
  <c r="R686" i="3"/>
  <c r="R685" i="3"/>
  <c r="R688" i="3"/>
  <c r="R680" i="3"/>
  <c r="R10" i="3"/>
  <c r="R48" i="3"/>
  <c r="R19" i="3"/>
  <c r="R5" i="3"/>
  <c r="R7" i="3"/>
  <c r="R15" i="3"/>
  <c r="R17" i="3"/>
  <c r="R20" i="3"/>
  <c r="R3" i="3"/>
  <c r="R9" i="3"/>
  <c r="R51" i="3"/>
  <c r="R35" i="3"/>
  <c r="R4" i="3"/>
  <c r="R669" i="3"/>
  <c r="R12" i="3"/>
  <c r="R18" i="3"/>
  <c r="R21" i="3"/>
  <c r="R658" i="3"/>
  <c r="R666" i="3"/>
  <c r="R6" i="3"/>
  <c r="R8" i="3"/>
  <c r="R11" i="3"/>
  <c r="R50" i="3"/>
  <c r="R13" i="3"/>
  <c r="R16" i="3"/>
  <c r="R670" i="3"/>
  <c r="R47" i="3"/>
  <c r="R49" i="3"/>
  <c r="R14" i="3"/>
  <c r="R2" i="3"/>
  <c r="R668" i="3"/>
  <c r="R663" i="3"/>
  <c r="R135" i="3"/>
  <c r="R120" i="3"/>
  <c r="R54" i="3"/>
  <c r="R118" i="3"/>
  <c r="R28" i="3"/>
  <c r="R34" i="3"/>
  <c r="R123" i="3"/>
  <c r="R33" i="3"/>
  <c r="R36" i="3"/>
  <c r="R657" i="3"/>
  <c r="R63" i="3"/>
  <c r="R95" i="3"/>
  <c r="R667" i="3"/>
  <c r="R143" i="3"/>
  <c r="R68" i="3"/>
  <c r="R76" i="3"/>
  <c r="R92" i="3"/>
  <c r="R148" i="3"/>
  <c r="R661" i="3"/>
  <c r="R664" i="3"/>
  <c r="R52" i="3"/>
  <c r="R59" i="3"/>
  <c r="R56" i="3"/>
  <c r="R53" i="3"/>
  <c r="R73" i="3"/>
  <c r="R31" i="3"/>
  <c r="R655" i="3"/>
  <c r="R57" i="3"/>
  <c r="R60" i="3"/>
  <c r="R96" i="3"/>
  <c r="R145" i="3"/>
  <c r="R30" i="3"/>
  <c r="R93" i="3"/>
  <c r="R101" i="3"/>
  <c r="R133" i="3"/>
  <c r="R149" i="3"/>
  <c r="R651" i="3"/>
  <c r="R665" i="3"/>
  <c r="R66" i="3"/>
  <c r="R75" i="3"/>
  <c r="R98" i="3"/>
  <c r="R114" i="3"/>
  <c r="R138" i="3"/>
  <c r="R146" i="3"/>
  <c r="R24" i="3"/>
  <c r="R25" i="3"/>
  <c r="R656" i="3"/>
  <c r="R659" i="3"/>
  <c r="R662" i="3"/>
  <c r="R660" i="3"/>
  <c r="R652" i="3"/>
  <c r="R650" i="3"/>
  <c r="R654" i="3"/>
  <c r="R653" i="3"/>
  <c r="R32" i="3"/>
  <c r="R29" i="3"/>
  <c r="R27" i="3"/>
  <c r="R23" i="3"/>
  <c r="R26" i="3"/>
  <c r="R22" i="3"/>
  <c r="R151" i="3"/>
  <c r="R150" i="3"/>
  <c r="R147" i="3"/>
  <c r="R142" i="3"/>
  <c r="R144" i="3"/>
  <c r="R139" i="3"/>
  <c r="R141" i="3"/>
  <c r="R140" i="3"/>
  <c r="R137" i="3"/>
  <c r="R134" i="3"/>
  <c r="R136" i="3"/>
  <c r="R132" i="3"/>
  <c r="R129" i="3"/>
  <c r="R131" i="3"/>
  <c r="R128" i="3"/>
  <c r="R130" i="3"/>
  <c r="R127" i="3"/>
  <c r="R125" i="3"/>
  <c r="R126" i="3"/>
  <c r="R122" i="3"/>
  <c r="R124" i="3"/>
  <c r="R119" i="3"/>
  <c r="R121" i="3"/>
  <c r="R117" i="3"/>
  <c r="R116" i="3"/>
  <c r="R113" i="3"/>
  <c r="R115" i="3"/>
  <c r="R112" i="3"/>
  <c r="R104" i="3"/>
  <c r="R85" i="3"/>
  <c r="R90" i="3"/>
  <c r="R81" i="3"/>
  <c r="R74" i="3"/>
  <c r="R61" i="3"/>
  <c r="R58" i="3"/>
  <c r="R78" i="3"/>
  <c r="R55" i="3"/>
  <c r="R80" i="3"/>
  <c r="R70" i="3"/>
  <c r="R88" i="3"/>
  <c r="R100" i="3"/>
  <c r="R111" i="3"/>
  <c r="R108" i="3"/>
  <c r="R110" i="3"/>
  <c r="R109" i="3"/>
  <c r="R107" i="3"/>
  <c r="R106" i="3"/>
  <c r="R103" i="3"/>
  <c r="R105" i="3"/>
  <c r="R102" i="3"/>
  <c r="R97" i="3"/>
  <c r="R99" i="3"/>
  <c r="R94" i="3"/>
  <c r="R91" i="3"/>
  <c r="R89" i="3"/>
  <c r="R87" i="3"/>
  <c r="R83" i="3"/>
  <c r="R86" i="3"/>
  <c r="R82" i="3"/>
  <c r="R84" i="3"/>
  <c r="R79" i="3"/>
  <c r="R77" i="3"/>
  <c r="R72" i="3"/>
  <c r="R71" i="3"/>
  <c r="R67" i="3"/>
  <c r="R69" i="3"/>
  <c r="R65" i="3"/>
  <c r="R62" i="3"/>
  <c r="R64" i="3"/>
  <c r="I2" i="4"/>
  <c r="J2" i="4" s="1"/>
  <c r="J3" i="4"/>
  <c r="J4" i="4"/>
  <c r="J5" i="4"/>
  <c r="J6" i="4"/>
  <c r="J7" i="4"/>
  <c r="J8" i="4"/>
  <c r="J16" i="4"/>
  <c r="J24" i="4"/>
  <c r="J23" i="4"/>
  <c r="J29" i="4"/>
  <c r="J19" i="4"/>
  <c r="J26" i="4"/>
  <c r="J18" i="4"/>
  <c r="J10" i="4"/>
  <c r="J15" i="4"/>
  <c r="J22" i="4"/>
  <c r="J14" i="4"/>
  <c r="J21" i="4"/>
  <c r="J13" i="4"/>
  <c r="J28" i="4"/>
  <c r="J20" i="4"/>
  <c r="J12" i="4"/>
  <c r="J27" i="4"/>
  <c r="J11" i="4"/>
  <c r="J25" i="4"/>
  <c r="J17" i="4"/>
  <c r="J9" i="4"/>
  <c r="B2" i="4"/>
  <c r="C2" i="4" s="1" a="1"/>
  <c r="C2" i="4" s="1"/>
  <c r="C3" i="4" a="1"/>
  <c r="C3" i="4" s="1"/>
  <c r="C8" i="4" a="1"/>
  <c r="C8" i="4" s="1"/>
  <c r="C4" i="4" a="1"/>
  <c r="C4" i="4" s="1"/>
  <c r="C9" i="4" a="1"/>
  <c r="C9" i="4" s="1"/>
  <c r="C5" i="4" a="1"/>
  <c r="C5" i="4" s="1"/>
  <c r="C10" i="4" a="1"/>
  <c r="C10" i="4" s="1"/>
  <c r="C14" i="4" a="1"/>
  <c r="C14" i="4" s="1"/>
  <c r="C18" i="4" a="1"/>
  <c r="C18" i="4" s="1"/>
  <c r="C26" i="4" a="1"/>
  <c r="C26" i="4" s="1"/>
  <c r="C29" i="4" a="1"/>
  <c r="C29" i="4" s="1"/>
  <c r="C17" i="4" a="1"/>
  <c r="C17" i="4" s="1"/>
  <c r="C24" i="4" a="1"/>
  <c r="C24" i="4" s="1"/>
  <c r="C20" i="4" a="1"/>
  <c r="C20" i="4" s="1"/>
  <c r="C12" i="4" a="1"/>
  <c r="C12" i="4" s="1"/>
  <c r="C27" i="4" a="1"/>
  <c r="C27" i="4" s="1"/>
  <c r="C23" i="4" a="1"/>
  <c r="C23" i="4" s="1"/>
  <c r="C19" i="4" a="1"/>
  <c r="C19" i="4" s="1"/>
  <c r="C15" i="4" a="1"/>
  <c r="C15" i="4" s="1"/>
  <c r="C11" i="4" a="1"/>
  <c r="C11" i="4" s="1"/>
  <c r="C7" i="4" a="1"/>
  <c r="C7" i="4" s="1"/>
  <c r="C25" i="4" a="1"/>
  <c r="C25" i="4" s="1"/>
  <c r="C21" i="4" a="1"/>
  <c r="C21" i="4" s="1"/>
  <c r="C13" i="4" a="1"/>
  <c r="C13" i="4" s="1"/>
  <c r="C28" i="4" a="1"/>
  <c r="C28" i="4" s="1"/>
  <c r="C16" i="4" a="1"/>
  <c r="C16" i="4" s="1"/>
  <c r="C30" i="4" a="1"/>
  <c r="C30" i="4" s="1"/>
  <c r="C22" i="4" a="1"/>
  <c r="C22" i="4" s="1"/>
  <c r="C6" i="4" a="1"/>
  <c r="C6" i="4" s="1"/>
  <c r="R772" i="3"/>
  <c r="R802" i="3"/>
  <c r="R798" i="3"/>
  <c r="R794" i="3"/>
  <c r="R792" i="3"/>
  <c r="R788" i="3"/>
  <c r="R782" i="3"/>
  <c r="R780" i="3"/>
  <c r="R776" i="3"/>
  <c r="R770" i="3"/>
  <c r="R800" i="3"/>
  <c r="R796" i="3"/>
  <c r="R790" i="3"/>
  <c r="R786" i="3"/>
  <c r="R784" i="3"/>
  <c r="R778" i="3"/>
  <c r="R774" i="3"/>
  <c r="R768" i="3"/>
  <c r="R872" i="3"/>
  <c r="R866" i="3"/>
  <c r="R860" i="3"/>
  <c r="R854" i="3"/>
  <c r="R850" i="3"/>
  <c r="R846" i="3"/>
  <c r="R840" i="3"/>
  <c r="R834" i="3"/>
  <c r="R828" i="3"/>
  <c r="R820" i="3"/>
  <c r="R814" i="3"/>
  <c r="R808" i="3"/>
  <c r="R969" i="3"/>
  <c r="R966" i="3"/>
  <c r="R963" i="3"/>
  <c r="R961" i="3"/>
  <c r="R958" i="3"/>
  <c r="R955" i="3"/>
  <c r="R948" i="3"/>
  <c r="R942" i="3"/>
  <c r="R926" i="3"/>
  <c r="R922" i="3"/>
  <c r="R916" i="3"/>
  <c r="R910" i="3"/>
  <c r="R904" i="3"/>
  <c r="R898" i="3"/>
  <c r="R988" i="3"/>
  <c r="R982" i="3"/>
  <c r="R979" i="3"/>
  <c r="R971" i="3"/>
  <c r="R1087" i="3"/>
  <c r="R1081" i="3"/>
  <c r="R1076" i="3"/>
  <c r="R1061" i="3"/>
  <c r="R730" i="3"/>
  <c r="R728" i="3"/>
  <c r="R724" i="3"/>
  <c r="R718" i="3"/>
  <c r="R884" i="3"/>
  <c r="R880" i="3"/>
  <c r="R876" i="3"/>
  <c r="R874" i="3"/>
  <c r="R868" i="3"/>
  <c r="R862" i="3"/>
  <c r="R856" i="3"/>
  <c r="R848" i="3"/>
  <c r="R842" i="3"/>
  <c r="R838" i="3"/>
  <c r="R832" i="3"/>
  <c r="R826" i="3"/>
  <c r="R822" i="3"/>
  <c r="R816" i="3"/>
  <c r="R810" i="3"/>
  <c r="R804" i="3"/>
  <c r="R967" i="3"/>
  <c r="R964" i="3"/>
  <c r="R960" i="3"/>
  <c r="R957" i="3"/>
  <c r="R946" i="3"/>
  <c r="R928" i="3"/>
  <c r="R920" i="3"/>
  <c r="R914" i="3"/>
  <c r="R908" i="3"/>
  <c r="R902" i="3"/>
  <c r="R896" i="3"/>
  <c r="R986" i="3"/>
  <c r="R975" i="3"/>
  <c r="R1089" i="3"/>
  <c r="R1083" i="3"/>
  <c r="R1077" i="3"/>
  <c r="R1074" i="3"/>
  <c r="R766" i="3"/>
  <c r="R764" i="3"/>
  <c r="R762" i="3"/>
  <c r="R760" i="3"/>
  <c r="R758" i="3"/>
  <c r="R756" i="3"/>
  <c r="R754" i="3"/>
  <c r="R752" i="3"/>
  <c r="R750" i="3"/>
  <c r="R748" i="3"/>
  <c r="R746" i="3"/>
  <c r="R744" i="3"/>
  <c r="R742" i="3"/>
  <c r="R740" i="3"/>
  <c r="R738" i="3"/>
  <c r="R736" i="3"/>
  <c r="R734" i="3"/>
  <c r="R732" i="3"/>
  <c r="R726" i="3"/>
  <c r="R722" i="3"/>
  <c r="R720" i="3"/>
  <c r="R716" i="3"/>
  <c r="R888" i="3"/>
  <c r="R886" i="3"/>
  <c r="R882" i="3"/>
  <c r="R878" i="3"/>
  <c r="R870" i="3"/>
  <c r="R864" i="3"/>
  <c r="R858" i="3"/>
  <c r="R852" i="3"/>
  <c r="R844" i="3"/>
  <c r="R836" i="3"/>
  <c r="R830" i="3"/>
  <c r="R824" i="3"/>
  <c r="R818" i="3"/>
  <c r="R812" i="3"/>
  <c r="R806" i="3"/>
  <c r="R968" i="3"/>
  <c r="R965" i="3"/>
  <c r="R962" i="3"/>
  <c r="R959" i="3"/>
  <c r="R956" i="3"/>
  <c r="R953" i="3"/>
  <c r="R951" i="3"/>
  <c r="R944" i="3"/>
  <c r="R930" i="3"/>
  <c r="R924" i="3"/>
  <c r="R918" i="3"/>
  <c r="R912" i="3"/>
  <c r="R906" i="3"/>
  <c r="R900" i="3"/>
  <c r="R894" i="3"/>
  <c r="R984" i="3"/>
  <c r="R977" i="3"/>
  <c r="R973" i="3"/>
  <c r="R1085" i="3"/>
  <c r="R1079" i="3"/>
  <c r="R1051" i="3"/>
  <c r="R1050" i="3"/>
  <c r="R1048" i="3"/>
  <c r="R1034" i="3"/>
  <c r="R1033" i="3"/>
  <c r="R1032" i="3"/>
  <c r="R486" i="3"/>
  <c r="R485" i="3"/>
  <c r="R484" i="3"/>
  <c r="R483" i="3"/>
  <c r="R482" i="3"/>
  <c r="R481" i="3"/>
  <c r="R480" i="3"/>
  <c r="R479" i="3"/>
  <c r="R477" i="3"/>
  <c r="R475" i="3"/>
  <c r="R474" i="3"/>
  <c r="R473" i="3"/>
  <c r="R472" i="3"/>
  <c r="R471" i="3"/>
  <c r="R556" i="3"/>
  <c r="R554" i="3"/>
  <c r="R468" i="3"/>
  <c r="R547" i="3"/>
  <c r="R545" i="3"/>
  <c r="R543" i="3"/>
  <c r="R541" i="3"/>
  <c r="R518" i="3"/>
  <c r="R516" i="3"/>
  <c r="R510" i="3"/>
  <c r="R509" i="3"/>
  <c r="R507" i="3"/>
  <c r="R505" i="3"/>
  <c r="R503" i="3"/>
  <c r="R501" i="3"/>
  <c r="R499" i="3"/>
  <c r="R497" i="3"/>
  <c r="R495" i="3"/>
  <c r="R493" i="3"/>
  <c r="R491" i="3"/>
  <c r="R441" i="3"/>
  <c r="R439" i="3"/>
  <c r="R437" i="3"/>
  <c r="R435" i="3"/>
  <c r="R431" i="3"/>
  <c r="R429" i="3"/>
  <c r="R427" i="3"/>
  <c r="R425" i="3"/>
  <c r="R423" i="3"/>
  <c r="R421" i="3"/>
  <c r="R419" i="3"/>
  <c r="R417" i="3"/>
  <c r="R415" i="3"/>
  <c r="R413" i="3"/>
  <c r="R411" i="3"/>
  <c r="R409" i="3"/>
  <c r="R407" i="3"/>
  <c r="R405" i="3"/>
  <c r="R286" i="3"/>
  <c r="R284" i="3"/>
  <c r="R282" i="3"/>
  <c r="R280" i="3"/>
  <c r="R278" i="3"/>
  <c r="R276" i="3"/>
  <c r="R274" i="3"/>
  <c r="R272" i="3"/>
  <c r="R270" i="3"/>
  <c r="R268" i="3"/>
  <c r="R266" i="3"/>
  <c r="R264" i="3"/>
  <c r="R262" i="3"/>
  <c r="R260" i="3"/>
  <c r="R258" i="3"/>
  <c r="R256" i="3"/>
  <c r="R254" i="3"/>
  <c r="R252" i="3"/>
  <c r="R250" i="3"/>
  <c r="R248" i="3"/>
  <c r="R246" i="3"/>
  <c r="R244" i="3"/>
  <c r="R242" i="3"/>
  <c r="R240" i="3"/>
  <c r="R238" i="3"/>
  <c r="R236" i="3"/>
  <c r="R234" i="3"/>
  <c r="R232" i="3"/>
  <c r="R230" i="3"/>
  <c r="R228" i="3"/>
  <c r="R226" i="3"/>
  <c r="R224" i="3"/>
  <c r="R222" i="3"/>
  <c r="R220" i="3"/>
  <c r="R218" i="3"/>
  <c r="R216" i="3"/>
  <c r="R214" i="3"/>
  <c r="R212" i="3"/>
  <c r="R210" i="3"/>
  <c r="R208" i="3"/>
  <c r="R206" i="3"/>
  <c r="R204" i="3"/>
  <c r="R202" i="3"/>
  <c r="R200" i="3"/>
  <c r="R198" i="3"/>
  <c r="R196" i="3"/>
  <c r="R194" i="3"/>
  <c r="R192" i="3"/>
  <c r="R190" i="3"/>
  <c r="R188" i="3"/>
  <c r="R186" i="3"/>
  <c r="R184" i="3"/>
  <c r="R182" i="3"/>
  <c r="R180" i="3"/>
  <c r="R178" i="3"/>
  <c r="R176" i="3"/>
  <c r="R174" i="3"/>
  <c r="R172" i="3"/>
  <c r="R170" i="3"/>
  <c r="R168" i="3"/>
  <c r="R166" i="3"/>
  <c r="R164" i="3"/>
  <c r="R162" i="3"/>
  <c r="R160" i="3"/>
  <c r="R158" i="3"/>
  <c r="R156" i="3"/>
  <c r="R154" i="3"/>
  <c r="R152" i="3"/>
  <c r="R373" i="3"/>
  <c r="R371" i="3"/>
  <c r="R369" i="3"/>
  <c r="R367" i="3"/>
  <c r="R365" i="3"/>
  <c r="R363" i="3"/>
  <c r="R361" i="3"/>
  <c r="R359" i="3"/>
  <c r="R357" i="3"/>
  <c r="R355" i="3"/>
  <c r="R353" i="3"/>
  <c r="R351" i="3"/>
  <c r="R349" i="3"/>
  <c r="R347" i="3"/>
  <c r="R345" i="3"/>
  <c r="R343" i="3"/>
  <c r="R341" i="3"/>
  <c r="R339" i="3"/>
  <c r="R337" i="3"/>
  <c r="R335" i="3"/>
  <c r="R332" i="3"/>
  <c r="R330" i="3"/>
  <c r="R328" i="3"/>
  <c r="R326" i="3"/>
  <c r="R324" i="3"/>
  <c r="R322" i="3"/>
  <c r="R320" i="3"/>
  <c r="R318" i="3"/>
  <c r="R316" i="3"/>
  <c r="R314" i="3"/>
  <c r="R312" i="3"/>
  <c r="R310" i="3"/>
  <c r="R308" i="3"/>
  <c r="R306" i="3"/>
  <c r="R304" i="3"/>
  <c r="R302" i="3"/>
  <c r="R300" i="3"/>
  <c r="R298" i="3"/>
  <c r="R296" i="3"/>
  <c r="R294" i="3"/>
  <c r="R446" i="3"/>
  <c r="R444" i="3"/>
  <c r="R292" i="3"/>
  <c r="R290" i="3"/>
  <c r="R288" i="3"/>
  <c r="R649" i="3"/>
  <c r="R647" i="3"/>
  <c r="R645" i="3"/>
  <c r="R643" i="3"/>
  <c r="R641" i="3"/>
  <c r="R639" i="3"/>
  <c r="R636" i="3"/>
  <c r="R634" i="3"/>
  <c r="R622" i="3"/>
  <c r="R620" i="3"/>
  <c r="R618" i="3"/>
  <c r="R616" i="3"/>
  <c r="R615" i="3"/>
  <c r="R613" i="3"/>
  <c r="R611" i="3"/>
  <c r="R609" i="3"/>
  <c r="R583" i="3"/>
  <c r="R581" i="3"/>
  <c r="R579" i="3"/>
  <c r="R801" i="3"/>
  <c r="R791" i="3"/>
  <c r="R783" i="3"/>
  <c r="R777" i="3"/>
  <c r="R767" i="3"/>
  <c r="R759" i="3"/>
  <c r="R753" i="3"/>
  <c r="R743" i="3"/>
  <c r="R735" i="3"/>
  <c r="R729" i="3"/>
  <c r="R721" i="3"/>
  <c r="R892" i="3"/>
  <c r="R883" i="3"/>
  <c r="R803" i="3"/>
  <c r="R795" i="3"/>
  <c r="R787" i="3"/>
  <c r="R779" i="3"/>
  <c r="R771" i="3"/>
  <c r="R763" i="3"/>
  <c r="R757" i="3"/>
  <c r="R749" i="3"/>
  <c r="R741" i="3"/>
  <c r="R731" i="3"/>
  <c r="R723" i="3"/>
  <c r="R715" i="3"/>
  <c r="R889" i="3"/>
  <c r="R879" i="3"/>
  <c r="R797" i="3"/>
  <c r="R789" i="3"/>
  <c r="R781" i="3"/>
  <c r="R773" i="3"/>
  <c r="R765" i="3"/>
  <c r="R755" i="3"/>
  <c r="R747" i="3"/>
  <c r="R739" i="3"/>
  <c r="R733" i="3"/>
  <c r="R725" i="3"/>
  <c r="R717" i="3"/>
  <c r="R890" i="3"/>
  <c r="R887" i="3"/>
  <c r="R877" i="3"/>
  <c r="R799" i="3"/>
  <c r="R793" i="3"/>
  <c r="R785" i="3"/>
  <c r="R775" i="3"/>
  <c r="R769" i="3"/>
  <c r="R761" i="3"/>
  <c r="R751" i="3"/>
  <c r="R745" i="3"/>
  <c r="R737" i="3"/>
  <c r="R727" i="3"/>
  <c r="R719" i="3"/>
  <c r="R891" i="3"/>
  <c r="R885" i="3"/>
  <c r="R881" i="3"/>
  <c r="R467" i="3"/>
  <c r="R466" i="3"/>
  <c r="R465" i="3"/>
  <c r="R464" i="3"/>
  <c r="R463" i="3"/>
  <c r="R546" i="3"/>
  <c r="R544" i="3"/>
  <c r="R542" i="3"/>
  <c r="R540" i="3"/>
  <c r="R539" i="3"/>
  <c r="R538" i="3"/>
  <c r="R537" i="3"/>
  <c r="R536" i="3"/>
  <c r="R535" i="3"/>
  <c r="R534" i="3"/>
  <c r="R533" i="3"/>
  <c r="R532" i="3"/>
  <c r="R531" i="3"/>
  <c r="R530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5" i="3"/>
  <c r="R443" i="3"/>
  <c r="R529" i="3"/>
  <c r="R528" i="3"/>
  <c r="R527" i="3"/>
  <c r="R526" i="3"/>
  <c r="R525" i="3"/>
  <c r="R524" i="3"/>
  <c r="R523" i="3"/>
  <c r="R522" i="3"/>
  <c r="R521" i="3"/>
  <c r="R520" i="3"/>
  <c r="R519" i="3"/>
  <c r="R517" i="3"/>
  <c r="R515" i="3"/>
  <c r="R514" i="3"/>
  <c r="R513" i="3"/>
  <c r="R512" i="3"/>
  <c r="R511" i="3"/>
  <c r="R508" i="3"/>
  <c r="R506" i="3"/>
  <c r="R504" i="3"/>
  <c r="R502" i="3"/>
  <c r="R500" i="3"/>
  <c r="R498" i="3"/>
  <c r="R496" i="3"/>
  <c r="R494" i="3"/>
  <c r="R492" i="3"/>
  <c r="R873" i="3"/>
  <c r="R865" i="3"/>
  <c r="R861" i="3"/>
  <c r="R855" i="3"/>
  <c r="R849" i="3"/>
  <c r="R841" i="3"/>
  <c r="R835" i="3"/>
  <c r="R827" i="3"/>
  <c r="R823" i="3"/>
  <c r="R815" i="3"/>
  <c r="R811" i="3"/>
  <c r="R952" i="3"/>
  <c r="R949" i="3"/>
  <c r="R945" i="3"/>
  <c r="R941" i="3"/>
  <c r="R936" i="3"/>
  <c r="R933" i="3"/>
  <c r="R929" i="3"/>
  <c r="R923" i="3"/>
  <c r="R919" i="3"/>
  <c r="R913" i="3"/>
  <c r="R905" i="3"/>
  <c r="R901" i="3"/>
  <c r="R895" i="3"/>
  <c r="R1031" i="3"/>
  <c r="R1028" i="3"/>
  <c r="R1026" i="3"/>
  <c r="R1023" i="3"/>
  <c r="R1021" i="3"/>
  <c r="R1017" i="3"/>
  <c r="R1013" i="3"/>
  <c r="R1011" i="3"/>
  <c r="R1007" i="3"/>
  <c r="R1004" i="3"/>
  <c r="R1002" i="3"/>
  <c r="R998" i="3"/>
  <c r="R995" i="3"/>
  <c r="R991" i="3"/>
  <c r="R989" i="3"/>
  <c r="R981" i="3"/>
  <c r="R976" i="3"/>
  <c r="R972" i="3"/>
  <c r="R1084" i="3"/>
  <c r="R1080" i="3"/>
  <c r="R1075" i="3"/>
  <c r="R1073" i="3"/>
  <c r="R1070" i="3"/>
  <c r="R1066" i="3"/>
  <c r="R1063" i="3"/>
  <c r="R1059" i="3"/>
  <c r="R1055" i="3"/>
  <c r="R1053" i="3"/>
  <c r="R1047" i="3"/>
  <c r="R1044" i="3"/>
  <c r="R1039" i="3"/>
  <c r="R1035" i="3"/>
  <c r="R487" i="3"/>
  <c r="R478" i="3"/>
  <c r="R567" i="3"/>
  <c r="R564" i="3"/>
  <c r="R561" i="3"/>
  <c r="R560" i="3"/>
  <c r="R558" i="3"/>
  <c r="R555" i="3"/>
  <c r="R553" i="3"/>
  <c r="R550" i="3"/>
  <c r="R871" i="3"/>
  <c r="R867" i="3"/>
  <c r="R859" i="3"/>
  <c r="R853" i="3"/>
  <c r="R847" i="3"/>
  <c r="R839" i="3"/>
  <c r="R833" i="3"/>
  <c r="R829" i="3"/>
  <c r="R821" i="3"/>
  <c r="R817" i="3"/>
  <c r="R809" i="3"/>
  <c r="R805" i="3"/>
  <c r="R954" i="3"/>
  <c r="R943" i="3"/>
  <c r="R940" i="3"/>
  <c r="R937" i="3"/>
  <c r="R934" i="3"/>
  <c r="R931" i="3"/>
  <c r="R925" i="3"/>
  <c r="R917" i="3"/>
  <c r="R911" i="3"/>
  <c r="R907" i="3"/>
  <c r="R899" i="3"/>
  <c r="R893" i="3"/>
  <c r="R1030" i="3"/>
  <c r="R1029" i="3"/>
  <c r="R1025" i="3"/>
  <c r="R1022" i="3"/>
  <c r="R1020" i="3"/>
  <c r="R1016" i="3"/>
  <c r="R1014" i="3"/>
  <c r="R1010" i="3"/>
  <c r="R1008" i="3"/>
  <c r="R1005" i="3"/>
  <c r="R1001" i="3"/>
  <c r="R999" i="3"/>
  <c r="R996" i="3"/>
  <c r="R992" i="3"/>
  <c r="R987" i="3"/>
  <c r="R983" i="3"/>
  <c r="R978" i="3"/>
  <c r="R970" i="3"/>
  <c r="R1086" i="3"/>
  <c r="R1078" i="3"/>
  <c r="R1072" i="3"/>
  <c r="R1069" i="3"/>
  <c r="R1067" i="3"/>
  <c r="R1064" i="3"/>
  <c r="R1062" i="3"/>
  <c r="R1058" i="3"/>
  <c r="R1056" i="3"/>
  <c r="R1052" i="3"/>
  <c r="R1049" i="3"/>
  <c r="R1046" i="3"/>
  <c r="R1043" i="3"/>
  <c r="R1041" i="3"/>
  <c r="R1038" i="3"/>
  <c r="R1036" i="3"/>
  <c r="R488" i="3"/>
  <c r="R476" i="3"/>
  <c r="R470" i="3"/>
  <c r="R566" i="3"/>
  <c r="R565" i="3"/>
  <c r="R562" i="3"/>
  <c r="R559" i="3"/>
  <c r="R557" i="3"/>
  <c r="R552" i="3"/>
  <c r="R549" i="3"/>
  <c r="R469" i="3"/>
  <c r="R875" i="3"/>
  <c r="R869" i="3"/>
  <c r="R863" i="3"/>
  <c r="R857" i="3"/>
  <c r="R851" i="3"/>
  <c r="R845" i="3"/>
  <c r="R843" i="3"/>
  <c r="R837" i="3"/>
  <c r="R831" i="3"/>
  <c r="R825" i="3"/>
  <c r="R819" i="3"/>
  <c r="R813" i="3"/>
  <c r="R807" i="3"/>
  <c r="R950" i="3"/>
  <c r="R947" i="3"/>
  <c r="R939" i="3"/>
  <c r="R938" i="3"/>
  <c r="R935" i="3"/>
  <c r="R932" i="3"/>
  <c r="R927" i="3"/>
  <c r="R921" i="3"/>
  <c r="R915" i="3"/>
  <c r="R909" i="3"/>
  <c r="R903" i="3"/>
  <c r="R897" i="3"/>
  <c r="R1027" i="3"/>
  <c r="R1024" i="3"/>
  <c r="R1019" i="3"/>
  <c r="R1018" i="3"/>
  <c r="R1015" i="3"/>
  <c r="R1012" i="3"/>
  <c r="R1009" i="3"/>
  <c r="R1006" i="3"/>
  <c r="R1003" i="3"/>
  <c r="R1000" i="3"/>
  <c r="R997" i="3"/>
  <c r="R994" i="3"/>
  <c r="R993" i="3"/>
  <c r="R990" i="3"/>
  <c r="R985" i="3"/>
  <c r="R980" i="3"/>
  <c r="R974" i="3"/>
  <c r="R1088" i="3"/>
  <c r="R1082" i="3"/>
  <c r="R1071" i="3"/>
  <c r="R1068" i="3"/>
  <c r="R1065" i="3"/>
  <c r="R1060" i="3"/>
  <c r="R1057" i="3"/>
  <c r="R1054" i="3"/>
  <c r="R1045" i="3"/>
  <c r="R1042" i="3"/>
  <c r="R1040" i="3"/>
  <c r="R1037" i="3"/>
  <c r="R489" i="3"/>
  <c r="R563" i="3"/>
  <c r="R551" i="3"/>
  <c r="R548" i="3"/>
  <c r="R568" i="3"/>
  <c r="R490" i="3"/>
  <c r="R442" i="3"/>
  <c r="R440" i="3"/>
  <c r="R438" i="3"/>
  <c r="R436" i="3"/>
  <c r="R432" i="3"/>
  <c r="R430" i="3"/>
  <c r="R428" i="3"/>
  <c r="R426" i="3"/>
  <c r="R424" i="3"/>
  <c r="R422" i="3"/>
  <c r="R420" i="3"/>
  <c r="R418" i="3"/>
  <c r="R416" i="3"/>
  <c r="R414" i="3"/>
  <c r="R412" i="3"/>
  <c r="R410" i="3"/>
  <c r="R408" i="3"/>
  <c r="R406" i="3"/>
  <c r="R404" i="3"/>
  <c r="R285" i="3"/>
  <c r="R283" i="3"/>
  <c r="R281" i="3"/>
  <c r="R279" i="3"/>
  <c r="R277" i="3"/>
  <c r="R275" i="3"/>
  <c r="R273" i="3"/>
  <c r="R271" i="3"/>
  <c r="R269" i="3"/>
  <c r="R267" i="3"/>
  <c r="R265" i="3"/>
  <c r="R263" i="3"/>
  <c r="R261" i="3"/>
  <c r="R259" i="3"/>
  <c r="R257" i="3"/>
  <c r="R255" i="3"/>
  <c r="R253" i="3"/>
  <c r="R251" i="3"/>
  <c r="R249" i="3"/>
  <c r="R247" i="3"/>
  <c r="R245" i="3"/>
  <c r="R243" i="3"/>
  <c r="R241" i="3"/>
  <c r="R239" i="3"/>
  <c r="R237" i="3"/>
  <c r="R235" i="3"/>
  <c r="R233" i="3"/>
  <c r="R231" i="3"/>
  <c r="R229" i="3"/>
  <c r="R227" i="3"/>
  <c r="R225" i="3"/>
  <c r="R223" i="3"/>
  <c r="R221" i="3"/>
  <c r="R219" i="3"/>
  <c r="R217" i="3"/>
  <c r="R215" i="3"/>
  <c r="R213" i="3"/>
  <c r="R211" i="3"/>
  <c r="R209" i="3"/>
  <c r="R207" i="3"/>
  <c r="R205" i="3"/>
  <c r="R203" i="3"/>
  <c r="R201" i="3"/>
  <c r="R199" i="3"/>
  <c r="R197" i="3"/>
  <c r="R195" i="3"/>
  <c r="R193" i="3"/>
  <c r="R191" i="3"/>
  <c r="R189" i="3"/>
  <c r="R187" i="3"/>
  <c r="R185" i="3"/>
  <c r="R183" i="3"/>
  <c r="R181" i="3"/>
  <c r="R179" i="3"/>
  <c r="R177" i="3"/>
  <c r="R175" i="3"/>
  <c r="R173" i="3"/>
  <c r="R171" i="3"/>
  <c r="R169" i="3"/>
  <c r="R167" i="3"/>
  <c r="R165" i="3"/>
  <c r="R163" i="3"/>
  <c r="R161" i="3"/>
  <c r="R159" i="3"/>
  <c r="R157" i="3"/>
  <c r="R155" i="3"/>
  <c r="R153" i="3"/>
  <c r="R374" i="3"/>
  <c r="R372" i="3"/>
  <c r="R370" i="3"/>
  <c r="R368" i="3"/>
  <c r="R366" i="3"/>
  <c r="R364" i="3"/>
  <c r="R362" i="3"/>
  <c r="R360" i="3"/>
  <c r="R358" i="3"/>
  <c r="R356" i="3"/>
  <c r="R354" i="3"/>
  <c r="R352" i="3"/>
  <c r="R350" i="3"/>
  <c r="R348" i="3"/>
  <c r="R346" i="3"/>
  <c r="R344" i="3"/>
  <c r="R342" i="3"/>
  <c r="R340" i="3"/>
  <c r="R338" i="3"/>
  <c r="R336" i="3"/>
  <c r="R333" i="3"/>
  <c r="R331" i="3"/>
  <c r="R329" i="3"/>
  <c r="R327" i="3"/>
  <c r="R325" i="3"/>
  <c r="R323" i="3"/>
  <c r="R321" i="3"/>
  <c r="R319" i="3"/>
  <c r="R317" i="3"/>
  <c r="R315" i="3"/>
  <c r="R313" i="3"/>
  <c r="R311" i="3"/>
  <c r="R309" i="3"/>
  <c r="R307" i="3"/>
  <c r="R305" i="3"/>
  <c r="R303" i="3"/>
  <c r="R301" i="3"/>
  <c r="R299" i="3"/>
  <c r="R297" i="3"/>
  <c r="R295" i="3"/>
  <c r="R293" i="3"/>
  <c r="R291" i="3"/>
  <c r="R289" i="3"/>
  <c r="R287" i="3"/>
  <c r="R648" i="3"/>
  <c r="R646" i="3"/>
  <c r="R644" i="3"/>
  <c r="R642" i="3"/>
  <c r="R640" i="3"/>
  <c r="R638" i="3"/>
  <c r="R637" i="3"/>
  <c r="R635" i="3"/>
  <c r="R633" i="3"/>
  <c r="R632" i="3"/>
  <c r="R631" i="3"/>
  <c r="R630" i="3"/>
  <c r="R629" i="3"/>
  <c r="R628" i="3"/>
  <c r="R627" i="3"/>
  <c r="R626" i="3"/>
  <c r="R625" i="3"/>
  <c r="R624" i="3"/>
  <c r="R623" i="3"/>
  <c r="R621" i="3"/>
  <c r="R619" i="3"/>
  <c r="R617" i="3"/>
  <c r="R614" i="3"/>
  <c r="R612" i="3"/>
  <c r="R610" i="3"/>
  <c r="R608" i="3"/>
  <c r="R607" i="3"/>
  <c r="R606" i="3"/>
  <c r="R605" i="3"/>
  <c r="R596" i="3"/>
  <c r="R584" i="3"/>
  <c r="R604" i="3"/>
  <c r="R603" i="3"/>
  <c r="R602" i="3"/>
  <c r="R601" i="3"/>
  <c r="R600" i="3"/>
  <c r="R599" i="3"/>
  <c r="R598" i="3"/>
  <c r="R597" i="3"/>
  <c r="R595" i="3"/>
  <c r="R594" i="3"/>
  <c r="R593" i="3"/>
  <c r="R592" i="3"/>
  <c r="R591" i="3"/>
  <c r="R590" i="3"/>
  <c r="R589" i="3"/>
  <c r="R588" i="3"/>
  <c r="R587" i="3"/>
  <c r="R586" i="3"/>
  <c r="R585" i="3"/>
  <c r="R582" i="3"/>
  <c r="R580" i="3"/>
  <c r="R578" i="3"/>
  <c r="R577" i="3"/>
  <c r="R576" i="3"/>
  <c r="R575" i="3"/>
  <c r="R574" i="3"/>
  <c r="R573" i="3"/>
  <c r="R572" i="3"/>
  <c r="R571" i="3"/>
  <c r="R570" i="3"/>
  <c r="R56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<sst xmlns="http://schemas.openxmlformats.org/spreadsheetml/2006/main" count="34668" uniqueCount="431">
  <si>
    <t>Tab</t>
  </si>
  <si>
    <t>Line</t>
  </si>
  <si>
    <t>Team</t>
  </si>
  <si>
    <t>Game</t>
  </si>
  <si>
    <t>NGB A</t>
  </si>
  <si>
    <t>Score A</t>
  </si>
  <si>
    <t>Score B</t>
  </si>
  <si>
    <t>NGB B</t>
  </si>
  <si>
    <t>Team A</t>
  </si>
  <si>
    <t>Team B</t>
  </si>
  <si>
    <t>Round</t>
  </si>
  <si>
    <t>5th Round (position games)</t>
  </si>
  <si>
    <t>A</t>
  </si>
  <si>
    <t>Australia</t>
  </si>
  <si>
    <t>Great Britain</t>
  </si>
  <si>
    <t>Kaldor/ Read</t>
  </si>
  <si>
    <t>Beeks/ Elbourne</t>
  </si>
  <si>
    <t>11th and 12th</t>
  </si>
  <si>
    <t>B</t>
  </si>
  <si>
    <t>Geyer/ Noble</t>
  </si>
  <si>
    <t>Rowlands/ Hutko</t>
  </si>
  <si>
    <t>C</t>
  </si>
  <si>
    <t>Briant/ Wong</t>
  </si>
  <si>
    <t>Cook/ Kerridge</t>
  </si>
  <si>
    <t>D</t>
  </si>
  <si>
    <t>Capp/ Ragg</t>
  </si>
  <si>
    <t>Jackson/ Douglas</t>
  </si>
  <si>
    <t>E</t>
  </si>
  <si>
    <t>Nirens/ Wise</t>
  </si>
  <si>
    <t>Sayyed/ Powell</t>
  </si>
  <si>
    <t>Belgium</t>
  </si>
  <si>
    <t>Taiwan</t>
  </si>
  <si>
    <t>Vandaele/ Van den Bergh</t>
  </si>
  <si>
    <t>Chang/Chou</t>
  </si>
  <si>
    <t>13th and 14th</t>
  </si>
  <si>
    <t>Theunis/ Declercq</t>
  </si>
  <si>
    <t>Lee/P. Chen</t>
  </si>
  <si>
    <t>Neyens/ Vlassaks</t>
  </si>
  <si>
    <t>Kao/M. Chen</t>
  </si>
  <si>
    <t>Vandamme/ Hublet</t>
  </si>
  <si>
    <t>Ma/Hu</t>
  </si>
  <si>
    <t>M. Paes/ D. Paes</t>
  </si>
  <si>
    <t>Peng/Kuo</t>
  </si>
  <si>
    <t>Czech Republic</t>
  </si>
  <si>
    <t>Poland</t>
  </si>
  <si>
    <t>Cabala/ Nerad</t>
  </si>
  <si>
    <t>Stachiewicz/ Łochowski</t>
  </si>
  <si>
    <t>15th and 16th</t>
  </si>
  <si>
    <t>Mezzey/ Visek</t>
  </si>
  <si>
    <t>Dudzik/ Cichocki</t>
  </si>
  <si>
    <t>Grohman/ Soukup</t>
  </si>
  <si>
    <t>Jordan/ Ebert</t>
  </si>
  <si>
    <t>Daling/ Olsansky</t>
  </si>
  <si>
    <t>Szymański/ Urbański</t>
  </si>
  <si>
    <t>Kovarik/ Macanek</t>
  </si>
  <si>
    <t>Pętlak/ Stachurski</t>
  </si>
  <si>
    <t>Japan</t>
  </si>
  <si>
    <t>Romania</t>
  </si>
  <si>
    <t>Ishii/ Shimizu</t>
  </si>
  <si>
    <t>Razvan/ Cimpian</t>
  </si>
  <si>
    <t>17th and 18th</t>
  </si>
  <si>
    <t>Nakamura/ Takei</t>
  </si>
  <si>
    <t>Colac/ Popa</t>
  </si>
  <si>
    <t>Tamaki/ Pflaum</t>
  </si>
  <si>
    <t>Gyergyoi/ Limbovici</t>
  </si>
  <si>
    <t>Y. Sato/ K. Sato</t>
  </si>
  <si>
    <t>Aldea/ Bizdideanu</t>
  </si>
  <si>
    <t>Imamura/ T. Sato</t>
  </si>
  <si>
    <t>Bliort/ Cornoiu</t>
  </si>
  <si>
    <t>Latvia</t>
  </si>
  <si>
    <t>Israel</t>
  </si>
  <si>
    <t>Jaunpetrovičs/ Repels</t>
  </si>
  <si>
    <t>Zholkovsky/ Kimhi</t>
  </si>
  <si>
    <t>19th and 20th</t>
  </si>
  <si>
    <t>Juška/ Vanags</t>
  </si>
  <si>
    <t>Wish/ Sendik</t>
  </si>
  <si>
    <t>Jaunpetrovičs/ Kaupers</t>
  </si>
  <si>
    <t>Lurie/ Melech</t>
  </si>
  <si>
    <t>Ernestsons/ Matulis</t>
  </si>
  <si>
    <t>Benishti/ Tirosh</t>
  </si>
  <si>
    <t>Beļajevs/ Briedis</t>
  </si>
  <si>
    <t>Sone/ Gitler</t>
  </si>
  <si>
    <t>Brazil</t>
  </si>
  <si>
    <t>Norway</t>
  </si>
  <si>
    <t>Huang/ Hirata</t>
  </si>
  <si>
    <t>Hanisch/ Aasen</t>
  </si>
  <si>
    <t>21st and 22nd</t>
  </si>
  <si>
    <t>M. Rohrbach/ L. Rohrbach</t>
  </si>
  <si>
    <t>Steinsholt/ Kuehl</t>
  </si>
  <si>
    <t>Teixeira/ Santos</t>
  </si>
  <si>
    <t>Sund-Olsen/ Strandin</t>
  </si>
  <si>
    <t>Zerbeti/ Nishida</t>
  </si>
  <si>
    <t>Helland/ Abrahamsen</t>
  </si>
  <si>
    <t>Hey/ Mello</t>
  </si>
  <si>
    <t>Modalsli/ Tønne-Johansen</t>
  </si>
  <si>
    <t>Netherlands</t>
  </si>
  <si>
    <t>Chile</t>
  </si>
  <si>
    <t>J. Brus/ R. Brus</t>
  </si>
  <si>
    <t>Yañez/ Rivera</t>
  </si>
  <si>
    <t>23rd and 24th</t>
  </si>
  <si>
    <t>Schouten/ van Manen</t>
  </si>
  <si>
    <t>O. Herrera/ Larroza</t>
  </si>
  <si>
    <t>Nieboer/ Van de Riet</t>
  </si>
  <si>
    <t>Rivera/ Ortiz</t>
  </si>
  <si>
    <t>Spengler/ Slebos</t>
  </si>
  <si>
    <t>R. Herrera/ P. Herrera</t>
  </si>
  <si>
    <t>Kedar/ Elbertsen</t>
  </si>
  <si>
    <t>Mella/ Vargas</t>
  </si>
  <si>
    <t>Mexico</t>
  </si>
  <si>
    <t>Finland</t>
  </si>
  <si>
    <t>Goar/ Canovas</t>
  </si>
  <si>
    <t>Ko. Kyläinpää/ Ka. Kyläinpää</t>
  </si>
  <si>
    <t>25th and 26th</t>
  </si>
  <si>
    <t>Rivera/ Meave</t>
  </si>
  <si>
    <t>Youssef/ Heikkinen</t>
  </si>
  <si>
    <t>Erick Diaz/ Loïacono</t>
  </si>
  <si>
    <t>Peltonen/ Seitz</t>
  </si>
  <si>
    <t>Islas/ Rueda</t>
  </si>
  <si>
    <t>Kauppinen/ Modenius</t>
  </si>
  <si>
    <t>Durazo/ Einar Diaz</t>
  </si>
  <si>
    <t>Zein/ Orava</t>
  </si>
  <si>
    <t>Ireland</t>
  </si>
  <si>
    <t>Luxemburg</t>
  </si>
  <si>
    <t>Prelich/ Tomkin Clarke</t>
  </si>
  <si>
    <t>Brach/ Castin</t>
  </si>
  <si>
    <t>27th and 28th</t>
  </si>
  <si>
    <t>O'Gara/ Mendez</t>
  </si>
  <si>
    <t>Bermes/ Ries</t>
  </si>
  <si>
    <t>Duffy/ Byrne</t>
  </si>
  <si>
    <t>Mertens/ Thomé</t>
  </si>
  <si>
    <t>Leonard/ Hodkinson</t>
  </si>
  <si>
    <t>Thomé/ Klein</t>
  </si>
  <si>
    <t>Costa/ Urbi</t>
  </si>
  <si>
    <t>Clees/ Urbany</t>
  </si>
  <si>
    <t>Hong Kong</t>
  </si>
  <si>
    <t>Egypt</t>
  </si>
  <si>
    <t>Lam/ Choi</t>
  </si>
  <si>
    <t>El-Gendy/ Seddik</t>
  </si>
  <si>
    <t>29th and 30th</t>
  </si>
  <si>
    <t>Fung/ Wong</t>
  </si>
  <si>
    <t>Nader/ Naim</t>
  </si>
  <si>
    <t>Cheung/ Lau</t>
  </si>
  <si>
    <t>Saafan/ Atwan</t>
  </si>
  <si>
    <t>Lui/ Yan</t>
  </si>
  <si>
    <t>Abdelmalek/ Alabed</t>
  </si>
  <si>
    <t>Cheung/ Yin Ching</t>
  </si>
  <si>
    <t>Germany</t>
  </si>
  <si>
    <t>Switzerland</t>
  </si>
  <si>
    <t>Eisenträger/ Siemer</t>
  </si>
  <si>
    <t>Felix/ Baumeler</t>
  </si>
  <si>
    <t>3rd and 4th</t>
  </si>
  <si>
    <t>Grönebaum/ Prüfer</t>
  </si>
  <si>
    <t>Rimle/ Peter</t>
  </si>
  <si>
    <t>Claus/ Lauterbach</t>
  </si>
  <si>
    <t>Pasetti/ Widin</t>
  </si>
  <si>
    <t>Italy</t>
  </si>
  <si>
    <t>Austria</t>
  </si>
  <si>
    <t>Bazzani/ Borsotti</t>
  </si>
  <si>
    <t>Bachler/ Dziruni</t>
  </si>
  <si>
    <t>5th and 6th</t>
  </si>
  <si>
    <t>Dudine/ Zanellato</t>
  </si>
  <si>
    <t>Handschmann/ Jindra</t>
  </si>
  <si>
    <t>Mercadini/ Sacchini</t>
  </si>
  <si>
    <t>Eynard/ Stoisser</t>
  </si>
  <si>
    <t>Grazi/ Pareschi</t>
  </si>
  <si>
    <t>Gangkofner/ Mitterwald</t>
  </si>
  <si>
    <t>Merlin/ Molli</t>
  </si>
  <si>
    <t>Anderle/ Leidenfrost</t>
  </si>
  <si>
    <t>France</t>
  </si>
  <si>
    <t>Sweden</t>
  </si>
  <si>
    <t>Clark/ Florinda</t>
  </si>
  <si>
    <t>Ekman/ Stenquist</t>
  </si>
  <si>
    <t>7th and 8th</t>
  </si>
  <si>
    <t>Améziane/ Mareschal</t>
  </si>
  <si>
    <t>Henström/ Mjönes</t>
  </si>
  <si>
    <t>Caux-Ramon/ Lacombe</t>
  </si>
  <si>
    <t>Millton/ Baggman</t>
  </si>
  <si>
    <t>Danekas/ Lecrosnier</t>
  </si>
  <si>
    <t>Jansson/ Svensson</t>
  </si>
  <si>
    <t>Renimel/ Sandoz</t>
  </si>
  <si>
    <t>Skogward/ Ljung</t>
  </si>
  <si>
    <t>Denmark</t>
  </si>
  <si>
    <t>Spain</t>
  </si>
  <si>
    <t>Christensen/ Søvndal</t>
  </si>
  <si>
    <t>Campos/ Forschner</t>
  </si>
  <si>
    <t>9th and 10th</t>
  </si>
  <si>
    <t>Norlyk/ Linnet</t>
  </si>
  <si>
    <t>E. Cuesta/ G. Cuesta</t>
  </si>
  <si>
    <t>Klinkby/ Hammar</t>
  </si>
  <si>
    <t>Navio/ Egea</t>
  </si>
  <si>
    <t>Knudsen/ Damgaard</t>
  </si>
  <si>
    <t>Luna/ Egea</t>
  </si>
  <si>
    <t>Høy/ Nielsen</t>
  </si>
  <si>
    <t>Muratel/ Gonzalez</t>
  </si>
  <si>
    <t>Canada</t>
  </si>
  <si>
    <t>USA</t>
  </si>
  <si>
    <t>Bosak/ Cote</t>
  </si>
  <si>
    <t>Cole/ Klapwijk</t>
  </si>
  <si>
    <t>Final</t>
  </si>
  <si>
    <t>Dean/ Gagnon</t>
  </si>
  <si>
    <t>Finocchi/ Picone</t>
  </si>
  <si>
    <t>Mathieu/ Leung</t>
  </si>
  <si>
    <t>Bondi/ Gross</t>
  </si>
  <si>
    <t>Prince/ Brown</t>
  </si>
  <si>
    <t>Hamilton/ Marino</t>
  </si>
  <si>
    <t>Babin/ Laurin</t>
  </si>
  <si>
    <t>Nelson/ Rose</t>
  </si>
  <si>
    <t>2nd Round (R16 and consolation)</t>
  </si>
  <si>
    <t>Round 16</t>
  </si>
  <si>
    <t>Christiani/ Harder</t>
  </si>
  <si>
    <t>Klement/ Krehle</t>
  </si>
  <si>
    <t>Eigenmann/ Tognini</t>
  </si>
  <si>
    <t>Rieser/ Engel</t>
  </si>
  <si>
    <t>1st Round (R32)</t>
  </si>
  <si>
    <t>Round 32</t>
  </si>
  <si>
    <t>3rd Round (R8 and consolation)</t>
  </si>
  <si>
    <t>Round 8</t>
  </si>
  <si>
    <t>4th Round (Semi and consolation)</t>
  </si>
  <si>
    <t>Semi Final</t>
  </si>
  <si>
    <t>T13 - T16</t>
  </si>
  <si>
    <t>T17 - T20</t>
  </si>
  <si>
    <t>T17 - T24</t>
  </si>
  <si>
    <t>T17 - T32</t>
  </si>
  <si>
    <t>T21 - T24</t>
  </si>
  <si>
    <t>T25 - T28</t>
  </si>
  <si>
    <t>Bye</t>
  </si>
  <si>
    <t>T25 - T32</t>
  </si>
  <si>
    <t>T5 - T8</t>
  </si>
  <si>
    <t>T9 - T12</t>
  </si>
  <si>
    <t>T9 - T16</t>
  </si>
  <si>
    <t>Hui/ O. Jenki</t>
  </si>
  <si>
    <t>M. Calderón/ L. Calderón</t>
  </si>
  <si>
    <t>Alt/ Paysan</t>
  </si>
  <si>
    <t>Vandersype/ D'hoore</t>
  </si>
  <si>
    <t>Knauf/ Lorenz</t>
  </si>
  <si>
    <t>Washburn/ A. Jenki</t>
  </si>
  <si>
    <t>Ripoll/ Mussiett</t>
  </si>
  <si>
    <t>Duport/ Liza</t>
  </si>
  <si>
    <t>Vankemenade/ Teisseyre</t>
  </si>
  <si>
    <t>F. Stadler/ J. Stadler</t>
  </si>
  <si>
    <t>Morgan/ Fleming</t>
  </si>
  <si>
    <t>L. Moreno/ R. Moreno</t>
  </si>
  <si>
    <t>Martinez/ Rouault</t>
  </si>
  <si>
    <t>Delbecke/ Van der Stichelen</t>
  </si>
  <si>
    <t>Gulden/ Haas</t>
  </si>
  <si>
    <t>Pierson/ Phan</t>
  </si>
  <si>
    <t>Pezoa/ Lobos</t>
  </si>
  <si>
    <t>Joly/ Novarese</t>
  </si>
  <si>
    <t>Jubault/ Dumesnil</t>
  </si>
  <si>
    <t>Grob/ Peusch</t>
  </si>
  <si>
    <t>Timan/ Allen</t>
  </si>
  <si>
    <t>Pinto/ Vera</t>
  </si>
  <si>
    <t>Eydoux/ Martin</t>
  </si>
  <si>
    <t>Alderweireldt/ Neyens</t>
  </si>
  <si>
    <t>Bauer/ Walter</t>
  </si>
  <si>
    <t>Leybourne/ Kadlec</t>
  </si>
  <si>
    <t>Mollberg/ Westerland</t>
  </si>
  <si>
    <t>Rossetto/ Zanella</t>
  </si>
  <si>
    <t>Kornek/ Teskey</t>
  </si>
  <si>
    <t>Elmblad/ Hedman</t>
  </si>
  <si>
    <t>Patat/ Pernigo</t>
  </si>
  <si>
    <t>Lehner/ Orlandini</t>
  </si>
  <si>
    <t>Dahlquist/ Gustavsson</t>
  </si>
  <si>
    <t>Augello/ Del Pioluogo</t>
  </si>
  <si>
    <t>Bauer/ Sundl</t>
  </si>
  <si>
    <t>Häggqvist/ Hugosson</t>
  </si>
  <si>
    <t>Biondini/ Canu</t>
  </si>
  <si>
    <t>Mrak/ Seiberl</t>
  </si>
  <si>
    <t>Ferragina/ Lucchiari</t>
  </si>
  <si>
    <t>Almgren/ Fransson</t>
  </si>
  <si>
    <t>Aspirot/ Tardy</t>
  </si>
  <si>
    <t>Molina/ Gebel</t>
  </si>
  <si>
    <t>Kunzelmann/ Levie</t>
  </si>
  <si>
    <t>Fonseca/ Leung</t>
  </si>
  <si>
    <t>Martin/ Villamariz</t>
  </si>
  <si>
    <t>Gassner/ Eigenmann</t>
  </si>
  <si>
    <t>Vallee/ Couroux</t>
  </si>
  <si>
    <t>Thieren/ Hernández</t>
  </si>
  <si>
    <t>Kunz/ Nenz</t>
  </si>
  <si>
    <t>Boucher-Gratton/ Cunningham</t>
  </si>
  <si>
    <t>Andreu/ Valiente</t>
  </si>
  <si>
    <t>Wiedmer/ Kunz</t>
  </si>
  <si>
    <t>Yu/ Diaz</t>
  </si>
  <si>
    <t>Roca/ Jiménez</t>
  </si>
  <si>
    <t>Schiegg/ Amsler</t>
  </si>
  <si>
    <t>Bouma/ Meijer</t>
  </si>
  <si>
    <t>Shannon Dieltjes/ Shauny Dieltjes</t>
  </si>
  <si>
    <t>Smit/ Van der Wielen</t>
  </si>
  <si>
    <t>Thielen/ Van der Donk</t>
  </si>
  <si>
    <t>Schippers/ Berveling</t>
  </si>
  <si>
    <t>Chang/ S. Ding</t>
  </si>
  <si>
    <t>Bak/ Bloch</t>
  </si>
  <si>
    <t>Yang/ T. Ding</t>
  </si>
  <si>
    <t>Flensted/ Hillebro</t>
  </si>
  <si>
    <t>Lu/ Lee</t>
  </si>
  <si>
    <t>Enevoldsen/ Sepstrup</t>
  </si>
  <si>
    <t>Kuo/ Chen</t>
  </si>
  <si>
    <t>Andreassen/ Lund</t>
  </si>
  <si>
    <t>Lin/ Cheng</t>
  </si>
  <si>
    <t>Gregersen/ Chang</t>
  </si>
  <si>
    <t>Fatt/ Quibell</t>
  </si>
  <si>
    <t>Labonc/ Sencovici</t>
  </si>
  <si>
    <t>Troughton/ Cooke</t>
  </si>
  <si>
    <t>Pîrlea/ Tărășilă</t>
  </si>
  <si>
    <t>Hill-Smith/ Cheung</t>
  </si>
  <si>
    <t>Cîmpian/ Măriuța</t>
  </si>
  <si>
    <t>Smith/ Lee</t>
  </si>
  <si>
    <t>Bob/ Toporaș</t>
  </si>
  <si>
    <t>Field/ Ognjenovic</t>
  </si>
  <si>
    <t>Ilie/ Niță</t>
  </si>
  <si>
    <t>Ernestsone/ Naumane</t>
  </si>
  <si>
    <t>Jansone/ Smilga</t>
  </si>
  <si>
    <t>Brauna/ Ivanova</t>
  </si>
  <si>
    <t>Figueroa/ Vega</t>
  </si>
  <si>
    <t>García/ Eberhardt</t>
  </si>
  <si>
    <t>Regalado/ Lara</t>
  </si>
  <si>
    <t>Bastos/ Bordon</t>
  </si>
  <si>
    <t>Wojtczak/ Bonifrowska</t>
  </si>
  <si>
    <t>Chan/ Tang</t>
  </si>
  <si>
    <t>Fukuda/ Takeno</t>
  </si>
  <si>
    <t>Chan/ Law</t>
  </si>
  <si>
    <t>Barreto/ Pereira</t>
  </si>
  <si>
    <t>Dalidonis/ Filipska</t>
  </si>
  <si>
    <t>Matsumoto/ Imamura</t>
  </si>
  <si>
    <t>Aleixo/ Santana</t>
  </si>
  <si>
    <t>Ito/ Hoshi</t>
  </si>
  <si>
    <t>Zhu/ Chan</t>
  </si>
  <si>
    <t>Stawarek/ Wolff</t>
  </si>
  <si>
    <t>Mak/ Chan</t>
  </si>
  <si>
    <t>Vieira/ Serra</t>
  </si>
  <si>
    <t>Kawasaki/ Ogaki</t>
  </si>
  <si>
    <t>Pojawis/ Wachowiec</t>
  </si>
  <si>
    <t>Kolonko/  Thomé</t>
  </si>
  <si>
    <t>Kihara/ Nakano</t>
  </si>
  <si>
    <t>Kuta/ Mierzwa</t>
  </si>
  <si>
    <t>Schaeffer/ Skellern</t>
  </si>
  <si>
    <t>Due-Tønnessen/ Espevik</t>
  </si>
  <si>
    <t>Capp/ Figg</t>
  </si>
  <si>
    <t>Olsen/ Modalsli</t>
  </si>
  <si>
    <t>Griffiths/ Lynch</t>
  </si>
  <si>
    <t>Eilertsen/ Pavall</t>
  </si>
  <si>
    <t>Chu/ Fung</t>
  </si>
  <si>
    <t>Gudmestad/ Zimmermann</t>
  </si>
  <si>
    <t>Cliff/ Read</t>
  </si>
  <si>
    <t>Haughom/ Flaat</t>
  </si>
  <si>
    <t>Caltova/ Nyvltova</t>
  </si>
  <si>
    <t>Häkkinen/ Salmensaari</t>
  </si>
  <si>
    <t>Janku/ Matejkova</t>
  </si>
  <si>
    <t>Kosonen/ Leppänen</t>
  </si>
  <si>
    <t>Bedrnova/ Kourilova</t>
  </si>
  <si>
    <t>Piesanen/ Kuorelahti</t>
  </si>
  <si>
    <t>Dannemann/ Meinhart</t>
  </si>
  <si>
    <t>Kinnunen/ Lemettinen</t>
  </si>
  <si>
    <t>Tauriainen/ Kuhanen</t>
  </si>
  <si>
    <t>Women's Squad</t>
  </si>
  <si>
    <t>Men's Squad</t>
  </si>
  <si>
    <t>Type</t>
  </si>
  <si>
    <t>g1</t>
  </si>
  <si>
    <t>g2</t>
  </si>
  <si>
    <t>g3</t>
  </si>
  <si>
    <t>g4</t>
  </si>
  <si>
    <t>Ma/ Hu</t>
  </si>
  <si>
    <t>Score</t>
  </si>
  <si>
    <t>Group</t>
  </si>
  <si>
    <t>mercadini/ Sacchini</t>
  </si>
  <si>
    <t>Biondini/ canu</t>
  </si>
  <si>
    <t>A. Bauer/ Sundl</t>
  </si>
  <si>
    <t>K. Bauer/ Walter</t>
  </si>
  <si>
    <t>Lehner/ orlandini</t>
  </si>
  <si>
    <t>Final 3rd Place</t>
  </si>
  <si>
    <t>Mens</t>
  </si>
  <si>
    <t>Womens</t>
  </si>
  <si>
    <t>x</t>
  </si>
  <si>
    <t>F</t>
  </si>
  <si>
    <t>G</t>
  </si>
  <si>
    <t>H</t>
  </si>
  <si>
    <t>I</t>
  </si>
  <si>
    <t>Kolonko/ Thomé</t>
  </si>
  <si>
    <t>Latest Check</t>
  </si>
  <si>
    <t>Navio/ M. Egea</t>
  </si>
  <si>
    <t>Luna/ D. Egea</t>
  </si>
  <si>
    <t>Grahman/ Sakup</t>
  </si>
  <si>
    <t>0 -Groups 1.D</t>
  </si>
  <si>
    <t>0 -Groups 2.1</t>
  </si>
  <si>
    <t>Gassner/ K. Eigenmann</t>
  </si>
  <si>
    <t>J. Eigenmann/ Tognini</t>
  </si>
  <si>
    <t>Ab. Capp/ Figg</t>
  </si>
  <si>
    <t>Al. Capp/ Ragg</t>
  </si>
  <si>
    <t>R. Chan/ Law</t>
  </si>
  <si>
    <t>C. Chan/ Tang</t>
  </si>
  <si>
    <t>Zhu/ M. Chan</t>
  </si>
  <si>
    <t>Mak/ H. Chan</t>
  </si>
  <si>
    <t>Mathieu/ E. Leung</t>
  </si>
  <si>
    <t>Fonseca/ J. Leung</t>
  </si>
  <si>
    <t>R. Martin/ Villamariz</t>
  </si>
  <si>
    <t>E. Martinez/ Rouault</t>
  </si>
  <si>
    <t>Høy/ J. Nielsen</t>
  </si>
  <si>
    <t>Yañez/ F. Rivera</t>
  </si>
  <si>
    <t>M. Rivera/ Meave</t>
  </si>
  <si>
    <t>D. Rivera/ Ortiz</t>
  </si>
  <si>
    <t>Turno G</t>
  </si>
  <si>
    <t>Chu/ T. Fung</t>
  </si>
  <si>
    <t>Hill-Smith/ Ja. Cheung</t>
  </si>
  <si>
    <t>Y. Cheung/ Yin Ching</t>
  </si>
  <si>
    <t>Je. Cheung/ Lau</t>
  </si>
  <si>
    <t>Smith/ Jem. Lee</t>
  </si>
  <si>
    <t>Lu/ Jer. Lee</t>
  </si>
  <si>
    <t>Cliff/ R. Read</t>
  </si>
  <si>
    <t>Kaldor/ J. Read</t>
  </si>
  <si>
    <t>Jor. Neyens/ Vlassaks</t>
  </si>
  <si>
    <t>Alderweireldt/ Jon. Neyens</t>
  </si>
  <si>
    <t>Kao/ Min. Chen</t>
  </si>
  <si>
    <t>Mertens/ M. Thomé</t>
  </si>
  <si>
    <t>N. Thomé/ Klein</t>
  </si>
  <si>
    <t>P. Kuo/ Mic. Chen</t>
  </si>
  <si>
    <t>Peng/ W. Kuo</t>
  </si>
  <si>
    <t>S. Imamura/ T. Sato</t>
  </si>
  <si>
    <t>Matsumoto/ R. Imamura</t>
  </si>
  <si>
    <t>Olsen/ S. Modalsli</t>
  </si>
  <si>
    <t>J. Modalsli/ Tønne-Johansen</t>
  </si>
  <si>
    <t>W. Chang/ Chou</t>
  </si>
  <si>
    <t>A. Chang/ S. Ding</t>
  </si>
  <si>
    <t>R. Lee/ P. Chen</t>
  </si>
  <si>
    <t>Kolonko/  Ma. Thomé</t>
  </si>
  <si>
    <t>Gregersen/ MH. Chang</t>
  </si>
  <si>
    <t>Mi. Jaunpetrovičs/ Repels</t>
  </si>
  <si>
    <t>Ma. Jaunpetrovičs/ Kaupers</t>
  </si>
  <si>
    <t>Briant/ N. Wong</t>
  </si>
  <si>
    <t>C. Fung/ A. Wong</t>
  </si>
  <si>
    <t>0 -Groups 1.C</t>
  </si>
  <si>
    <t>0 -Groups 1.E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</si>
</sst>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" fontId="0" fillId="0" borderId="0" xfId="0" applyNumberForma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2" borderId="0" xfId="0" applyFont="1" applyFill="1"/>
    <xf numFmtId="0" fontId="5" fillId="0" borderId="0" xfId="0" applyFont="1"/>
    <xf numFmtId="0" fontId="6" fillId="0" borderId="0" xfId="0" applyFont="1"/>
  </cellXfs>
  <cellStyles count="1">
    <cellStyle name="Normale" xfId="0" builtinId="0"/>
  </cellStyles>
  <dxfs count="2">
    <dxf>
      <fill>
        <patternFill>
          <bgColor theme="8"/>
        </patternFill>
      </fill>
    </dxf>
    <dxf>
      <fill>
        <patternFill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46"/>
  <sheetViews>
    <sheetView workbookViewId="0">
      <selection activeCell="D545" sqref="D545"/>
    </sheetView>
  </sheetViews>
  <sheetFormatPr defaultColWidth="12.6640625" defaultRowHeight="15.75" customHeight="1" x14ac:dyDescent="0.25"/>
  <cols>
    <col min="1" max="1" width="28.88671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213</v>
      </c>
      <c r="B2" s="1">
        <v>111</v>
      </c>
      <c r="C2" s="1" t="s">
        <v>12</v>
      </c>
      <c r="D2" s="1">
        <v>1</v>
      </c>
      <c r="E2" s="1" t="s">
        <v>155</v>
      </c>
      <c r="F2" s="1">
        <v>1</v>
      </c>
      <c r="G2" s="1">
        <v>0</v>
      </c>
      <c r="H2" s="1" t="s">
        <v>69</v>
      </c>
      <c r="I2" s="1" t="s">
        <v>257</v>
      </c>
      <c r="J2" s="1" t="s">
        <v>310</v>
      </c>
      <c r="K2" s="1" t="s">
        <v>214</v>
      </c>
    </row>
    <row r="3" spans="1:11" x14ac:dyDescent="0.25">
      <c r="A3" s="1" t="s">
        <v>213</v>
      </c>
      <c r="B3" s="1">
        <v>112</v>
      </c>
      <c r="C3" s="1" t="s">
        <v>12</v>
      </c>
      <c r="D3" s="1">
        <v>2</v>
      </c>
      <c r="E3" s="1" t="s">
        <v>155</v>
      </c>
      <c r="F3" s="1">
        <v>1</v>
      </c>
      <c r="G3" s="1">
        <v>0</v>
      </c>
      <c r="H3" s="1" t="s">
        <v>69</v>
      </c>
      <c r="I3" s="1" t="s">
        <v>257</v>
      </c>
      <c r="J3" s="1" t="s">
        <v>310</v>
      </c>
      <c r="K3" s="1" t="s">
        <v>214</v>
      </c>
    </row>
    <row r="4" spans="1:11" x14ac:dyDescent="0.25">
      <c r="A4" s="1" t="s">
        <v>213</v>
      </c>
      <c r="B4" s="1">
        <v>114</v>
      </c>
      <c r="C4" s="1" t="s">
        <v>18</v>
      </c>
      <c r="D4" s="1">
        <v>1</v>
      </c>
      <c r="E4" s="1" t="s">
        <v>155</v>
      </c>
      <c r="F4" s="1">
        <v>15</v>
      </c>
      <c r="G4" s="1">
        <v>6</v>
      </c>
      <c r="H4" s="1" t="s">
        <v>69</v>
      </c>
      <c r="I4" s="1" t="s">
        <v>260</v>
      </c>
      <c r="J4" s="1" t="s">
        <v>311</v>
      </c>
      <c r="K4" s="1" t="s">
        <v>214</v>
      </c>
    </row>
    <row r="5" spans="1:11" x14ac:dyDescent="0.25">
      <c r="A5" s="1" t="s">
        <v>213</v>
      </c>
      <c r="B5" s="1">
        <v>115</v>
      </c>
      <c r="C5" s="1" t="s">
        <v>18</v>
      </c>
      <c r="D5" s="1">
        <v>2</v>
      </c>
      <c r="E5" s="1" t="s">
        <v>155</v>
      </c>
      <c r="F5" s="1">
        <v>15</v>
      </c>
      <c r="G5" s="1">
        <v>10</v>
      </c>
      <c r="H5" s="1" t="s">
        <v>69</v>
      </c>
      <c r="I5" s="1" t="s">
        <v>260</v>
      </c>
      <c r="J5" s="1" t="s">
        <v>311</v>
      </c>
      <c r="K5" s="1" t="s">
        <v>214</v>
      </c>
    </row>
    <row r="6" spans="1:11" x14ac:dyDescent="0.25">
      <c r="A6" s="1" t="s">
        <v>213</v>
      </c>
      <c r="B6" s="1">
        <v>117</v>
      </c>
      <c r="C6" s="1" t="s">
        <v>21</v>
      </c>
      <c r="D6" s="1">
        <v>1</v>
      </c>
      <c r="E6" s="1" t="s">
        <v>155</v>
      </c>
      <c r="F6" s="1">
        <v>1</v>
      </c>
      <c r="G6" s="1">
        <v>0</v>
      </c>
      <c r="H6" s="1" t="s">
        <v>69</v>
      </c>
      <c r="I6" s="1" t="s">
        <v>263</v>
      </c>
      <c r="J6" s="1" t="s">
        <v>312</v>
      </c>
      <c r="K6" s="1" t="s">
        <v>214</v>
      </c>
    </row>
    <row r="7" spans="1:11" x14ac:dyDescent="0.25">
      <c r="A7" s="1" t="s">
        <v>213</v>
      </c>
      <c r="B7" s="1">
        <v>118</v>
      </c>
      <c r="C7" s="1" t="s">
        <v>21</v>
      </c>
      <c r="D7" s="1">
        <v>2</v>
      </c>
      <c r="E7" s="1" t="s">
        <v>155</v>
      </c>
      <c r="F7" s="1">
        <v>1</v>
      </c>
      <c r="G7" s="1">
        <v>0</v>
      </c>
      <c r="H7" s="1" t="s">
        <v>69</v>
      </c>
      <c r="I7" s="1" t="s">
        <v>263</v>
      </c>
      <c r="J7" s="1" t="s">
        <v>312</v>
      </c>
      <c r="K7" s="1" t="s">
        <v>214</v>
      </c>
    </row>
    <row r="8" spans="1:11" x14ac:dyDescent="0.25">
      <c r="A8" s="1" t="s">
        <v>213</v>
      </c>
      <c r="B8" s="1">
        <v>120</v>
      </c>
      <c r="C8" s="1" t="s">
        <v>24</v>
      </c>
      <c r="D8" s="1">
        <v>1</v>
      </c>
      <c r="E8" s="1" t="s">
        <v>155</v>
      </c>
      <c r="F8" s="1">
        <v>1</v>
      </c>
      <c r="G8" s="1">
        <v>0</v>
      </c>
      <c r="H8" s="1" t="s">
        <v>69</v>
      </c>
      <c r="I8" s="1" t="s">
        <v>266</v>
      </c>
      <c r="J8" s="1"/>
      <c r="K8" s="1" t="s">
        <v>214</v>
      </c>
    </row>
    <row r="9" spans="1:11" x14ac:dyDescent="0.25">
      <c r="A9" s="1" t="s">
        <v>213</v>
      </c>
      <c r="B9" s="1">
        <v>121</v>
      </c>
      <c r="C9" s="1" t="s">
        <v>24</v>
      </c>
      <c r="D9" s="1">
        <v>2</v>
      </c>
      <c r="E9" s="1" t="s">
        <v>155</v>
      </c>
      <c r="F9" s="1">
        <v>1</v>
      </c>
      <c r="G9" s="1">
        <v>0</v>
      </c>
      <c r="H9" s="1" t="s">
        <v>69</v>
      </c>
      <c r="I9" s="1" t="s">
        <v>266</v>
      </c>
      <c r="J9" s="1"/>
      <c r="K9" s="1" t="s">
        <v>214</v>
      </c>
    </row>
    <row r="10" spans="1:11" x14ac:dyDescent="0.25">
      <c r="A10" s="1" t="s">
        <v>213</v>
      </c>
      <c r="B10" s="1">
        <v>123</v>
      </c>
      <c r="C10" s="1" t="s">
        <v>27</v>
      </c>
      <c r="D10" s="1">
        <v>1</v>
      </c>
      <c r="E10" s="1" t="s">
        <v>155</v>
      </c>
      <c r="F10" s="1">
        <v>1</v>
      </c>
      <c r="G10" s="1">
        <v>0</v>
      </c>
      <c r="H10" s="1" t="s">
        <v>69</v>
      </c>
      <c r="I10" s="1" t="s">
        <v>268</v>
      </c>
      <c r="J10" s="1"/>
      <c r="K10" s="1" t="s">
        <v>214</v>
      </c>
    </row>
    <row r="11" spans="1:11" x14ac:dyDescent="0.25">
      <c r="A11" s="1" t="s">
        <v>213</v>
      </c>
      <c r="B11" s="1">
        <v>124</v>
      </c>
      <c r="C11" s="1" t="s">
        <v>27</v>
      </c>
      <c r="D11" s="1">
        <v>2</v>
      </c>
      <c r="E11" s="1" t="s">
        <v>155</v>
      </c>
      <c r="F11" s="1">
        <v>1</v>
      </c>
      <c r="G11" s="1">
        <v>0</v>
      </c>
      <c r="H11" s="1" t="s">
        <v>69</v>
      </c>
      <c r="I11" s="1" t="s">
        <v>268</v>
      </c>
      <c r="J11" s="1"/>
      <c r="K11" s="1" t="s">
        <v>214</v>
      </c>
    </row>
    <row r="12" spans="1:11" x14ac:dyDescent="0.25">
      <c r="A12" s="1" t="s">
        <v>213</v>
      </c>
      <c r="B12" s="1">
        <v>129</v>
      </c>
      <c r="C12" s="1" t="s">
        <v>12</v>
      </c>
      <c r="D12" s="1">
        <v>1</v>
      </c>
      <c r="E12" s="1" t="s">
        <v>30</v>
      </c>
      <c r="F12" s="1">
        <v>15</v>
      </c>
      <c r="G12" s="1">
        <v>4</v>
      </c>
      <c r="H12" s="1" t="s">
        <v>108</v>
      </c>
      <c r="I12" s="1" t="s">
        <v>233</v>
      </c>
      <c r="J12" s="1" t="s">
        <v>313</v>
      </c>
      <c r="K12" s="1" t="s">
        <v>214</v>
      </c>
    </row>
    <row r="13" spans="1:11" x14ac:dyDescent="0.25">
      <c r="A13" s="1" t="s">
        <v>213</v>
      </c>
      <c r="B13" s="1">
        <v>130</v>
      </c>
      <c r="C13" s="1" t="s">
        <v>12</v>
      </c>
      <c r="D13" s="1">
        <v>2</v>
      </c>
      <c r="E13" s="1" t="s">
        <v>30</v>
      </c>
      <c r="F13" s="1">
        <v>15</v>
      </c>
      <c r="G13" s="1">
        <v>3</v>
      </c>
      <c r="H13" s="1" t="s">
        <v>108</v>
      </c>
      <c r="I13" s="1" t="s">
        <v>233</v>
      </c>
      <c r="J13" s="1" t="s">
        <v>313</v>
      </c>
      <c r="K13" s="1" t="s">
        <v>214</v>
      </c>
    </row>
    <row r="14" spans="1:11" x14ac:dyDescent="0.25">
      <c r="A14" s="1" t="s">
        <v>213</v>
      </c>
      <c r="B14" s="1">
        <v>132</v>
      </c>
      <c r="C14" s="1" t="s">
        <v>18</v>
      </c>
      <c r="D14" s="1">
        <v>1</v>
      </c>
      <c r="E14" s="1" t="s">
        <v>30</v>
      </c>
      <c r="F14" s="1">
        <v>15</v>
      </c>
      <c r="G14" s="1">
        <v>5</v>
      </c>
      <c r="H14" s="1" t="s">
        <v>108</v>
      </c>
      <c r="I14" s="1" t="s">
        <v>238</v>
      </c>
      <c r="J14" s="1" t="s">
        <v>314</v>
      </c>
      <c r="K14" s="1" t="s">
        <v>214</v>
      </c>
    </row>
    <row r="15" spans="1:11" x14ac:dyDescent="0.25">
      <c r="A15" s="1" t="s">
        <v>213</v>
      </c>
      <c r="B15" s="1">
        <v>133</v>
      </c>
      <c r="C15" s="1" t="s">
        <v>18</v>
      </c>
      <c r="D15" s="1">
        <v>2</v>
      </c>
      <c r="E15" s="1" t="s">
        <v>30</v>
      </c>
      <c r="F15" s="1">
        <v>15</v>
      </c>
      <c r="G15" s="1">
        <v>13</v>
      </c>
      <c r="H15" s="1" t="s">
        <v>108</v>
      </c>
      <c r="I15" s="1" t="s">
        <v>238</v>
      </c>
      <c r="J15" s="1" t="s">
        <v>314</v>
      </c>
      <c r="K15" s="1" t="s">
        <v>214</v>
      </c>
    </row>
    <row r="16" spans="1:11" x14ac:dyDescent="0.25">
      <c r="A16" s="1" t="s">
        <v>213</v>
      </c>
      <c r="B16" s="1">
        <v>135</v>
      </c>
      <c r="C16" s="1" t="s">
        <v>21</v>
      </c>
      <c r="D16" s="1">
        <v>1</v>
      </c>
      <c r="E16" s="1" t="s">
        <v>30</v>
      </c>
      <c r="F16" s="1">
        <v>15</v>
      </c>
      <c r="G16" s="1">
        <v>4</v>
      </c>
      <c r="H16" s="1" t="s">
        <v>108</v>
      </c>
      <c r="I16" s="1" t="s">
        <v>243</v>
      </c>
      <c r="J16" s="1" t="s">
        <v>315</v>
      </c>
      <c r="K16" s="1" t="s">
        <v>214</v>
      </c>
    </row>
    <row r="17" spans="1:11" x14ac:dyDescent="0.25">
      <c r="A17" s="1" t="s">
        <v>213</v>
      </c>
      <c r="B17" s="1">
        <v>136</v>
      </c>
      <c r="C17" s="1" t="s">
        <v>21</v>
      </c>
      <c r="D17" s="1">
        <v>2</v>
      </c>
      <c r="E17" s="1" t="s">
        <v>30</v>
      </c>
      <c r="F17" s="1">
        <v>15</v>
      </c>
      <c r="G17" s="1">
        <v>4</v>
      </c>
      <c r="H17" s="1" t="s">
        <v>108</v>
      </c>
      <c r="I17" s="1" t="s">
        <v>243</v>
      </c>
      <c r="J17" s="1" t="s">
        <v>315</v>
      </c>
      <c r="K17" s="1" t="s">
        <v>214</v>
      </c>
    </row>
    <row r="18" spans="1:11" x14ac:dyDescent="0.25">
      <c r="A18" s="1" t="s">
        <v>213</v>
      </c>
      <c r="B18" s="1">
        <v>147</v>
      </c>
      <c r="C18" s="1" t="s">
        <v>12</v>
      </c>
      <c r="D18" s="1">
        <v>1</v>
      </c>
      <c r="E18" s="1" t="s">
        <v>31</v>
      </c>
      <c r="F18" s="1">
        <v>15</v>
      </c>
      <c r="G18" s="1">
        <v>8</v>
      </c>
      <c r="H18" s="1" t="s">
        <v>134</v>
      </c>
      <c r="I18" s="1" t="s">
        <v>290</v>
      </c>
      <c r="J18" s="1" t="s">
        <v>318</v>
      </c>
      <c r="K18" s="1" t="s">
        <v>214</v>
      </c>
    </row>
    <row r="19" spans="1:11" x14ac:dyDescent="0.25">
      <c r="A19" s="1" t="s">
        <v>213</v>
      </c>
      <c r="B19" s="1">
        <v>148</v>
      </c>
      <c r="C19" s="1" t="s">
        <v>12</v>
      </c>
      <c r="D19" s="1">
        <v>2</v>
      </c>
      <c r="E19" s="1" t="s">
        <v>31</v>
      </c>
      <c r="F19" s="1">
        <v>15</v>
      </c>
      <c r="G19" s="1">
        <v>7</v>
      </c>
      <c r="H19" s="1" t="s">
        <v>134</v>
      </c>
      <c r="I19" s="1" t="s">
        <v>290</v>
      </c>
      <c r="J19" s="1" t="s">
        <v>318</v>
      </c>
      <c r="K19" s="1" t="s">
        <v>214</v>
      </c>
    </row>
    <row r="20" spans="1:11" x14ac:dyDescent="0.25">
      <c r="A20" s="1" t="s">
        <v>213</v>
      </c>
      <c r="B20" s="1">
        <v>150</v>
      </c>
      <c r="C20" s="1" t="s">
        <v>18</v>
      </c>
      <c r="D20" s="1">
        <v>1</v>
      </c>
      <c r="E20" s="1" t="s">
        <v>31</v>
      </c>
      <c r="F20" s="1">
        <v>15</v>
      </c>
      <c r="G20" s="1">
        <v>4</v>
      </c>
      <c r="H20" s="1" t="s">
        <v>134</v>
      </c>
      <c r="I20" s="1" t="s">
        <v>292</v>
      </c>
      <c r="J20" s="1" t="s">
        <v>320</v>
      </c>
      <c r="K20" s="1" t="s">
        <v>214</v>
      </c>
    </row>
    <row r="21" spans="1:11" x14ac:dyDescent="0.25">
      <c r="A21" s="1" t="s">
        <v>213</v>
      </c>
      <c r="B21" s="1">
        <v>151</v>
      </c>
      <c r="C21" s="1" t="s">
        <v>18</v>
      </c>
      <c r="D21" s="1">
        <v>2</v>
      </c>
      <c r="E21" s="1" t="s">
        <v>31</v>
      </c>
      <c r="F21" s="1">
        <v>15</v>
      </c>
      <c r="G21" s="1">
        <v>7</v>
      </c>
      <c r="H21" s="1" t="s">
        <v>134</v>
      </c>
      <c r="I21" s="1" t="s">
        <v>292</v>
      </c>
      <c r="J21" s="1" t="s">
        <v>320</v>
      </c>
      <c r="K21" s="1" t="s">
        <v>214</v>
      </c>
    </row>
    <row r="22" spans="1:11" x14ac:dyDescent="0.25">
      <c r="A22" s="1" t="s">
        <v>213</v>
      </c>
      <c r="B22" s="1">
        <v>153</v>
      </c>
      <c r="C22" s="1" t="s">
        <v>21</v>
      </c>
      <c r="D22" s="1">
        <v>1</v>
      </c>
      <c r="E22" s="1" t="s">
        <v>31</v>
      </c>
      <c r="F22" s="1">
        <v>15</v>
      </c>
      <c r="G22" s="1">
        <v>13</v>
      </c>
      <c r="H22" s="1" t="s">
        <v>134</v>
      </c>
      <c r="I22" s="1" t="s">
        <v>294</v>
      </c>
      <c r="J22" s="1" t="s">
        <v>326</v>
      </c>
      <c r="K22" s="1" t="s">
        <v>214</v>
      </c>
    </row>
    <row r="23" spans="1:11" x14ac:dyDescent="0.25">
      <c r="A23" s="1" t="s">
        <v>213</v>
      </c>
      <c r="B23" s="1">
        <v>154</v>
      </c>
      <c r="C23" s="1" t="s">
        <v>21</v>
      </c>
      <c r="D23" s="1">
        <v>2</v>
      </c>
      <c r="E23" s="1" t="s">
        <v>31</v>
      </c>
      <c r="F23" s="1">
        <v>15</v>
      </c>
      <c r="G23" s="1">
        <v>7</v>
      </c>
      <c r="H23" s="1" t="s">
        <v>134</v>
      </c>
      <c r="I23" s="1" t="s">
        <v>294</v>
      </c>
      <c r="J23" s="1" t="s">
        <v>326</v>
      </c>
      <c r="K23" s="1" t="s">
        <v>214</v>
      </c>
    </row>
    <row r="24" spans="1:11" x14ac:dyDescent="0.25">
      <c r="A24" s="1" t="s">
        <v>213</v>
      </c>
      <c r="B24" s="1">
        <v>156</v>
      </c>
      <c r="C24" s="1" t="s">
        <v>24</v>
      </c>
      <c r="D24" s="1">
        <v>1</v>
      </c>
      <c r="E24" s="1" t="s">
        <v>31</v>
      </c>
      <c r="F24" s="1">
        <v>15</v>
      </c>
      <c r="G24" s="1">
        <v>2</v>
      </c>
      <c r="H24" s="1" t="s">
        <v>134</v>
      </c>
      <c r="I24" s="1" t="s">
        <v>296</v>
      </c>
      <c r="J24" s="1" t="s">
        <v>328</v>
      </c>
      <c r="K24" s="1" t="s">
        <v>214</v>
      </c>
    </row>
    <row r="25" spans="1:11" x14ac:dyDescent="0.25">
      <c r="A25" s="1" t="s">
        <v>213</v>
      </c>
      <c r="B25" s="1">
        <v>157</v>
      </c>
      <c r="C25" s="1" t="s">
        <v>24</v>
      </c>
      <c r="D25" s="1">
        <v>2</v>
      </c>
      <c r="E25" s="1" t="s">
        <v>31</v>
      </c>
      <c r="F25" s="1">
        <v>15</v>
      </c>
      <c r="G25" s="1">
        <v>1</v>
      </c>
      <c r="H25" s="1" t="s">
        <v>134</v>
      </c>
      <c r="I25" s="1" t="s">
        <v>296</v>
      </c>
      <c r="J25" s="1" t="s">
        <v>328</v>
      </c>
      <c r="K25" s="1" t="s">
        <v>214</v>
      </c>
    </row>
    <row r="26" spans="1:11" x14ac:dyDescent="0.25">
      <c r="A26" s="1" t="s">
        <v>213</v>
      </c>
      <c r="B26" s="1">
        <v>165</v>
      </c>
      <c r="C26" s="1" t="s">
        <v>12</v>
      </c>
      <c r="D26" s="1">
        <v>1</v>
      </c>
      <c r="E26" s="1" t="s">
        <v>57</v>
      </c>
      <c r="F26" s="1">
        <v>15</v>
      </c>
      <c r="G26" s="1">
        <v>11</v>
      </c>
      <c r="H26" s="1" t="s">
        <v>83</v>
      </c>
      <c r="I26" s="1" t="s">
        <v>301</v>
      </c>
      <c r="J26" s="1" t="s">
        <v>336</v>
      </c>
      <c r="K26" s="1" t="s">
        <v>214</v>
      </c>
    </row>
    <row r="27" spans="1:11" x14ac:dyDescent="0.25">
      <c r="A27" s="1" t="s">
        <v>213</v>
      </c>
      <c r="B27" s="1">
        <v>166</v>
      </c>
      <c r="C27" s="1" t="s">
        <v>12</v>
      </c>
      <c r="D27" s="1">
        <v>2</v>
      </c>
      <c r="E27" s="1" t="s">
        <v>57</v>
      </c>
      <c r="F27" s="1">
        <v>12</v>
      </c>
      <c r="G27" s="1">
        <v>7</v>
      </c>
      <c r="H27" s="1" t="s">
        <v>83</v>
      </c>
      <c r="I27" s="1" t="s">
        <v>301</v>
      </c>
      <c r="J27" s="1" t="s">
        <v>336</v>
      </c>
      <c r="K27" s="1" t="s">
        <v>214</v>
      </c>
    </row>
    <row r="28" spans="1:11" x14ac:dyDescent="0.25">
      <c r="A28" s="1" t="s">
        <v>213</v>
      </c>
      <c r="B28" s="1">
        <v>168</v>
      </c>
      <c r="C28" s="1" t="s">
        <v>18</v>
      </c>
      <c r="D28" s="1">
        <v>1</v>
      </c>
      <c r="E28" s="1" t="s">
        <v>57</v>
      </c>
      <c r="F28" s="1">
        <v>15</v>
      </c>
      <c r="G28" s="1">
        <v>8</v>
      </c>
      <c r="H28" s="1" t="s">
        <v>83</v>
      </c>
      <c r="I28" s="1" t="s">
        <v>303</v>
      </c>
      <c r="J28" s="1" t="s">
        <v>338</v>
      </c>
      <c r="K28" s="1" t="s">
        <v>214</v>
      </c>
    </row>
    <row r="29" spans="1:11" x14ac:dyDescent="0.25">
      <c r="A29" s="1" t="s">
        <v>213</v>
      </c>
      <c r="B29" s="1">
        <v>169</v>
      </c>
      <c r="C29" s="1" t="s">
        <v>18</v>
      </c>
      <c r="D29" s="1">
        <v>2</v>
      </c>
      <c r="E29" s="1" t="s">
        <v>57</v>
      </c>
      <c r="F29" s="1">
        <v>15</v>
      </c>
      <c r="G29" s="1">
        <v>6</v>
      </c>
      <c r="H29" s="1" t="s">
        <v>83</v>
      </c>
      <c r="I29" s="1" t="s">
        <v>303</v>
      </c>
      <c r="J29" s="1" t="s">
        <v>338</v>
      </c>
      <c r="K29" s="1" t="s">
        <v>214</v>
      </c>
    </row>
    <row r="30" spans="1:11" x14ac:dyDescent="0.25">
      <c r="A30" s="1" t="s">
        <v>213</v>
      </c>
      <c r="B30" s="1">
        <v>171</v>
      </c>
      <c r="C30" s="1" t="s">
        <v>21</v>
      </c>
      <c r="D30" s="1">
        <v>1</v>
      </c>
      <c r="E30" s="1" t="s">
        <v>57</v>
      </c>
      <c r="F30" s="1">
        <v>15</v>
      </c>
      <c r="G30" s="1">
        <v>6</v>
      </c>
      <c r="H30" s="1" t="s">
        <v>83</v>
      </c>
      <c r="I30" s="1" t="s">
        <v>305</v>
      </c>
      <c r="J30" s="1" t="s">
        <v>340</v>
      </c>
      <c r="K30" s="1" t="s">
        <v>214</v>
      </c>
    </row>
    <row r="31" spans="1:11" x14ac:dyDescent="0.25">
      <c r="A31" s="1" t="s">
        <v>213</v>
      </c>
      <c r="B31" s="1">
        <v>172</v>
      </c>
      <c r="C31" s="1" t="s">
        <v>21</v>
      </c>
      <c r="D31" s="1">
        <v>2</v>
      </c>
      <c r="E31" s="1" t="s">
        <v>57</v>
      </c>
      <c r="F31" s="1">
        <v>15</v>
      </c>
      <c r="G31" s="1">
        <v>7</v>
      </c>
      <c r="H31" s="1" t="s">
        <v>83</v>
      </c>
      <c r="I31" s="1" t="s">
        <v>305</v>
      </c>
      <c r="J31" s="1" t="s">
        <v>340</v>
      </c>
      <c r="K31" s="1" t="s">
        <v>214</v>
      </c>
    </row>
    <row r="32" spans="1:11" x14ac:dyDescent="0.25">
      <c r="A32" s="1" t="s">
        <v>213</v>
      </c>
      <c r="B32" s="1">
        <v>174</v>
      </c>
      <c r="C32" s="1" t="s">
        <v>24</v>
      </c>
      <c r="D32" s="1">
        <v>1</v>
      </c>
      <c r="E32" s="1" t="s">
        <v>57</v>
      </c>
      <c r="F32" s="1">
        <v>15</v>
      </c>
      <c r="G32" s="1">
        <v>2</v>
      </c>
      <c r="H32" s="1" t="s">
        <v>83</v>
      </c>
      <c r="I32" s="1" t="s">
        <v>307</v>
      </c>
      <c r="J32" s="1" t="s">
        <v>342</v>
      </c>
      <c r="K32" s="1" t="s">
        <v>214</v>
      </c>
    </row>
    <row r="33" spans="1:11" x14ac:dyDescent="0.25">
      <c r="A33" s="1" t="s">
        <v>213</v>
      </c>
      <c r="B33" s="1">
        <v>175</v>
      </c>
      <c r="C33" s="1" t="s">
        <v>24</v>
      </c>
      <c r="D33" s="1">
        <v>2</v>
      </c>
      <c r="E33" s="1" t="s">
        <v>57</v>
      </c>
      <c r="F33" s="1">
        <v>15</v>
      </c>
      <c r="G33" s="1">
        <v>6</v>
      </c>
      <c r="H33" s="1" t="s">
        <v>83</v>
      </c>
      <c r="I33" s="1" t="s">
        <v>307</v>
      </c>
      <c r="J33" s="1" t="s">
        <v>342</v>
      </c>
      <c r="K33" s="1" t="s">
        <v>214</v>
      </c>
    </row>
    <row r="34" spans="1:11" x14ac:dyDescent="0.25">
      <c r="A34" s="1" t="s">
        <v>213</v>
      </c>
      <c r="B34" s="1">
        <v>177</v>
      </c>
      <c r="C34" s="1" t="s">
        <v>27</v>
      </c>
      <c r="D34" s="1">
        <v>1</v>
      </c>
      <c r="E34" s="1" t="s">
        <v>57</v>
      </c>
      <c r="F34" s="1">
        <v>8</v>
      </c>
      <c r="G34" s="1">
        <v>15</v>
      </c>
      <c r="H34" s="1" t="s">
        <v>83</v>
      </c>
      <c r="I34" s="1" t="s">
        <v>309</v>
      </c>
      <c r="J34" s="1" t="s">
        <v>344</v>
      </c>
      <c r="K34" s="1" t="s">
        <v>214</v>
      </c>
    </row>
    <row r="35" spans="1:11" x14ac:dyDescent="0.25">
      <c r="A35" s="1" t="s">
        <v>213</v>
      </c>
      <c r="B35" s="1">
        <v>178</v>
      </c>
      <c r="C35" s="1" t="s">
        <v>27</v>
      </c>
      <c r="D35" s="1">
        <v>2</v>
      </c>
      <c r="E35" s="1" t="s">
        <v>57</v>
      </c>
      <c r="F35" s="1">
        <v>12</v>
      </c>
      <c r="G35" s="1">
        <v>15</v>
      </c>
      <c r="H35" s="1" t="s">
        <v>83</v>
      </c>
      <c r="I35" s="1" t="s">
        <v>309</v>
      </c>
      <c r="J35" s="1" t="s">
        <v>344</v>
      </c>
      <c r="K35" s="1" t="s">
        <v>214</v>
      </c>
    </row>
    <row r="36" spans="1:11" x14ac:dyDescent="0.25">
      <c r="A36" s="1" t="s">
        <v>213</v>
      </c>
      <c r="B36" s="1">
        <v>183</v>
      </c>
      <c r="C36" s="1" t="s">
        <v>12</v>
      </c>
      <c r="D36" s="1">
        <v>1</v>
      </c>
      <c r="E36" s="1" t="s">
        <v>14</v>
      </c>
      <c r="F36" s="1">
        <v>15</v>
      </c>
      <c r="G36" s="1">
        <v>8</v>
      </c>
      <c r="H36" s="1" t="s">
        <v>43</v>
      </c>
      <c r="I36" s="1" t="s">
        <v>300</v>
      </c>
      <c r="J36" s="1" t="s">
        <v>345</v>
      </c>
      <c r="K36" s="1" t="s">
        <v>214</v>
      </c>
    </row>
    <row r="37" spans="1:11" x14ac:dyDescent="0.25">
      <c r="A37" s="1" t="s">
        <v>213</v>
      </c>
      <c r="B37" s="1">
        <v>184</v>
      </c>
      <c r="C37" s="1" t="s">
        <v>12</v>
      </c>
      <c r="D37" s="1">
        <v>2</v>
      </c>
      <c r="E37" s="1" t="s">
        <v>14</v>
      </c>
      <c r="F37" s="1">
        <v>15</v>
      </c>
      <c r="G37" s="1">
        <v>12</v>
      </c>
      <c r="H37" s="1" t="s">
        <v>43</v>
      </c>
      <c r="I37" s="1" t="s">
        <v>300</v>
      </c>
      <c r="J37" s="1" t="s">
        <v>345</v>
      </c>
      <c r="K37" s="1" t="s">
        <v>214</v>
      </c>
    </row>
    <row r="38" spans="1:11" x14ac:dyDescent="0.25">
      <c r="A38" s="1" t="s">
        <v>213</v>
      </c>
      <c r="B38" s="1">
        <v>186</v>
      </c>
      <c r="C38" s="1" t="s">
        <v>18</v>
      </c>
      <c r="D38" s="1">
        <v>1</v>
      </c>
      <c r="E38" s="1" t="s">
        <v>14</v>
      </c>
      <c r="F38" s="1">
        <v>15</v>
      </c>
      <c r="G38" s="1">
        <v>11</v>
      </c>
      <c r="H38" s="1" t="s">
        <v>43</v>
      </c>
      <c r="I38" s="1" t="s">
        <v>302</v>
      </c>
      <c r="J38" s="1" t="s">
        <v>347</v>
      </c>
      <c r="K38" s="1" t="s">
        <v>214</v>
      </c>
    </row>
    <row r="39" spans="1:11" x14ac:dyDescent="0.25">
      <c r="A39" s="1" t="s">
        <v>213</v>
      </c>
      <c r="B39" s="1">
        <v>187</v>
      </c>
      <c r="C39" s="1" t="s">
        <v>18</v>
      </c>
      <c r="D39" s="1">
        <v>2</v>
      </c>
      <c r="E39" s="1" t="s">
        <v>14</v>
      </c>
      <c r="F39" s="1">
        <v>15</v>
      </c>
      <c r="G39" s="1">
        <v>12</v>
      </c>
      <c r="H39" s="1" t="s">
        <v>43</v>
      </c>
      <c r="I39" s="1" t="s">
        <v>302</v>
      </c>
      <c r="J39" s="1" t="s">
        <v>347</v>
      </c>
      <c r="K39" s="1" t="s">
        <v>214</v>
      </c>
    </row>
    <row r="40" spans="1:11" x14ac:dyDescent="0.25">
      <c r="A40" s="1" t="s">
        <v>213</v>
      </c>
      <c r="B40" s="1">
        <v>189</v>
      </c>
      <c r="C40" s="1" t="s">
        <v>21</v>
      </c>
      <c r="D40" s="1">
        <v>1</v>
      </c>
      <c r="E40" s="1" t="s">
        <v>14</v>
      </c>
      <c r="F40" s="1">
        <v>15</v>
      </c>
      <c r="G40" s="1">
        <v>10</v>
      </c>
      <c r="H40" s="1" t="s">
        <v>43</v>
      </c>
      <c r="I40" s="1" t="s">
        <v>304</v>
      </c>
      <c r="J40" s="1" t="s">
        <v>349</v>
      </c>
      <c r="K40" s="1" t="s">
        <v>214</v>
      </c>
    </row>
    <row r="41" spans="1:11" x14ac:dyDescent="0.25">
      <c r="A41" s="1" t="s">
        <v>213</v>
      </c>
      <c r="B41" s="1">
        <v>190</v>
      </c>
      <c r="C41" s="1" t="s">
        <v>21</v>
      </c>
      <c r="D41" s="1">
        <v>2</v>
      </c>
      <c r="E41" s="1" t="s">
        <v>14</v>
      </c>
      <c r="F41" s="1">
        <v>15</v>
      </c>
      <c r="G41" s="1">
        <v>13</v>
      </c>
      <c r="H41" s="1" t="s">
        <v>43</v>
      </c>
      <c r="I41" s="1" t="s">
        <v>304</v>
      </c>
      <c r="J41" s="1" t="s">
        <v>349</v>
      </c>
      <c r="K41" s="1" t="s">
        <v>214</v>
      </c>
    </row>
    <row r="42" spans="1:11" x14ac:dyDescent="0.25">
      <c r="A42" s="1" t="s">
        <v>213</v>
      </c>
      <c r="B42" s="1">
        <v>192</v>
      </c>
      <c r="C42" s="1" t="s">
        <v>24</v>
      </c>
      <c r="D42" s="1">
        <v>1</v>
      </c>
      <c r="E42" s="1" t="s">
        <v>14</v>
      </c>
      <c r="F42" s="1">
        <v>15</v>
      </c>
      <c r="G42" s="1">
        <v>12</v>
      </c>
      <c r="H42" s="1" t="s">
        <v>43</v>
      </c>
      <c r="I42" s="1" t="s">
        <v>306</v>
      </c>
      <c r="J42" s="1" t="s">
        <v>351</v>
      </c>
      <c r="K42" s="1" t="s">
        <v>214</v>
      </c>
    </row>
    <row r="43" spans="1:11" x14ac:dyDescent="0.25">
      <c r="A43" s="1" t="s">
        <v>213</v>
      </c>
      <c r="B43" s="1">
        <v>193</v>
      </c>
      <c r="C43" s="1" t="s">
        <v>24</v>
      </c>
      <c r="D43" s="1">
        <v>2</v>
      </c>
      <c r="E43" s="1" t="s">
        <v>14</v>
      </c>
      <c r="F43" s="1">
        <v>16</v>
      </c>
      <c r="G43" s="1">
        <v>14</v>
      </c>
      <c r="H43" s="1" t="s">
        <v>43</v>
      </c>
      <c r="I43" s="1" t="s">
        <v>306</v>
      </c>
      <c r="J43" s="1" t="s">
        <v>351</v>
      </c>
      <c r="K43" s="1" t="s">
        <v>214</v>
      </c>
    </row>
    <row r="44" spans="1:11" x14ac:dyDescent="0.25">
      <c r="A44" s="1" t="s">
        <v>213</v>
      </c>
      <c r="B44" s="1">
        <v>201</v>
      </c>
      <c r="C44" s="1" t="s">
        <v>12</v>
      </c>
      <c r="D44" s="1">
        <v>1</v>
      </c>
      <c r="E44" s="1" t="s">
        <v>181</v>
      </c>
      <c r="F44" s="1">
        <v>15</v>
      </c>
      <c r="G44" s="1">
        <v>11</v>
      </c>
      <c r="H44" s="1" t="s">
        <v>56</v>
      </c>
      <c r="I44" s="1" t="s">
        <v>291</v>
      </c>
      <c r="J44" s="1" t="s">
        <v>319</v>
      </c>
      <c r="K44" s="1" t="s">
        <v>214</v>
      </c>
    </row>
    <row r="45" spans="1:11" x14ac:dyDescent="0.25">
      <c r="A45" s="1" t="s">
        <v>213</v>
      </c>
      <c r="B45" s="1">
        <v>202</v>
      </c>
      <c r="C45" s="1" t="s">
        <v>12</v>
      </c>
      <c r="D45" s="1">
        <v>2</v>
      </c>
      <c r="E45" s="1" t="s">
        <v>181</v>
      </c>
      <c r="F45" s="1">
        <v>15</v>
      </c>
      <c r="G45" s="1">
        <v>11</v>
      </c>
      <c r="H45" s="1" t="s">
        <v>56</v>
      </c>
      <c r="I45" s="1" t="s">
        <v>291</v>
      </c>
      <c r="J45" s="1" t="s">
        <v>319</v>
      </c>
      <c r="K45" s="1" t="s">
        <v>214</v>
      </c>
    </row>
    <row r="46" spans="1:11" x14ac:dyDescent="0.25">
      <c r="A46" s="1" t="s">
        <v>213</v>
      </c>
      <c r="B46" s="1">
        <v>204</v>
      </c>
      <c r="C46" s="1" t="s">
        <v>18</v>
      </c>
      <c r="D46" s="1">
        <v>1</v>
      </c>
      <c r="E46" s="1" t="s">
        <v>181</v>
      </c>
      <c r="F46" s="1">
        <v>15</v>
      </c>
      <c r="G46" s="1">
        <v>8</v>
      </c>
      <c r="H46" s="1" t="s">
        <v>56</v>
      </c>
      <c r="I46" s="1" t="s">
        <v>293</v>
      </c>
      <c r="J46" s="1" t="s">
        <v>323</v>
      </c>
      <c r="K46" s="1" t="s">
        <v>214</v>
      </c>
    </row>
    <row r="47" spans="1:11" x14ac:dyDescent="0.25">
      <c r="A47" s="1" t="s">
        <v>213</v>
      </c>
      <c r="B47" s="1">
        <v>205</v>
      </c>
      <c r="C47" s="1" t="s">
        <v>18</v>
      </c>
      <c r="D47" s="1">
        <v>2</v>
      </c>
      <c r="E47" s="1" t="s">
        <v>181</v>
      </c>
      <c r="F47" s="1">
        <v>15</v>
      </c>
      <c r="G47" s="1">
        <v>9</v>
      </c>
      <c r="H47" s="1" t="s">
        <v>56</v>
      </c>
      <c r="I47" s="1" t="s">
        <v>293</v>
      </c>
      <c r="J47" s="1" t="s">
        <v>323</v>
      </c>
      <c r="K47" s="1" t="s">
        <v>214</v>
      </c>
    </row>
    <row r="48" spans="1:11" x14ac:dyDescent="0.25">
      <c r="A48" s="1" t="s">
        <v>213</v>
      </c>
      <c r="B48" s="1">
        <v>207</v>
      </c>
      <c r="C48" s="1" t="s">
        <v>21</v>
      </c>
      <c r="D48" s="1">
        <v>1</v>
      </c>
      <c r="E48" s="1" t="s">
        <v>181</v>
      </c>
      <c r="F48" s="1">
        <v>11</v>
      </c>
      <c r="G48" s="1">
        <v>15</v>
      </c>
      <c r="H48" s="1" t="s">
        <v>56</v>
      </c>
      <c r="I48" s="1" t="s">
        <v>295</v>
      </c>
      <c r="J48" s="1" t="s">
        <v>325</v>
      </c>
      <c r="K48" s="1" t="s">
        <v>214</v>
      </c>
    </row>
    <row r="49" spans="1:11" x14ac:dyDescent="0.25">
      <c r="A49" s="1" t="s">
        <v>213</v>
      </c>
      <c r="B49" s="1">
        <v>208</v>
      </c>
      <c r="C49" s="1" t="s">
        <v>21</v>
      </c>
      <c r="D49" s="1">
        <v>2</v>
      </c>
      <c r="E49" s="1" t="s">
        <v>181</v>
      </c>
      <c r="F49" s="1">
        <v>15</v>
      </c>
      <c r="G49" s="1">
        <v>13</v>
      </c>
      <c r="H49" s="1" t="s">
        <v>56</v>
      </c>
      <c r="I49" s="1" t="s">
        <v>295</v>
      </c>
      <c r="J49" s="1" t="s">
        <v>325</v>
      </c>
      <c r="K49" s="1" t="s">
        <v>214</v>
      </c>
    </row>
    <row r="50" spans="1:11" x14ac:dyDescent="0.25">
      <c r="A50" s="1" t="s">
        <v>213</v>
      </c>
      <c r="B50" s="1">
        <v>210</v>
      </c>
      <c r="C50" s="1" t="s">
        <v>24</v>
      </c>
      <c r="D50" s="1">
        <v>1</v>
      </c>
      <c r="E50" s="1" t="s">
        <v>181</v>
      </c>
      <c r="F50" s="1">
        <v>15</v>
      </c>
      <c r="G50" s="1">
        <v>10</v>
      </c>
      <c r="H50" s="1" t="s">
        <v>56</v>
      </c>
      <c r="I50" s="1" t="s">
        <v>297</v>
      </c>
      <c r="J50" s="1" t="s">
        <v>330</v>
      </c>
      <c r="K50" s="1" t="s">
        <v>214</v>
      </c>
    </row>
    <row r="51" spans="1:11" x14ac:dyDescent="0.25">
      <c r="A51" s="1" t="s">
        <v>213</v>
      </c>
      <c r="B51" s="1">
        <v>211</v>
      </c>
      <c r="C51" s="1" t="s">
        <v>24</v>
      </c>
      <c r="D51" s="1">
        <v>2</v>
      </c>
      <c r="E51" s="1" t="s">
        <v>181</v>
      </c>
      <c r="F51" s="1">
        <v>15</v>
      </c>
      <c r="G51" s="1">
        <v>12</v>
      </c>
      <c r="H51" s="1" t="s">
        <v>56</v>
      </c>
      <c r="I51" s="1" t="s">
        <v>297</v>
      </c>
      <c r="J51" s="1" t="s">
        <v>330</v>
      </c>
      <c r="K51" s="1" t="s">
        <v>214</v>
      </c>
    </row>
    <row r="52" spans="1:11" x14ac:dyDescent="0.25">
      <c r="A52" s="1" t="s">
        <v>213</v>
      </c>
      <c r="B52" s="1">
        <v>213</v>
      </c>
      <c r="C52" s="1" t="s">
        <v>27</v>
      </c>
      <c r="D52" s="1">
        <v>1</v>
      </c>
      <c r="E52" s="1" t="s">
        <v>181</v>
      </c>
      <c r="F52" s="1">
        <v>15</v>
      </c>
      <c r="G52" s="1">
        <v>5</v>
      </c>
      <c r="H52" s="1" t="s">
        <v>56</v>
      </c>
      <c r="I52" s="1" t="s">
        <v>299</v>
      </c>
      <c r="J52" s="1" t="s">
        <v>333</v>
      </c>
      <c r="K52" s="1" t="s">
        <v>214</v>
      </c>
    </row>
    <row r="53" spans="1:11" x14ac:dyDescent="0.25">
      <c r="A53" s="1" t="s">
        <v>213</v>
      </c>
      <c r="B53" s="1">
        <v>214</v>
      </c>
      <c r="C53" s="1" t="s">
        <v>27</v>
      </c>
      <c r="D53" s="1">
        <v>2</v>
      </c>
      <c r="E53" s="1" t="s">
        <v>181</v>
      </c>
      <c r="F53" s="1">
        <v>15</v>
      </c>
      <c r="G53" s="1">
        <v>6</v>
      </c>
      <c r="H53" s="1" t="s">
        <v>56</v>
      </c>
      <c r="I53" s="1" t="s">
        <v>299</v>
      </c>
      <c r="J53" s="1" t="s">
        <v>333</v>
      </c>
      <c r="K53" s="1" t="s">
        <v>214</v>
      </c>
    </row>
    <row r="54" spans="1:11" x14ac:dyDescent="0.25">
      <c r="A54" s="1" t="s">
        <v>213</v>
      </c>
      <c r="B54" s="1">
        <v>219</v>
      </c>
      <c r="C54" s="1" t="s">
        <v>12</v>
      </c>
      <c r="D54" s="1">
        <v>1</v>
      </c>
      <c r="E54" s="1" t="s">
        <v>95</v>
      </c>
      <c r="F54" s="1">
        <v>15</v>
      </c>
      <c r="G54" s="1">
        <v>12</v>
      </c>
      <c r="H54" s="1" t="s">
        <v>109</v>
      </c>
      <c r="I54" s="1" t="s">
        <v>285</v>
      </c>
      <c r="J54" s="1" t="s">
        <v>346</v>
      </c>
      <c r="K54" s="1" t="s">
        <v>214</v>
      </c>
    </row>
    <row r="55" spans="1:11" x14ac:dyDescent="0.25">
      <c r="A55" s="1" t="s">
        <v>213</v>
      </c>
      <c r="B55" s="1">
        <v>220</v>
      </c>
      <c r="C55" s="1" t="s">
        <v>12</v>
      </c>
      <c r="D55" s="1">
        <v>2</v>
      </c>
      <c r="E55" s="1" t="s">
        <v>95</v>
      </c>
      <c r="F55" s="1">
        <v>14</v>
      </c>
      <c r="G55" s="1">
        <v>13</v>
      </c>
      <c r="H55" s="1" t="s">
        <v>109</v>
      </c>
      <c r="I55" s="1" t="s">
        <v>285</v>
      </c>
      <c r="J55" s="1" t="s">
        <v>346</v>
      </c>
      <c r="K55" s="1" t="s">
        <v>214</v>
      </c>
    </row>
    <row r="56" spans="1:11" x14ac:dyDescent="0.25">
      <c r="A56" s="1" t="s">
        <v>213</v>
      </c>
      <c r="B56" s="1">
        <v>222</v>
      </c>
      <c r="C56" s="1" t="s">
        <v>18</v>
      </c>
      <c r="D56" s="1">
        <v>1</v>
      </c>
      <c r="E56" s="1" t="s">
        <v>95</v>
      </c>
      <c r="F56" s="1">
        <v>15</v>
      </c>
      <c r="G56" s="1">
        <v>11</v>
      </c>
      <c r="H56" s="1" t="s">
        <v>109</v>
      </c>
      <c r="I56" s="1" t="s">
        <v>286</v>
      </c>
      <c r="J56" s="1" t="s">
        <v>348</v>
      </c>
      <c r="K56" s="1" t="s">
        <v>214</v>
      </c>
    </row>
    <row r="57" spans="1:11" x14ac:dyDescent="0.25">
      <c r="A57" s="1" t="s">
        <v>213</v>
      </c>
      <c r="B57" s="1">
        <v>223</v>
      </c>
      <c r="C57" s="1" t="s">
        <v>18</v>
      </c>
      <c r="D57" s="1">
        <v>2</v>
      </c>
      <c r="E57" s="1" t="s">
        <v>95</v>
      </c>
      <c r="F57" s="1">
        <v>15</v>
      </c>
      <c r="G57" s="1">
        <v>9</v>
      </c>
      <c r="H57" s="1" t="s">
        <v>109</v>
      </c>
      <c r="I57" s="1" t="s">
        <v>286</v>
      </c>
      <c r="J57" s="1" t="s">
        <v>348</v>
      </c>
      <c r="K57" s="1" t="s">
        <v>214</v>
      </c>
    </row>
    <row r="58" spans="1:11" x14ac:dyDescent="0.25">
      <c r="A58" s="1" t="s">
        <v>213</v>
      </c>
      <c r="B58" s="1">
        <v>225</v>
      </c>
      <c r="C58" s="1" t="s">
        <v>21</v>
      </c>
      <c r="D58" s="1">
        <v>1</v>
      </c>
      <c r="E58" s="1" t="s">
        <v>95</v>
      </c>
      <c r="F58" s="1">
        <v>15</v>
      </c>
      <c r="G58" s="1">
        <v>10</v>
      </c>
      <c r="H58" s="1" t="s">
        <v>109</v>
      </c>
      <c r="I58" s="1" t="s">
        <v>287</v>
      </c>
      <c r="J58" s="1" t="s">
        <v>350</v>
      </c>
      <c r="K58" s="1" t="s">
        <v>214</v>
      </c>
    </row>
    <row r="59" spans="1:11" x14ac:dyDescent="0.25">
      <c r="A59" s="1" t="s">
        <v>213</v>
      </c>
      <c r="B59" s="1">
        <v>226</v>
      </c>
      <c r="C59" s="1" t="s">
        <v>21</v>
      </c>
      <c r="D59" s="1">
        <v>2</v>
      </c>
      <c r="E59" s="1" t="s">
        <v>95</v>
      </c>
      <c r="F59" s="1">
        <v>15</v>
      </c>
      <c r="G59" s="1">
        <v>13</v>
      </c>
      <c r="H59" s="1" t="s">
        <v>109</v>
      </c>
      <c r="I59" s="1" t="s">
        <v>287</v>
      </c>
      <c r="J59" s="1" t="s">
        <v>350</v>
      </c>
      <c r="K59" s="1" t="s">
        <v>214</v>
      </c>
    </row>
    <row r="60" spans="1:11" x14ac:dyDescent="0.25">
      <c r="A60" s="1" t="s">
        <v>213</v>
      </c>
      <c r="B60" s="1">
        <v>228</v>
      </c>
      <c r="C60" s="1" t="s">
        <v>24</v>
      </c>
      <c r="D60" s="1">
        <v>1</v>
      </c>
      <c r="E60" s="1" t="s">
        <v>95</v>
      </c>
      <c r="F60" s="1">
        <v>15</v>
      </c>
      <c r="G60" s="1">
        <v>11</v>
      </c>
      <c r="H60" s="1" t="s">
        <v>109</v>
      </c>
      <c r="I60" s="1" t="s">
        <v>288</v>
      </c>
      <c r="J60" s="1" t="s">
        <v>352</v>
      </c>
      <c r="K60" s="1" t="s">
        <v>214</v>
      </c>
    </row>
    <row r="61" spans="1:11" x14ac:dyDescent="0.25">
      <c r="A61" s="1" t="s">
        <v>213</v>
      </c>
      <c r="B61" s="1">
        <v>229</v>
      </c>
      <c r="C61" s="1" t="s">
        <v>24</v>
      </c>
      <c r="D61" s="1">
        <v>2</v>
      </c>
      <c r="E61" s="1" t="s">
        <v>95</v>
      </c>
      <c r="F61" s="1">
        <v>15</v>
      </c>
      <c r="G61" s="1">
        <v>7</v>
      </c>
      <c r="H61" s="1" t="s">
        <v>109</v>
      </c>
      <c r="I61" s="1" t="s">
        <v>288</v>
      </c>
      <c r="J61" s="1" t="s">
        <v>352</v>
      </c>
      <c r="K61" s="1" t="s">
        <v>214</v>
      </c>
    </row>
    <row r="62" spans="1:11" x14ac:dyDescent="0.25">
      <c r="A62" s="1" t="s">
        <v>213</v>
      </c>
      <c r="B62" s="1">
        <v>231</v>
      </c>
      <c r="C62" s="1" t="s">
        <v>27</v>
      </c>
      <c r="D62" s="1">
        <v>1</v>
      </c>
      <c r="E62" s="1" t="s">
        <v>95</v>
      </c>
      <c r="F62" s="1">
        <v>15</v>
      </c>
      <c r="G62" s="1">
        <v>9</v>
      </c>
      <c r="H62" s="1" t="s">
        <v>109</v>
      </c>
      <c r="I62" s="1" t="s">
        <v>289</v>
      </c>
      <c r="J62" s="1" t="s">
        <v>353</v>
      </c>
      <c r="K62" s="1" t="s">
        <v>214</v>
      </c>
    </row>
    <row r="63" spans="1:11" x14ac:dyDescent="0.25">
      <c r="A63" s="1" t="s">
        <v>213</v>
      </c>
      <c r="B63" s="1">
        <v>232</v>
      </c>
      <c r="C63" s="1" t="s">
        <v>27</v>
      </c>
      <c r="D63" s="1">
        <v>2</v>
      </c>
      <c r="E63" s="1" t="s">
        <v>95</v>
      </c>
      <c r="F63" s="1">
        <v>15</v>
      </c>
      <c r="G63" s="1">
        <v>12</v>
      </c>
      <c r="H63" s="1" t="s">
        <v>109</v>
      </c>
      <c r="I63" s="1" t="s">
        <v>289</v>
      </c>
      <c r="J63" s="1" t="s">
        <v>353</v>
      </c>
      <c r="K63" s="1" t="s">
        <v>214</v>
      </c>
    </row>
    <row r="64" spans="1:11" x14ac:dyDescent="0.25">
      <c r="A64" s="1" t="s">
        <v>213</v>
      </c>
      <c r="B64" s="1">
        <v>237</v>
      </c>
      <c r="C64" s="1" t="s">
        <v>12</v>
      </c>
      <c r="D64" s="1">
        <v>1</v>
      </c>
      <c r="E64" s="1" t="s">
        <v>182</v>
      </c>
      <c r="F64" s="1">
        <v>9</v>
      </c>
      <c r="G64" s="1">
        <v>15</v>
      </c>
      <c r="H64" s="1" t="s">
        <v>44</v>
      </c>
      <c r="I64" s="1" t="s">
        <v>271</v>
      </c>
      <c r="J64" s="1" t="s">
        <v>317</v>
      </c>
      <c r="K64" s="1" t="s">
        <v>214</v>
      </c>
    </row>
    <row r="65" spans="1:11" x14ac:dyDescent="0.25">
      <c r="A65" s="1" t="s">
        <v>213</v>
      </c>
      <c r="B65" s="1">
        <v>238</v>
      </c>
      <c r="C65" s="1" t="s">
        <v>12</v>
      </c>
      <c r="D65" s="1">
        <v>2</v>
      </c>
      <c r="E65" s="1" t="s">
        <v>182</v>
      </c>
      <c r="F65" s="1">
        <v>15</v>
      </c>
      <c r="G65" s="1">
        <v>11</v>
      </c>
      <c r="H65" s="1" t="s">
        <v>44</v>
      </c>
      <c r="I65" s="1" t="s">
        <v>271</v>
      </c>
      <c r="J65" s="1" t="s">
        <v>317</v>
      </c>
      <c r="K65" s="1" t="s">
        <v>214</v>
      </c>
    </row>
    <row r="66" spans="1:11" x14ac:dyDescent="0.25">
      <c r="A66" s="1" t="s">
        <v>213</v>
      </c>
      <c r="B66" s="1">
        <v>240</v>
      </c>
      <c r="C66" s="1" t="s">
        <v>18</v>
      </c>
      <c r="D66" s="1">
        <v>1</v>
      </c>
      <c r="E66" s="1" t="s">
        <v>182</v>
      </c>
      <c r="F66" s="1">
        <v>15</v>
      </c>
      <c r="G66" s="1">
        <v>12</v>
      </c>
      <c r="H66" s="1" t="s">
        <v>44</v>
      </c>
      <c r="I66" s="1" t="s">
        <v>274</v>
      </c>
      <c r="J66" s="1" t="s">
        <v>322</v>
      </c>
      <c r="K66" s="1" t="s">
        <v>214</v>
      </c>
    </row>
    <row r="67" spans="1:11" x14ac:dyDescent="0.25">
      <c r="A67" s="1" t="s">
        <v>213</v>
      </c>
      <c r="B67" s="1">
        <v>241</v>
      </c>
      <c r="C67" s="1" t="s">
        <v>18</v>
      </c>
      <c r="D67" s="1">
        <v>2</v>
      </c>
      <c r="E67" s="1" t="s">
        <v>182</v>
      </c>
      <c r="F67" s="1">
        <v>15</v>
      </c>
      <c r="G67" s="1">
        <v>10</v>
      </c>
      <c r="H67" s="1" t="s">
        <v>44</v>
      </c>
      <c r="I67" s="1" t="s">
        <v>274</v>
      </c>
      <c r="J67" s="1" t="s">
        <v>322</v>
      </c>
      <c r="K67" s="1" t="s">
        <v>214</v>
      </c>
    </row>
    <row r="68" spans="1:11" x14ac:dyDescent="0.25">
      <c r="A68" s="1" t="s">
        <v>213</v>
      </c>
      <c r="B68" s="1">
        <v>243</v>
      </c>
      <c r="C68" s="1" t="s">
        <v>21</v>
      </c>
      <c r="D68" s="1">
        <v>1</v>
      </c>
      <c r="E68" s="1" t="s">
        <v>182</v>
      </c>
      <c r="F68" s="1">
        <v>15</v>
      </c>
      <c r="G68" s="1">
        <v>7</v>
      </c>
      <c r="H68" s="1" t="s">
        <v>44</v>
      </c>
      <c r="I68" s="1" t="s">
        <v>277</v>
      </c>
      <c r="J68" s="1" t="s">
        <v>327</v>
      </c>
      <c r="K68" s="1" t="s">
        <v>214</v>
      </c>
    </row>
    <row r="69" spans="1:11" x14ac:dyDescent="0.25">
      <c r="A69" s="1" t="s">
        <v>213</v>
      </c>
      <c r="B69" s="1">
        <v>244</v>
      </c>
      <c r="C69" s="1" t="s">
        <v>21</v>
      </c>
      <c r="D69" s="1">
        <v>2</v>
      </c>
      <c r="E69" s="1" t="s">
        <v>182</v>
      </c>
      <c r="F69" s="1">
        <v>15</v>
      </c>
      <c r="G69" s="1">
        <v>11</v>
      </c>
      <c r="H69" s="1" t="s">
        <v>44</v>
      </c>
      <c r="I69" s="1" t="s">
        <v>277</v>
      </c>
      <c r="J69" s="1" t="s">
        <v>327</v>
      </c>
      <c r="K69" s="1" t="s">
        <v>214</v>
      </c>
    </row>
    <row r="70" spans="1:11" x14ac:dyDescent="0.25">
      <c r="A70" s="1" t="s">
        <v>213</v>
      </c>
      <c r="B70" s="1">
        <v>246</v>
      </c>
      <c r="C70" s="1" t="s">
        <v>24</v>
      </c>
      <c r="D70" s="1">
        <v>1</v>
      </c>
      <c r="E70" s="1" t="s">
        <v>182</v>
      </c>
      <c r="F70" s="1">
        <v>15</v>
      </c>
      <c r="G70" s="1">
        <v>5</v>
      </c>
      <c r="H70" s="1" t="s">
        <v>44</v>
      </c>
      <c r="I70" s="1" t="s">
        <v>280</v>
      </c>
      <c r="J70" s="1" t="s">
        <v>331</v>
      </c>
      <c r="K70" s="1" t="s">
        <v>214</v>
      </c>
    </row>
    <row r="71" spans="1:11" x14ac:dyDescent="0.25">
      <c r="A71" s="1" t="s">
        <v>213</v>
      </c>
      <c r="B71" s="1">
        <v>247</v>
      </c>
      <c r="C71" s="1" t="s">
        <v>24</v>
      </c>
      <c r="D71" s="1">
        <v>2</v>
      </c>
      <c r="E71" s="1" t="s">
        <v>182</v>
      </c>
      <c r="F71" s="1">
        <v>11</v>
      </c>
      <c r="G71" s="1">
        <v>10</v>
      </c>
      <c r="H71" s="1" t="s">
        <v>44</v>
      </c>
      <c r="I71" s="1" t="s">
        <v>280</v>
      </c>
      <c r="J71" s="1" t="s">
        <v>331</v>
      </c>
      <c r="K71" s="1" t="s">
        <v>214</v>
      </c>
    </row>
    <row r="72" spans="1:11" x14ac:dyDescent="0.25">
      <c r="A72" s="1" t="s">
        <v>213</v>
      </c>
      <c r="B72" s="1">
        <v>249</v>
      </c>
      <c r="C72" s="1" t="s">
        <v>27</v>
      </c>
      <c r="D72" s="1">
        <v>1</v>
      </c>
      <c r="E72" s="1" t="s">
        <v>182</v>
      </c>
      <c r="F72" s="1">
        <v>15</v>
      </c>
      <c r="G72" s="1">
        <v>3</v>
      </c>
      <c r="H72" s="1" t="s">
        <v>44</v>
      </c>
      <c r="I72" s="1" t="s">
        <v>283</v>
      </c>
      <c r="J72" s="1" t="s">
        <v>334</v>
      </c>
      <c r="K72" s="1" t="s">
        <v>214</v>
      </c>
    </row>
    <row r="73" spans="1:11" x14ac:dyDescent="0.25">
      <c r="A73" s="1" t="s">
        <v>213</v>
      </c>
      <c r="B73" s="1">
        <v>250</v>
      </c>
      <c r="C73" s="1" t="s">
        <v>27</v>
      </c>
      <c r="D73" s="1">
        <v>2</v>
      </c>
      <c r="E73" s="1" t="s">
        <v>182</v>
      </c>
      <c r="F73" s="1">
        <v>15</v>
      </c>
      <c r="G73" s="1">
        <v>2</v>
      </c>
      <c r="H73" s="1" t="s">
        <v>44</v>
      </c>
      <c r="I73" s="1" t="s">
        <v>283</v>
      </c>
      <c r="J73" s="1" t="s">
        <v>334</v>
      </c>
      <c r="K73" s="1" t="s">
        <v>214</v>
      </c>
    </row>
    <row r="74" spans="1:11" x14ac:dyDescent="0.25">
      <c r="A74" s="1" t="s">
        <v>213</v>
      </c>
      <c r="B74" s="1">
        <v>255</v>
      </c>
      <c r="C74" s="1" t="s">
        <v>12</v>
      </c>
      <c r="D74" s="1">
        <v>1</v>
      </c>
      <c r="E74" s="1" t="s">
        <v>169</v>
      </c>
      <c r="F74" s="1">
        <v>15</v>
      </c>
      <c r="G74" s="1">
        <v>7</v>
      </c>
      <c r="H74" s="1" t="s">
        <v>13</v>
      </c>
      <c r="I74" s="1" t="s">
        <v>256</v>
      </c>
      <c r="J74" s="1" t="s">
        <v>335</v>
      </c>
      <c r="K74" s="1" t="s">
        <v>214</v>
      </c>
    </row>
    <row r="75" spans="1:11" x14ac:dyDescent="0.25">
      <c r="A75" s="1" t="s">
        <v>213</v>
      </c>
      <c r="B75" s="1">
        <v>256</v>
      </c>
      <c r="C75" s="1" t="s">
        <v>12</v>
      </c>
      <c r="D75" s="1">
        <v>2</v>
      </c>
      <c r="E75" s="1" t="s">
        <v>169</v>
      </c>
      <c r="F75" s="1">
        <v>15</v>
      </c>
      <c r="G75" s="1">
        <v>8</v>
      </c>
      <c r="H75" s="1" t="s">
        <v>13</v>
      </c>
      <c r="I75" s="1" t="s">
        <v>256</v>
      </c>
      <c r="J75" s="1" t="s">
        <v>335</v>
      </c>
      <c r="K75" s="1" t="s">
        <v>214</v>
      </c>
    </row>
    <row r="76" spans="1:11" x14ac:dyDescent="0.25">
      <c r="A76" s="1" t="s">
        <v>213</v>
      </c>
      <c r="B76" s="1">
        <v>258</v>
      </c>
      <c r="C76" s="1" t="s">
        <v>18</v>
      </c>
      <c r="D76" s="1">
        <v>1</v>
      </c>
      <c r="E76" s="1" t="s">
        <v>169</v>
      </c>
      <c r="F76" s="1">
        <v>15</v>
      </c>
      <c r="G76" s="1">
        <v>8</v>
      </c>
      <c r="H76" s="1" t="s">
        <v>13</v>
      </c>
      <c r="I76" s="1" t="s">
        <v>259</v>
      </c>
      <c r="J76" s="1" t="s">
        <v>337</v>
      </c>
      <c r="K76" s="1" t="s">
        <v>214</v>
      </c>
    </row>
    <row r="77" spans="1:11" x14ac:dyDescent="0.25">
      <c r="A77" s="1" t="s">
        <v>213</v>
      </c>
      <c r="B77" s="1">
        <v>261</v>
      </c>
      <c r="C77" s="1" t="s">
        <v>21</v>
      </c>
      <c r="D77" s="1">
        <v>1</v>
      </c>
      <c r="E77" s="1" t="s">
        <v>169</v>
      </c>
      <c r="F77" s="1">
        <v>15</v>
      </c>
      <c r="G77" s="1">
        <v>13</v>
      </c>
      <c r="H77" s="1" t="s">
        <v>13</v>
      </c>
      <c r="I77" s="1" t="s">
        <v>262</v>
      </c>
      <c r="J77" s="1" t="s">
        <v>339</v>
      </c>
      <c r="K77" s="1" t="s">
        <v>214</v>
      </c>
    </row>
    <row r="78" spans="1:11" x14ac:dyDescent="0.25">
      <c r="A78" s="1" t="s">
        <v>213</v>
      </c>
      <c r="B78" s="1">
        <v>262</v>
      </c>
      <c r="C78" s="1" t="s">
        <v>21</v>
      </c>
      <c r="D78" s="1">
        <v>2</v>
      </c>
      <c r="E78" s="1" t="s">
        <v>169</v>
      </c>
      <c r="F78" s="1">
        <v>11</v>
      </c>
      <c r="G78" s="1">
        <v>15</v>
      </c>
      <c r="H78" s="1" t="s">
        <v>13</v>
      </c>
      <c r="I78" s="1" t="s">
        <v>262</v>
      </c>
      <c r="J78" s="1" t="s">
        <v>339</v>
      </c>
      <c r="K78" s="1" t="s">
        <v>214</v>
      </c>
    </row>
    <row r="79" spans="1:11" x14ac:dyDescent="0.25">
      <c r="A79" s="1" t="s">
        <v>213</v>
      </c>
      <c r="B79" s="1">
        <v>264</v>
      </c>
      <c r="C79" s="1" t="s">
        <v>24</v>
      </c>
      <c r="D79" s="1">
        <v>1</v>
      </c>
      <c r="E79" s="1" t="s">
        <v>169</v>
      </c>
      <c r="F79" s="1">
        <v>15</v>
      </c>
      <c r="G79" s="1">
        <v>11</v>
      </c>
      <c r="H79" s="1" t="s">
        <v>13</v>
      </c>
      <c r="I79" s="1" t="s">
        <v>265</v>
      </c>
      <c r="J79" s="1" t="s">
        <v>341</v>
      </c>
      <c r="K79" s="1" t="s">
        <v>214</v>
      </c>
    </row>
    <row r="80" spans="1:11" x14ac:dyDescent="0.25">
      <c r="A80" s="1" t="s">
        <v>213</v>
      </c>
      <c r="B80" s="1">
        <v>265</v>
      </c>
      <c r="C80" s="1" t="s">
        <v>24</v>
      </c>
      <c r="D80" s="1">
        <v>2</v>
      </c>
      <c r="E80" s="1" t="s">
        <v>169</v>
      </c>
      <c r="F80" s="1">
        <v>15</v>
      </c>
      <c r="G80" s="1">
        <v>8</v>
      </c>
      <c r="H80" s="1" t="s">
        <v>13</v>
      </c>
      <c r="I80" s="1" t="s">
        <v>265</v>
      </c>
      <c r="J80" s="1" t="s">
        <v>341</v>
      </c>
      <c r="K80" s="1" t="s">
        <v>214</v>
      </c>
    </row>
    <row r="81" spans="1:11" x14ac:dyDescent="0.25">
      <c r="A81" s="1" t="s">
        <v>213</v>
      </c>
      <c r="B81" s="1">
        <v>267</v>
      </c>
      <c r="C81" s="1" t="s">
        <v>27</v>
      </c>
      <c r="D81" s="1">
        <v>1</v>
      </c>
      <c r="E81" s="1" t="s">
        <v>169</v>
      </c>
      <c r="F81" s="1">
        <v>15</v>
      </c>
      <c r="G81" s="1">
        <v>6</v>
      </c>
      <c r="H81" s="1" t="s">
        <v>13</v>
      </c>
      <c r="I81" s="1" t="s">
        <v>269</v>
      </c>
      <c r="J81" s="1" t="s">
        <v>343</v>
      </c>
      <c r="K81" s="1" t="s">
        <v>214</v>
      </c>
    </row>
    <row r="82" spans="1:11" x14ac:dyDescent="0.25">
      <c r="A82" s="1" t="s">
        <v>213</v>
      </c>
      <c r="B82" s="1">
        <v>268</v>
      </c>
      <c r="C82" s="1" t="s">
        <v>27</v>
      </c>
      <c r="D82" s="1">
        <v>2</v>
      </c>
      <c r="E82" s="1" t="s">
        <v>169</v>
      </c>
      <c r="F82" s="1">
        <v>15</v>
      </c>
      <c r="G82" s="1">
        <v>6</v>
      </c>
      <c r="H82" s="1" t="s">
        <v>13</v>
      </c>
      <c r="I82" s="1" t="s">
        <v>269</v>
      </c>
      <c r="J82" s="1" t="s">
        <v>343</v>
      </c>
      <c r="K82" s="1" t="s">
        <v>214</v>
      </c>
    </row>
    <row r="83" spans="1:11" x14ac:dyDescent="0.25">
      <c r="A83" s="1" t="s">
        <v>213</v>
      </c>
      <c r="B83" s="1">
        <v>273</v>
      </c>
      <c r="C83" s="1" t="s">
        <v>12</v>
      </c>
      <c r="D83" s="1">
        <v>1</v>
      </c>
      <c r="E83" s="1" t="s">
        <v>96</v>
      </c>
      <c r="F83" s="1">
        <v>15</v>
      </c>
      <c r="G83" s="1">
        <v>13</v>
      </c>
      <c r="H83" s="1" t="s">
        <v>82</v>
      </c>
      <c r="I83" s="1" t="s">
        <v>231</v>
      </c>
      <c r="J83" s="1" t="s">
        <v>316</v>
      </c>
      <c r="K83" s="1" t="s">
        <v>214</v>
      </c>
    </row>
    <row r="84" spans="1:11" x14ac:dyDescent="0.25">
      <c r="A84" s="1" t="s">
        <v>213</v>
      </c>
      <c r="B84" s="1">
        <v>274</v>
      </c>
      <c r="C84" s="1" t="s">
        <v>12</v>
      </c>
      <c r="D84" s="1">
        <v>2</v>
      </c>
      <c r="E84" s="1" t="s">
        <v>96</v>
      </c>
      <c r="F84" s="1">
        <v>9</v>
      </c>
      <c r="G84" s="1">
        <v>15</v>
      </c>
      <c r="H84" s="1" t="s">
        <v>82</v>
      </c>
      <c r="I84" s="1" t="s">
        <v>231</v>
      </c>
      <c r="J84" s="1" t="s">
        <v>316</v>
      </c>
      <c r="K84" s="1" t="s">
        <v>214</v>
      </c>
    </row>
    <row r="85" spans="1:11" x14ac:dyDescent="0.25">
      <c r="A85" s="1" t="s">
        <v>213</v>
      </c>
      <c r="B85" s="1">
        <v>275</v>
      </c>
      <c r="C85" s="1" t="s">
        <v>12</v>
      </c>
      <c r="D85" s="1">
        <v>3</v>
      </c>
      <c r="E85" s="1" t="s">
        <v>96</v>
      </c>
      <c r="F85" s="1">
        <v>7</v>
      </c>
      <c r="G85" s="1">
        <v>10</v>
      </c>
      <c r="H85" s="1" t="s">
        <v>82</v>
      </c>
      <c r="I85" s="1" t="s">
        <v>231</v>
      </c>
      <c r="J85" s="1" t="s">
        <v>316</v>
      </c>
      <c r="K85" s="1" t="s">
        <v>214</v>
      </c>
    </row>
    <row r="86" spans="1:11" x14ac:dyDescent="0.25">
      <c r="A86" s="1" t="s">
        <v>213</v>
      </c>
      <c r="B86" s="1">
        <v>276</v>
      </c>
      <c r="C86" s="1" t="s">
        <v>18</v>
      </c>
      <c r="D86" s="1">
        <v>1</v>
      </c>
      <c r="E86" s="1" t="s">
        <v>96</v>
      </c>
      <c r="F86" s="1">
        <v>15</v>
      </c>
      <c r="G86" s="1">
        <v>9</v>
      </c>
      <c r="H86" s="1" t="s">
        <v>82</v>
      </c>
      <c r="I86" s="1" t="s">
        <v>236</v>
      </c>
      <c r="J86" s="1" t="s">
        <v>321</v>
      </c>
      <c r="K86" s="1" t="s">
        <v>214</v>
      </c>
    </row>
    <row r="87" spans="1:11" x14ac:dyDescent="0.25">
      <c r="A87" s="1" t="s">
        <v>213</v>
      </c>
      <c r="B87" s="1">
        <v>277</v>
      </c>
      <c r="C87" s="1" t="s">
        <v>18</v>
      </c>
      <c r="D87" s="1">
        <v>2</v>
      </c>
      <c r="E87" s="1" t="s">
        <v>96</v>
      </c>
      <c r="F87" s="1">
        <v>15</v>
      </c>
      <c r="G87" s="1">
        <v>9</v>
      </c>
      <c r="H87" s="1" t="s">
        <v>82</v>
      </c>
      <c r="I87" s="1" t="s">
        <v>236</v>
      </c>
      <c r="J87" s="1" t="s">
        <v>321</v>
      </c>
      <c r="K87" s="1" t="s">
        <v>214</v>
      </c>
    </row>
    <row r="88" spans="1:11" x14ac:dyDescent="0.25">
      <c r="A88" s="1" t="s">
        <v>213</v>
      </c>
      <c r="B88" s="1">
        <v>279</v>
      </c>
      <c r="C88" s="1" t="s">
        <v>21</v>
      </c>
      <c r="D88" s="1">
        <v>1</v>
      </c>
      <c r="E88" s="1" t="s">
        <v>96</v>
      </c>
      <c r="F88" s="1">
        <v>21</v>
      </c>
      <c r="G88" s="1">
        <v>19</v>
      </c>
      <c r="H88" s="1" t="s">
        <v>82</v>
      </c>
      <c r="I88" s="1" t="s">
        <v>241</v>
      </c>
      <c r="J88" s="1" t="s">
        <v>324</v>
      </c>
      <c r="K88" s="1" t="s">
        <v>214</v>
      </c>
    </row>
    <row r="89" spans="1:11" x14ac:dyDescent="0.25">
      <c r="A89" s="1" t="s">
        <v>213</v>
      </c>
      <c r="B89" s="1">
        <v>280</v>
      </c>
      <c r="C89" s="1" t="s">
        <v>21</v>
      </c>
      <c r="D89" s="1">
        <v>2</v>
      </c>
      <c r="E89" s="1" t="s">
        <v>96</v>
      </c>
      <c r="F89" s="1">
        <v>17</v>
      </c>
      <c r="G89" s="1">
        <v>15</v>
      </c>
      <c r="H89" s="1" t="s">
        <v>82</v>
      </c>
      <c r="I89" s="1" t="s">
        <v>241</v>
      </c>
      <c r="J89" s="1" t="s">
        <v>324</v>
      </c>
      <c r="K89" s="1" t="s">
        <v>214</v>
      </c>
    </row>
    <row r="90" spans="1:11" x14ac:dyDescent="0.25">
      <c r="A90" s="1" t="s">
        <v>213</v>
      </c>
      <c r="B90" s="1">
        <v>282</v>
      </c>
      <c r="C90" s="1" t="s">
        <v>24</v>
      </c>
      <c r="D90" s="1">
        <v>1</v>
      </c>
      <c r="E90" s="1" t="s">
        <v>96</v>
      </c>
      <c r="F90" s="1">
        <v>10</v>
      </c>
      <c r="G90" s="1">
        <v>15</v>
      </c>
      <c r="H90" s="1" t="s">
        <v>82</v>
      </c>
      <c r="I90" s="1" t="s">
        <v>246</v>
      </c>
      <c r="J90" s="1" t="s">
        <v>329</v>
      </c>
      <c r="K90" s="1" t="s">
        <v>214</v>
      </c>
    </row>
    <row r="91" spans="1:11" x14ac:dyDescent="0.25">
      <c r="A91" s="1" t="s">
        <v>213</v>
      </c>
      <c r="B91" s="1">
        <v>283</v>
      </c>
      <c r="C91" s="1" t="s">
        <v>24</v>
      </c>
      <c r="D91" s="1">
        <v>2</v>
      </c>
      <c r="E91" s="1" t="s">
        <v>96</v>
      </c>
      <c r="F91" s="1">
        <v>15</v>
      </c>
      <c r="G91" s="1">
        <v>13</v>
      </c>
      <c r="H91" s="1" t="s">
        <v>82</v>
      </c>
      <c r="I91" s="1" t="s">
        <v>246</v>
      </c>
      <c r="J91" s="1" t="s">
        <v>329</v>
      </c>
      <c r="K91" s="1" t="s">
        <v>214</v>
      </c>
    </row>
    <row r="92" spans="1:11" x14ac:dyDescent="0.25">
      <c r="A92" s="1" t="s">
        <v>213</v>
      </c>
      <c r="B92" s="1">
        <v>284</v>
      </c>
      <c r="C92" s="1" t="s">
        <v>24</v>
      </c>
      <c r="D92" s="1">
        <v>3</v>
      </c>
      <c r="E92" s="1" t="s">
        <v>96</v>
      </c>
      <c r="F92" s="1">
        <v>15</v>
      </c>
      <c r="G92" s="1">
        <v>12</v>
      </c>
      <c r="H92" s="1" t="s">
        <v>82</v>
      </c>
      <c r="I92" s="1" t="s">
        <v>246</v>
      </c>
      <c r="J92" s="1" t="s">
        <v>329</v>
      </c>
      <c r="K92" s="1" t="s">
        <v>214</v>
      </c>
    </row>
    <row r="93" spans="1:11" x14ac:dyDescent="0.25">
      <c r="A93" s="1" t="s">
        <v>213</v>
      </c>
      <c r="B93" s="1">
        <v>285</v>
      </c>
      <c r="C93" s="1" t="s">
        <v>27</v>
      </c>
      <c r="D93" s="1">
        <v>1</v>
      </c>
      <c r="E93" s="1" t="s">
        <v>96</v>
      </c>
      <c r="F93" s="1">
        <v>12</v>
      </c>
      <c r="G93" s="1">
        <v>15</v>
      </c>
      <c r="H93" s="1" t="s">
        <v>82</v>
      </c>
      <c r="I93" s="1" t="s">
        <v>251</v>
      </c>
      <c r="J93" s="1" t="s">
        <v>332</v>
      </c>
      <c r="K93" s="1" t="s">
        <v>214</v>
      </c>
    </row>
    <row r="94" spans="1:11" x14ac:dyDescent="0.25">
      <c r="A94" s="1" t="s">
        <v>213</v>
      </c>
      <c r="B94" s="1">
        <v>286</v>
      </c>
      <c r="C94" s="1" t="s">
        <v>27</v>
      </c>
      <c r="D94" s="1">
        <v>2</v>
      </c>
      <c r="E94" s="1" t="s">
        <v>96</v>
      </c>
      <c r="F94" s="1">
        <v>13</v>
      </c>
      <c r="G94" s="1">
        <v>15</v>
      </c>
      <c r="H94" s="1" t="s">
        <v>82</v>
      </c>
      <c r="I94" s="1" t="s">
        <v>251</v>
      </c>
      <c r="J94" s="1" t="s">
        <v>332</v>
      </c>
      <c r="K94" s="1" t="s">
        <v>214</v>
      </c>
    </row>
    <row r="95" spans="1:11" x14ac:dyDescent="0.25">
      <c r="A95" s="1" t="s">
        <v>207</v>
      </c>
      <c r="B95" s="1">
        <v>3</v>
      </c>
      <c r="C95" s="1" t="s">
        <v>12</v>
      </c>
      <c r="D95" s="1">
        <v>1</v>
      </c>
      <c r="E95" s="1" t="s">
        <v>195</v>
      </c>
      <c r="F95" s="1">
        <v>1</v>
      </c>
      <c r="G95" s="1">
        <v>0</v>
      </c>
      <c r="H95" s="1" t="s">
        <v>96</v>
      </c>
      <c r="I95" s="1" t="s">
        <v>230</v>
      </c>
      <c r="J95" s="1" t="s">
        <v>231</v>
      </c>
      <c r="K95" s="1" t="s">
        <v>208</v>
      </c>
    </row>
    <row r="96" spans="1:11" x14ac:dyDescent="0.25">
      <c r="A96" s="1" t="s">
        <v>207</v>
      </c>
      <c r="B96" s="1">
        <v>4</v>
      </c>
      <c r="C96" s="1" t="s">
        <v>12</v>
      </c>
      <c r="D96" s="1">
        <v>2</v>
      </c>
      <c r="E96" s="1" t="s">
        <v>195</v>
      </c>
      <c r="F96" s="1">
        <v>1</v>
      </c>
      <c r="G96" s="1">
        <v>0</v>
      </c>
      <c r="H96" s="1" t="s">
        <v>96</v>
      </c>
      <c r="I96" s="1" t="s">
        <v>230</v>
      </c>
      <c r="J96" s="1" t="s">
        <v>231</v>
      </c>
      <c r="K96" s="1" t="s">
        <v>208</v>
      </c>
    </row>
    <row r="97" spans="1:11" x14ac:dyDescent="0.25">
      <c r="A97" s="1" t="s">
        <v>207</v>
      </c>
      <c r="B97" s="1">
        <v>6</v>
      </c>
      <c r="C97" s="1" t="s">
        <v>18</v>
      </c>
      <c r="D97" s="1">
        <v>1</v>
      </c>
      <c r="E97" s="1" t="s">
        <v>195</v>
      </c>
      <c r="F97" s="1">
        <v>1</v>
      </c>
      <c r="G97" s="1">
        <v>0</v>
      </c>
      <c r="H97" s="1" t="s">
        <v>96</v>
      </c>
      <c r="I97" s="1" t="s">
        <v>235</v>
      </c>
      <c r="J97" s="1" t="s">
        <v>236</v>
      </c>
      <c r="K97" s="1" t="s">
        <v>208</v>
      </c>
    </row>
    <row r="98" spans="1:11" x14ac:dyDescent="0.25">
      <c r="A98" s="1" t="s">
        <v>207</v>
      </c>
      <c r="B98" s="1">
        <v>7</v>
      </c>
      <c r="C98" s="1" t="s">
        <v>18</v>
      </c>
      <c r="D98" s="1">
        <v>2</v>
      </c>
      <c r="E98" s="1" t="s">
        <v>195</v>
      </c>
      <c r="F98" s="1">
        <v>1</v>
      </c>
      <c r="G98" s="1">
        <v>0</v>
      </c>
      <c r="H98" s="1" t="s">
        <v>96</v>
      </c>
      <c r="I98" s="1" t="s">
        <v>235</v>
      </c>
      <c r="J98" s="1" t="s">
        <v>236</v>
      </c>
      <c r="K98" s="1" t="s">
        <v>208</v>
      </c>
    </row>
    <row r="99" spans="1:11" x14ac:dyDescent="0.25">
      <c r="A99" s="1" t="s">
        <v>207</v>
      </c>
      <c r="B99" s="1">
        <v>9</v>
      </c>
      <c r="C99" s="1" t="s">
        <v>21</v>
      </c>
      <c r="D99" s="1">
        <v>1</v>
      </c>
      <c r="E99" s="1" t="s">
        <v>195</v>
      </c>
      <c r="F99" s="1">
        <v>1</v>
      </c>
      <c r="G99" s="1">
        <v>0</v>
      </c>
      <c r="H99" s="1" t="s">
        <v>96</v>
      </c>
      <c r="I99" s="1" t="s">
        <v>240</v>
      </c>
      <c r="J99" s="1" t="s">
        <v>241</v>
      </c>
      <c r="K99" s="1" t="s">
        <v>208</v>
      </c>
    </row>
    <row r="100" spans="1:11" x14ac:dyDescent="0.25">
      <c r="A100" s="1" t="s">
        <v>207</v>
      </c>
      <c r="B100" s="1">
        <v>10</v>
      </c>
      <c r="C100" s="1" t="s">
        <v>21</v>
      </c>
      <c r="D100" s="1">
        <v>2</v>
      </c>
      <c r="E100" s="1" t="s">
        <v>195</v>
      </c>
      <c r="F100" s="1">
        <v>1</v>
      </c>
      <c r="G100" s="1">
        <v>0</v>
      </c>
      <c r="H100" s="1" t="s">
        <v>96</v>
      </c>
      <c r="I100" s="1" t="s">
        <v>240</v>
      </c>
      <c r="J100" s="1" t="s">
        <v>241</v>
      </c>
      <c r="K100" s="1" t="s">
        <v>208</v>
      </c>
    </row>
    <row r="101" spans="1:11" x14ac:dyDescent="0.25">
      <c r="A101" s="1" t="s">
        <v>207</v>
      </c>
      <c r="B101" s="1">
        <v>12</v>
      </c>
      <c r="C101" s="1" t="s">
        <v>24</v>
      </c>
      <c r="D101" s="1">
        <v>1</v>
      </c>
      <c r="E101" s="1" t="s">
        <v>195</v>
      </c>
      <c r="F101" s="1">
        <v>1</v>
      </c>
      <c r="G101" s="1">
        <v>0</v>
      </c>
      <c r="H101" s="1" t="s">
        <v>96</v>
      </c>
      <c r="I101" s="1" t="s">
        <v>245</v>
      </c>
      <c r="J101" s="1" t="s">
        <v>246</v>
      </c>
      <c r="K101" s="1" t="s">
        <v>208</v>
      </c>
    </row>
    <row r="102" spans="1:11" x14ac:dyDescent="0.25">
      <c r="A102" s="1" t="s">
        <v>207</v>
      </c>
      <c r="B102" s="1">
        <v>13</v>
      </c>
      <c r="C102" s="1" t="s">
        <v>24</v>
      </c>
      <c r="D102" s="1">
        <v>2</v>
      </c>
      <c r="E102" s="1" t="s">
        <v>195</v>
      </c>
      <c r="F102" s="1">
        <v>1</v>
      </c>
      <c r="G102" s="1">
        <v>0</v>
      </c>
      <c r="H102" s="1" t="s">
        <v>96</v>
      </c>
      <c r="I102" s="1" t="s">
        <v>245</v>
      </c>
      <c r="J102" s="1" t="s">
        <v>246</v>
      </c>
      <c r="K102" s="1" t="s">
        <v>208</v>
      </c>
    </row>
    <row r="103" spans="1:11" x14ac:dyDescent="0.25">
      <c r="A103" s="1" t="s">
        <v>207</v>
      </c>
      <c r="B103" s="1">
        <v>15</v>
      </c>
      <c r="C103" s="1" t="s">
        <v>27</v>
      </c>
      <c r="D103" s="1">
        <v>1</v>
      </c>
      <c r="E103" s="1" t="s">
        <v>195</v>
      </c>
      <c r="F103" s="1">
        <v>1</v>
      </c>
      <c r="G103" s="1">
        <v>0</v>
      </c>
      <c r="H103" s="1" t="s">
        <v>96</v>
      </c>
      <c r="I103" s="1" t="s">
        <v>250</v>
      </c>
      <c r="J103" s="1" t="s">
        <v>251</v>
      </c>
      <c r="K103" s="1" t="s">
        <v>208</v>
      </c>
    </row>
    <row r="104" spans="1:11" x14ac:dyDescent="0.25">
      <c r="A104" s="1" t="s">
        <v>207</v>
      </c>
      <c r="B104" s="1">
        <v>16</v>
      </c>
      <c r="C104" s="1" t="s">
        <v>27</v>
      </c>
      <c r="D104" s="1">
        <v>2</v>
      </c>
      <c r="E104" s="1" t="s">
        <v>195</v>
      </c>
      <c r="F104" s="1">
        <v>1</v>
      </c>
      <c r="G104" s="1">
        <v>0</v>
      </c>
      <c r="H104" s="1" t="s">
        <v>96</v>
      </c>
      <c r="I104" s="1" t="s">
        <v>250</v>
      </c>
      <c r="J104" s="1" t="s">
        <v>251</v>
      </c>
      <c r="K104" s="1" t="s">
        <v>208</v>
      </c>
    </row>
    <row r="105" spans="1:11" x14ac:dyDescent="0.25">
      <c r="A105" s="1" t="s">
        <v>207</v>
      </c>
      <c r="B105" s="1">
        <v>21</v>
      </c>
      <c r="C105" s="1" t="s">
        <v>12</v>
      </c>
      <c r="D105" s="1">
        <v>1</v>
      </c>
      <c r="E105" s="1" t="s">
        <v>156</v>
      </c>
      <c r="F105" s="1">
        <v>15</v>
      </c>
      <c r="G105" s="1">
        <v>12</v>
      </c>
      <c r="H105" s="1" t="s">
        <v>169</v>
      </c>
      <c r="I105" s="1" t="s">
        <v>255</v>
      </c>
      <c r="J105" s="1" t="s">
        <v>256</v>
      </c>
      <c r="K105" s="1" t="s">
        <v>208</v>
      </c>
    </row>
    <row r="106" spans="1:11" x14ac:dyDescent="0.25">
      <c r="A106" s="1" t="s">
        <v>207</v>
      </c>
      <c r="B106" s="1">
        <v>22</v>
      </c>
      <c r="C106" s="1" t="s">
        <v>12</v>
      </c>
      <c r="D106" s="1">
        <v>2</v>
      </c>
      <c r="E106" s="1" t="s">
        <v>156</v>
      </c>
      <c r="F106" s="1">
        <v>15</v>
      </c>
      <c r="G106" s="1">
        <v>10</v>
      </c>
      <c r="H106" s="1" t="s">
        <v>169</v>
      </c>
      <c r="I106" s="1" t="s">
        <v>255</v>
      </c>
      <c r="J106" s="1" t="s">
        <v>256</v>
      </c>
      <c r="K106" s="1" t="s">
        <v>208</v>
      </c>
    </row>
    <row r="107" spans="1:11" x14ac:dyDescent="0.25">
      <c r="A107" s="1" t="s">
        <v>207</v>
      </c>
      <c r="B107" s="1">
        <v>24</v>
      </c>
      <c r="C107" s="1" t="s">
        <v>18</v>
      </c>
      <c r="D107" s="1">
        <v>1</v>
      </c>
      <c r="E107" s="1" t="s">
        <v>156</v>
      </c>
      <c r="F107" s="1">
        <v>15</v>
      </c>
      <c r="G107" s="1">
        <v>8</v>
      </c>
      <c r="H107" s="1" t="s">
        <v>169</v>
      </c>
      <c r="I107" s="1" t="s">
        <v>258</v>
      </c>
      <c r="J107" s="1" t="s">
        <v>259</v>
      </c>
      <c r="K107" s="1" t="s">
        <v>208</v>
      </c>
    </row>
    <row r="108" spans="1:11" x14ac:dyDescent="0.25">
      <c r="A108" s="1" t="s">
        <v>207</v>
      </c>
      <c r="B108" s="1">
        <v>25</v>
      </c>
      <c r="C108" s="1" t="s">
        <v>18</v>
      </c>
      <c r="D108" s="1">
        <v>2</v>
      </c>
      <c r="E108" s="1" t="s">
        <v>156</v>
      </c>
      <c r="F108" s="1">
        <v>15</v>
      </c>
      <c r="G108" s="1">
        <v>7</v>
      </c>
      <c r="H108" s="1" t="s">
        <v>169</v>
      </c>
      <c r="I108" s="1" t="s">
        <v>258</v>
      </c>
      <c r="J108" s="1" t="s">
        <v>259</v>
      </c>
      <c r="K108" s="1" t="s">
        <v>208</v>
      </c>
    </row>
    <row r="109" spans="1:11" x14ac:dyDescent="0.25">
      <c r="A109" s="1" t="s">
        <v>207</v>
      </c>
      <c r="B109" s="1">
        <v>27</v>
      </c>
      <c r="C109" s="1" t="s">
        <v>21</v>
      </c>
      <c r="D109" s="1">
        <v>1</v>
      </c>
      <c r="E109" s="1" t="s">
        <v>156</v>
      </c>
      <c r="F109" s="1">
        <v>15</v>
      </c>
      <c r="G109" s="1">
        <v>5</v>
      </c>
      <c r="H109" s="1" t="s">
        <v>169</v>
      </c>
      <c r="I109" s="1" t="s">
        <v>261</v>
      </c>
      <c r="J109" s="1" t="s">
        <v>262</v>
      </c>
      <c r="K109" s="1" t="s">
        <v>208</v>
      </c>
    </row>
    <row r="110" spans="1:11" x14ac:dyDescent="0.25">
      <c r="A110" s="1" t="s">
        <v>207</v>
      </c>
      <c r="B110" s="1">
        <v>28</v>
      </c>
      <c r="C110" s="1" t="s">
        <v>21</v>
      </c>
      <c r="D110" s="1">
        <v>2</v>
      </c>
      <c r="E110" s="1" t="s">
        <v>156</v>
      </c>
      <c r="F110" s="1">
        <v>15</v>
      </c>
      <c r="G110" s="1">
        <v>10</v>
      </c>
      <c r="H110" s="1" t="s">
        <v>169</v>
      </c>
      <c r="I110" s="1" t="s">
        <v>261</v>
      </c>
      <c r="J110" s="1" t="s">
        <v>262</v>
      </c>
      <c r="K110" s="1" t="s">
        <v>208</v>
      </c>
    </row>
    <row r="111" spans="1:11" x14ac:dyDescent="0.25">
      <c r="A111" s="1" t="s">
        <v>207</v>
      </c>
      <c r="B111" s="1">
        <v>30</v>
      </c>
      <c r="C111" s="1" t="s">
        <v>24</v>
      </c>
      <c r="D111" s="1">
        <v>1</v>
      </c>
      <c r="E111" s="1" t="s">
        <v>156</v>
      </c>
      <c r="F111" s="1">
        <v>15</v>
      </c>
      <c r="G111" s="1">
        <v>9</v>
      </c>
      <c r="H111" s="1" t="s">
        <v>169</v>
      </c>
      <c r="I111" s="1" t="s">
        <v>264</v>
      </c>
      <c r="J111" s="1" t="s">
        <v>265</v>
      </c>
      <c r="K111" s="1" t="s">
        <v>208</v>
      </c>
    </row>
    <row r="112" spans="1:11" x14ac:dyDescent="0.25">
      <c r="A112" s="1" t="s">
        <v>207</v>
      </c>
      <c r="B112" s="1">
        <v>31</v>
      </c>
      <c r="C112" s="1" t="s">
        <v>24</v>
      </c>
      <c r="D112" s="1">
        <v>2</v>
      </c>
      <c r="E112" s="1" t="s">
        <v>156</v>
      </c>
      <c r="F112" s="1">
        <v>15</v>
      </c>
      <c r="G112" s="1">
        <v>9</v>
      </c>
      <c r="H112" s="1" t="s">
        <v>169</v>
      </c>
      <c r="I112" s="1" t="s">
        <v>264</v>
      </c>
      <c r="J112" s="1" t="s">
        <v>265</v>
      </c>
      <c r="K112" s="1" t="s">
        <v>208</v>
      </c>
    </row>
    <row r="113" spans="1:11" x14ac:dyDescent="0.25">
      <c r="A113" s="1" t="s">
        <v>207</v>
      </c>
      <c r="B113" s="1">
        <v>33</v>
      </c>
      <c r="C113" s="1" t="s">
        <v>27</v>
      </c>
      <c r="D113" s="1">
        <v>1</v>
      </c>
      <c r="E113" s="1" t="s">
        <v>156</v>
      </c>
      <c r="F113" s="1">
        <v>10</v>
      </c>
      <c r="G113" s="1">
        <v>17</v>
      </c>
      <c r="H113" s="1" t="s">
        <v>169</v>
      </c>
      <c r="I113" s="1" t="s">
        <v>267</v>
      </c>
      <c r="J113" s="1" t="s">
        <v>269</v>
      </c>
      <c r="K113" s="1" t="s">
        <v>208</v>
      </c>
    </row>
    <row r="114" spans="1:11" x14ac:dyDescent="0.25">
      <c r="A114" s="1" t="s">
        <v>207</v>
      </c>
      <c r="B114" s="1">
        <v>34</v>
      </c>
      <c r="C114" s="1" t="s">
        <v>27</v>
      </c>
      <c r="D114" s="1">
        <v>2</v>
      </c>
      <c r="E114" s="1" t="s">
        <v>156</v>
      </c>
      <c r="F114" s="1">
        <v>0</v>
      </c>
      <c r="G114" s="1">
        <v>0</v>
      </c>
      <c r="H114" s="1" t="s">
        <v>169</v>
      </c>
      <c r="I114" s="1" t="s">
        <v>267</v>
      </c>
      <c r="J114" s="1" t="s">
        <v>269</v>
      </c>
      <c r="K114" s="1" t="s">
        <v>208</v>
      </c>
    </row>
    <row r="115" spans="1:11" x14ac:dyDescent="0.25">
      <c r="A115" s="1" t="s">
        <v>207</v>
      </c>
      <c r="B115" s="1">
        <v>39</v>
      </c>
      <c r="C115" s="1" t="s">
        <v>12</v>
      </c>
      <c r="D115" s="1">
        <v>1</v>
      </c>
      <c r="E115" s="1" t="s">
        <v>194</v>
      </c>
      <c r="F115" s="1">
        <v>15</v>
      </c>
      <c r="G115" s="1">
        <v>10</v>
      </c>
      <c r="H115" s="1" t="s">
        <v>182</v>
      </c>
      <c r="I115" s="1" t="s">
        <v>270</v>
      </c>
      <c r="J115" s="1" t="s">
        <v>271</v>
      </c>
      <c r="K115" s="1" t="s">
        <v>208</v>
      </c>
    </row>
    <row r="116" spans="1:11" x14ac:dyDescent="0.25">
      <c r="A116" s="1" t="s">
        <v>207</v>
      </c>
      <c r="B116" s="1">
        <v>40</v>
      </c>
      <c r="C116" s="1" t="s">
        <v>12</v>
      </c>
      <c r="D116" s="1">
        <v>2</v>
      </c>
      <c r="E116" s="1" t="s">
        <v>194</v>
      </c>
      <c r="F116" s="1">
        <v>15</v>
      </c>
      <c r="G116" s="1">
        <v>7</v>
      </c>
      <c r="H116" s="1" t="s">
        <v>182</v>
      </c>
      <c r="I116" s="1" t="s">
        <v>270</v>
      </c>
      <c r="J116" s="1" t="s">
        <v>271</v>
      </c>
      <c r="K116" s="1" t="s">
        <v>208</v>
      </c>
    </row>
    <row r="117" spans="1:11" x14ac:dyDescent="0.25">
      <c r="A117" s="1" t="s">
        <v>207</v>
      </c>
      <c r="B117" s="1">
        <v>42</v>
      </c>
      <c r="C117" s="1" t="s">
        <v>18</v>
      </c>
      <c r="D117" s="1">
        <v>1</v>
      </c>
      <c r="E117" s="1" t="s">
        <v>194</v>
      </c>
      <c r="F117" s="1">
        <v>17</v>
      </c>
      <c r="G117" s="1">
        <v>15</v>
      </c>
      <c r="H117" s="1" t="s">
        <v>182</v>
      </c>
      <c r="I117" s="1" t="s">
        <v>273</v>
      </c>
      <c r="J117" s="1" t="s">
        <v>274</v>
      </c>
      <c r="K117" s="1" t="s">
        <v>208</v>
      </c>
    </row>
    <row r="118" spans="1:11" x14ac:dyDescent="0.25">
      <c r="A118" s="1" t="s">
        <v>207</v>
      </c>
      <c r="B118" s="1">
        <v>43</v>
      </c>
      <c r="C118" s="1" t="s">
        <v>18</v>
      </c>
      <c r="D118" s="1">
        <v>2</v>
      </c>
      <c r="E118" s="1" t="s">
        <v>194</v>
      </c>
      <c r="F118" s="1">
        <v>15</v>
      </c>
      <c r="G118" s="1">
        <v>9</v>
      </c>
      <c r="H118" s="1" t="s">
        <v>182</v>
      </c>
      <c r="I118" s="1" t="s">
        <v>273</v>
      </c>
      <c r="J118" s="1" t="s">
        <v>274</v>
      </c>
      <c r="K118" s="1" t="s">
        <v>208</v>
      </c>
    </row>
    <row r="119" spans="1:11" x14ac:dyDescent="0.25">
      <c r="A119" s="1" t="s">
        <v>207</v>
      </c>
      <c r="B119" s="1">
        <v>45</v>
      </c>
      <c r="C119" s="1" t="s">
        <v>21</v>
      </c>
      <c r="D119" s="1">
        <v>1</v>
      </c>
      <c r="E119" s="1" t="s">
        <v>194</v>
      </c>
      <c r="F119" s="1">
        <v>15</v>
      </c>
      <c r="G119" s="1">
        <v>9</v>
      </c>
      <c r="H119" s="1" t="s">
        <v>182</v>
      </c>
      <c r="I119" s="1" t="s">
        <v>276</v>
      </c>
      <c r="J119" s="1" t="s">
        <v>277</v>
      </c>
      <c r="K119" s="1" t="s">
        <v>208</v>
      </c>
    </row>
    <row r="120" spans="1:11" x14ac:dyDescent="0.25">
      <c r="A120" s="1" t="s">
        <v>207</v>
      </c>
      <c r="B120" s="1">
        <v>46</v>
      </c>
      <c r="C120" s="1" t="s">
        <v>21</v>
      </c>
      <c r="D120" s="1">
        <v>2</v>
      </c>
      <c r="E120" s="1" t="s">
        <v>194</v>
      </c>
      <c r="F120" s="1">
        <v>15</v>
      </c>
      <c r="G120" s="1">
        <v>7</v>
      </c>
      <c r="H120" s="1" t="s">
        <v>182</v>
      </c>
      <c r="I120" s="1" t="s">
        <v>276</v>
      </c>
      <c r="J120" s="1" t="s">
        <v>277</v>
      </c>
      <c r="K120" s="1" t="s">
        <v>208</v>
      </c>
    </row>
    <row r="121" spans="1:11" x14ac:dyDescent="0.25">
      <c r="A121" s="1" t="s">
        <v>207</v>
      </c>
      <c r="B121" s="1">
        <v>48</v>
      </c>
      <c r="C121" s="1" t="s">
        <v>24</v>
      </c>
      <c r="D121" s="1">
        <v>1</v>
      </c>
      <c r="E121" s="1" t="s">
        <v>194</v>
      </c>
      <c r="F121" s="1">
        <v>15</v>
      </c>
      <c r="G121" s="1">
        <v>8</v>
      </c>
      <c r="H121" s="1" t="s">
        <v>182</v>
      </c>
      <c r="I121" s="1" t="s">
        <v>279</v>
      </c>
      <c r="J121" s="1" t="s">
        <v>280</v>
      </c>
      <c r="K121" s="1" t="s">
        <v>208</v>
      </c>
    </row>
    <row r="122" spans="1:11" x14ac:dyDescent="0.25">
      <c r="A122" s="1" t="s">
        <v>207</v>
      </c>
      <c r="B122" s="1">
        <v>49</v>
      </c>
      <c r="C122" s="1" t="s">
        <v>24</v>
      </c>
      <c r="D122" s="1">
        <v>2</v>
      </c>
      <c r="E122" s="1" t="s">
        <v>194</v>
      </c>
      <c r="F122" s="1">
        <v>15</v>
      </c>
      <c r="G122" s="1">
        <v>13</v>
      </c>
      <c r="H122" s="1" t="s">
        <v>182</v>
      </c>
      <c r="I122" s="1" t="s">
        <v>279</v>
      </c>
      <c r="J122" s="1" t="s">
        <v>280</v>
      </c>
      <c r="K122" s="1" t="s">
        <v>208</v>
      </c>
    </row>
    <row r="123" spans="1:11" x14ac:dyDescent="0.25">
      <c r="A123" s="1" t="s">
        <v>207</v>
      </c>
      <c r="B123" s="1">
        <v>51</v>
      </c>
      <c r="C123" s="1" t="s">
        <v>27</v>
      </c>
      <c r="D123" s="1">
        <v>1</v>
      </c>
      <c r="E123" s="1" t="s">
        <v>194</v>
      </c>
      <c r="F123" s="1">
        <v>15</v>
      </c>
      <c r="G123" s="1">
        <v>8</v>
      </c>
      <c r="H123" s="1" t="s">
        <v>182</v>
      </c>
      <c r="I123" s="1" t="s">
        <v>282</v>
      </c>
      <c r="J123" s="1" t="s">
        <v>283</v>
      </c>
      <c r="K123" s="1" t="s">
        <v>208</v>
      </c>
    </row>
    <row r="124" spans="1:11" x14ac:dyDescent="0.25">
      <c r="A124" s="1" t="s">
        <v>207</v>
      </c>
      <c r="B124" s="1">
        <v>52</v>
      </c>
      <c r="C124" s="1" t="s">
        <v>27</v>
      </c>
      <c r="D124" s="1">
        <v>2</v>
      </c>
      <c r="E124" s="1" t="s">
        <v>194</v>
      </c>
      <c r="F124" s="1">
        <v>15</v>
      </c>
      <c r="G124" s="1">
        <v>10</v>
      </c>
      <c r="H124" s="1" t="s">
        <v>182</v>
      </c>
      <c r="I124" s="1" t="s">
        <v>282</v>
      </c>
      <c r="J124" s="1" t="s">
        <v>283</v>
      </c>
      <c r="K124" s="1" t="s">
        <v>208</v>
      </c>
    </row>
    <row r="125" spans="1:11" x14ac:dyDescent="0.25">
      <c r="A125" s="1" t="s">
        <v>207</v>
      </c>
      <c r="B125" s="1">
        <v>57</v>
      </c>
      <c r="C125" s="1" t="s">
        <v>12</v>
      </c>
      <c r="D125" s="1">
        <v>1</v>
      </c>
      <c r="E125" s="1" t="s">
        <v>147</v>
      </c>
      <c r="F125" s="1">
        <v>15</v>
      </c>
      <c r="G125" s="1">
        <v>8</v>
      </c>
      <c r="H125" s="1" t="s">
        <v>95</v>
      </c>
      <c r="I125" s="1" t="s">
        <v>272</v>
      </c>
      <c r="J125" s="1" t="s">
        <v>285</v>
      </c>
      <c r="K125" s="1" t="s">
        <v>208</v>
      </c>
    </row>
    <row r="126" spans="1:11" x14ac:dyDescent="0.25">
      <c r="A126" s="1" t="s">
        <v>207</v>
      </c>
      <c r="B126" s="1">
        <v>58</v>
      </c>
      <c r="C126" s="1" t="s">
        <v>12</v>
      </c>
      <c r="D126" s="1">
        <v>2</v>
      </c>
      <c r="E126" s="1" t="s">
        <v>147</v>
      </c>
      <c r="F126" s="1">
        <v>15</v>
      </c>
      <c r="G126" s="1">
        <v>11</v>
      </c>
      <c r="H126" s="1" t="s">
        <v>95</v>
      </c>
      <c r="I126" s="1" t="s">
        <v>272</v>
      </c>
      <c r="J126" s="1" t="s">
        <v>285</v>
      </c>
      <c r="K126" s="1" t="s">
        <v>208</v>
      </c>
    </row>
    <row r="127" spans="1:11" x14ac:dyDescent="0.25">
      <c r="A127" s="1" t="s">
        <v>207</v>
      </c>
      <c r="B127" s="1">
        <v>60</v>
      </c>
      <c r="C127" s="1" t="s">
        <v>18</v>
      </c>
      <c r="D127" s="1">
        <v>1</v>
      </c>
      <c r="E127" s="1" t="s">
        <v>147</v>
      </c>
      <c r="F127" s="1">
        <v>15</v>
      </c>
      <c r="G127" s="1">
        <v>12</v>
      </c>
      <c r="H127" s="1" t="s">
        <v>95</v>
      </c>
      <c r="I127" s="1" t="s">
        <v>275</v>
      </c>
      <c r="J127" s="1" t="s">
        <v>286</v>
      </c>
      <c r="K127" s="1" t="s">
        <v>208</v>
      </c>
    </row>
    <row r="128" spans="1:11" x14ac:dyDescent="0.25">
      <c r="A128" s="1" t="s">
        <v>207</v>
      </c>
      <c r="B128" s="1">
        <v>61</v>
      </c>
      <c r="C128" s="1" t="s">
        <v>18</v>
      </c>
      <c r="D128" s="1">
        <v>2</v>
      </c>
      <c r="E128" s="1" t="s">
        <v>147</v>
      </c>
      <c r="F128" s="1">
        <v>15</v>
      </c>
      <c r="G128" s="1">
        <v>7</v>
      </c>
      <c r="H128" s="1" t="s">
        <v>95</v>
      </c>
      <c r="I128" s="1" t="s">
        <v>275</v>
      </c>
      <c r="J128" s="1" t="s">
        <v>286</v>
      </c>
      <c r="K128" s="1" t="s">
        <v>208</v>
      </c>
    </row>
    <row r="129" spans="1:11" x14ac:dyDescent="0.25">
      <c r="A129" s="1" t="s">
        <v>207</v>
      </c>
      <c r="B129" s="1">
        <v>63</v>
      </c>
      <c r="C129" s="1" t="s">
        <v>21</v>
      </c>
      <c r="D129" s="1">
        <v>1</v>
      </c>
      <c r="E129" s="1" t="s">
        <v>147</v>
      </c>
      <c r="F129" s="1">
        <v>15</v>
      </c>
      <c r="G129" s="1">
        <v>10</v>
      </c>
      <c r="H129" s="1" t="s">
        <v>95</v>
      </c>
      <c r="I129" s="1" t="s">
        <v>278</v>
      </c>
      <c r="J129" s="1" t="s">
        <v>287</v>
      </c>
      <c r="K129" s="1" t="s">
        <v>208</v>
      </c>
    </row>
    <row r="130" spans="1:11" x14ac:dyDescent="0.25">
      <c r="A130" s="1" t="s">
        <v>207</v>
      </c>
      <c r="B130" s="1">
        <v>66</v>
      </c>
      <c r="C130" s="1" t="s">
        <v>24</v>
      </c>
      <c r="D130" s="1">
        <v>1</v>
      </c>
      <c r="E130" s="1" t="s">
        <v>147</v>
      </c>
      <c r="F130" s="1">
        <v>15</v>
      </c>
      <c r="G130" s="1">
        <v>8</v>
      </c>
      <c r="H130" s="1" t="s">
        <v>95</v>
      </c>
      <c r="I130" s="1" t="s">
        <v>281</v>
      </c>
      <c r="J130" s="1" t="s">
        <v>288</v>
      </c>
      <c r="K130" s="1" t="s">
        <v>208</v>
      </c>
    </row>
    <row r="131" spans="1:11" x14ac:dyDescent="0.25">
      <c r="A131" s="1" t="s">
        <v>207</v>
      </c>
      <c r="B131" s="1">
        <v>69</v>
      </c>
      <c r="C131" s="1" t="s">
        <v>27</v>
      </c>
      <c r="D131" s="1">
        <v>1</v>
      </c>
      <c r="E131" s="1" t="s">
        <v>147</v>
      </c>
      <c r="F131" s="1">
        <v>15</v>
      </c>
      <c r="G131" s="1">
        <v>4</v>
      </c>
      <c r="H131" s="1" t="s">
        <v>95</v>
      </c>
      <c r="I131" s="1" t="s">
        <v>284</v>
      </c>
      <c r="J131" s="1" t="s">
        <v>289</v>
      </c>
      <c r="K131" s="1" t="s">
        <v>208</v>
      </c>
    </row>
    <row r="132" spans="1:11" x14ac:dyDescent="0.25">
      <c r="A132" s="1" t="s">
        <v>207</v>
      </c>
      <c r="B132" s="1">
        <v>70</v>
      </c>
      <c r="C132" s="1" t="s">
        <v>27</v>
      </c>
      <c r="D132" s="1">
        <v>2</v>
      </c>
      <c r="E132" s="1" t="s">
        <v>147</v>
      </c>
      <c r="F132" s="1">
        <v>15</v>
      </c>
      <c r="G132" s="1">
        <v>6</v>
      </c>
      <c r="H132" s="1" t="s">
        <v>95</v>
      </c>
      <c r="I132" s="1" t="s">
        <v>284</v>
      </c>
      <c r="J132" s="1" t="s">
        <v>289</v>
      </c>
      <c r="K132" s="1" t="s">
        <v>208</v>
      </c>
    </row>
    <row r="133" spans="1:11" x14ac:dyDescent="0.25">
      <c r="A133" s="1" t="s">
        <v>207</v>
      </c>
      <c r="B133" s="1">
        <v>75</v>
      </c>
      <c r="C133" s="1" t="s">
        <v>12</v>
      </c>
      <c r="D133" s="1">
        <v>1</v>
      </c>
      <c r="E133" s="1" t="s">
        <v>168</v>
      </c>
      <c r="F133" s="1">
        <v>15</v>
      </c>
      <c r="G133" s="1">
        <v>11</v>
      </c>
      <c r="H133" s="1" t="s">
        <v>181</v>
      </c>
      <c r="I133" s="1" t="s">
        <v>232</v>
      </c>
      <c r="J133" s="1" t="s">
        <v>291</v>
      </c>
      <c r="K133" s="1" t="s">
        <v>208</v>
      </c>
    </row>
    <row r="134" spans="1:11" x14ac:dyDescent="0.25">
      <c r="A134" s="1" t="s">
        <v>207</v>
      </c>
      <c r="B134" s="1">
        <v>76</v>
      </c>
      <c r="C134" s="1" t="s">
        <v>12</v>
      </c>
      <c r="D134" s="1">
        <v>2</v>
      </c>
      <c r="E134" s="1" t="s">
        <v>168</v>
      </c>
      <c r="F134" s="1">
        <v>15</v>
      </c>
      <c r="G134" s="1">
        <v>9</v>
      </c>
      <c r="H134" s="1" t="s">
        <v>181</v>
      </c>
      <c r="I134" s="1" t="s">
        <v>232</v>
      </c>
      <c r="J134" s="1" t="s">
        <v>291</v>
      </c>
      <c r="K134" s="1" t="s">
        <v>208</v>
      </c>
    </row>
    <row r="135" spans="1:11" x14ac:dyDescent="0.25">
      <c r="A135" s="1" t="s">
        <v>207</v>
      </c>
      <c r="B135" s="1">
        <v>78</v>
      </c>
      <c r="C135" s="1" t="s">
        <v>18</v>
      </c>
      <c r="D135" s="1">
        <v>1</v>
      </c>
      <c r="E135" s="1" t="s">
        <v>168</v>
      </c>
      <c r="F135" s="1">
        <v>15</v>
      </c>
      <c r="G135" s="1">
        <v>11</v>
      </c>
      <c r="H135" s="1" t="s">
        <v>181</v>
      </c>
      <c r="I135" s="1" t="s">
        <v>237</v>
      </c>
      <c r="J135" s="1" t="s">
        <v>293</v>
      </c>
      <c r="K135" s="1" t="s">
        <v>208</v>
      </c>
    </row>
    <row r="136" spans="1:11" x14ac:dyDescent="0.25">
      <c r="A136" s="1" t="s">
        <v>207</v>
      </c>
      <c r="B136" s="1">
        <v>79</v>
      </c>
      <c r="C136" s="1" t="s">
        <v>18</v>
      </c>
      <c r="D136" s="1">
        <v>2</v>
      </c>
      <c r="E136" s="1" t="s">
        <v>168</v>
      </c>
      <c r="F136" s="1">
        <v>15</v>
      </c>
      <c r="G136" s="1">
        <v>7</v>
      </c>
      <c r="H136" s="1" t="s">
        <v>181</v>
      </c>
      <c r="I136" s="1" t="s">
        <v>237</v>
      </c>
      <c r="J136" s="1" t="s">
        <v>293</v>
      </c>
      <c r="K136" s="1" t="s">
        <v>208</v>
      </c>
    </row>
    <row r="137" spans="1:11" x14ac:dyDescent="0.25">
      <c r="A137" s="1" t="s">
        <v>207</v>
      </c>
      <c r="B137" s="1">
        <v>81</v>
      </c>
      <c r="C137" s="1" t="s">
        <v>21</v>
      </c>
      <c r="D137" s="1">
        <v>1</v>
      </c>
      <c r="E137" s="1" t="s">
        <v>168</v>
      </c>
      <c r="F137" s="1">
        <v>15</v>
      </c>
      <c r="G137" s="1">
        <v>9</v>
      </c>
      <c r="H137" s="1" t="s">
        <v>181</v>
      </c>
      <c r="I137" s="1" t="s">
        <v>242</v>
      </c>
      <c r="J137" s="1" t="s">
        <v>295</v>
      </c>
      <c r="K137" s="1" t="s">
        <v>208</v>
      </c>
    </row>
    <row r="138" spans="1:11" x14ac:dyDescent="0.25">
      <c r="A138" s="1" t="s">
        <v>207</v>
      </c>
      <c r="B138" s="1">
        <v>82</v>
      </c>
      <c r="C138" s="1" t="s">
        <v>21</v>
      </c>
      <c r="D138" s="1">
        <v>2</v>
      </c>
      <c r="E138" s="1" t="s">
        <v>168</v>
      </c>
      <c r="F138" s="1">
        <v>15</v>
      </c>
      <c r="G138" s="1">
        <v>7</v>
      </c>
      <c r="H138" s="1" t="s">
        <v>181</v>
      </c>
      <c r="I138" s="1" t="s">
        <v>242</v>
      </c>
      <c r="J138" s="1" t="s">
        <v>295</v>
      </c>
      <c r="K138" s="1" t="s">
        <v>208</v>
      </c>
    </row>
    <row r="139" spans="1:11" x14ac:dyDescent="0.25">
      <c r="A139" s="1" t="s">
        <v>207</v>
      </c>
      <c r="B139" s="1">
        <v>84</v>
      </c>
      <c r="C139" s="1" t="s">
        <v>24</v>
      </c>
      <c r="D139" s="1">
        <v>1</v>
      </c>
      <c r="E139" s="1" t="s">
        <v>168</v>
      </c>
      <c r="F139" s="1">
        <v>15</v>
      </c>
      <c r="G139" s="1">
        <v>9</v>
      </c>
      <c r="H139" s="1" t="s">
        <v>181</v>
      </c>
      <c r="I139" s="1" t="s">
        <v>247</v>
      </c>
      <c r="J139" s="1" t="s">
        <v>297</v>
      </c>
      <c r="K139" s="1" t="s">
        <v>208</v>
      </c>
    </row>
    <row r="140" spans="1:11" x14ac:dyDescent="0.25">
      <c r="A140" s="1" t="s">
        <v>207</v>
      </c>
      <c r="B140" s="1">
        <v>85</v>
      </c>
      <c r="C140" s="1" t="s">
        <v>24</v>
      </c>
      <c r="D140" s="1">
        <v>2</v>
      </c>
      <c r="E140" s="1" t="s">
        <v>168</v>
      </c>
      <c r="F140" s="1">
        <v>15</v>
      </c>
      <c r="G140" s="1">
        <v>9</v>
      </c>
      <c r="H140" s="1" t="s">
        <v>181</v>
      </c>
      <c r="I140" s="1" t="s">
        <v>247</v>
      </c>
      <c r="J140" s="1" t="s">
        <v>297</v>
      </c>
      <c r="K140" s="1" t="s">
        <v>208</v>
      </c>
    </row>
    <row r="141" spans="1:11" x14ac:dyDescent="0.25">
      <c r="A141" s="1" t="s">
        <v>207</v>
      </c>
      <c r="B141" s="1">
        <v>87</v>
      </c>
      <c r="C141" s="1" t="s">
        <v>27</v>
      </c>
      <c r="D141" s="1">
        <v>1</v>
      </c>
      <c r="E141" s="1" t="s">
        <v>168</v>
      </c>
      <c r="F141" s="1">
        <v>15</v>
      </c>
      <c r="G141" s="1">
        <v>7</v>
      </c>
      <c r="H141" s="1" t="s">
        <v>181</v>
      </c>
      <c r="I141" s="1" t="s">
        <v>252</v>
      </c>
      <c r="J141" s="1" t="s">
        <v>299</v>
      </c>
      <c r="K141" s="1" t="s">
        <v>208</v>
      </c>
    </row>
    <row r="142" spans="1:11" x14ac:dyDescent="0.25">
      <c r="A142" s="1" t="s">
        <v>207</v>
      </c>
      <c r="B142" s="1">
        <v>88</v>
      </c>
      <c r="C142" s="1" t="s">
        <v>27</v>
      </c>
      <c r="D142" s="1">
        <v>2</v>
      </c>
      <c r="E142" s="1" t="s">
        <v>168</v>
      </c>
      <c r="F142" s="1">
        <v>15</v>
      </c>
      <c r="G142" s="1">
        <v>4</v>
      </c>
      <c r="H142" s="1" t="s">
        <v>181</v>
      </c>
      <c r="I142" s="1" t="s">
        <v>252</v>
      </c>
      <c r="J142" s="1" t="s">
        <v>299</v>
      </c>
      <c r="K142" s="1" t="s">
        <v>208</v>
      </c>
    </row>
    <row r="143" spans="1:11" x14ac:dyDescent="0.25">
      <c r="A143" s="1" t="s">
        <v>207</v>
      </c>
      <c r="B143" s="1">
        <v>93</v>
      </c>
      <c r="C143" s="1" t="s">
        <v>12</v>
      </c>
      <c r="D143" s="1">
        <v>1</v>
      </c>
      <c r="E143" s="1" t="s">
        <v>146</v>
      </c>
      <c r="F143" s="1">
        <v>16</v>
      </c>
      <c r="G143" s="1">
        <v>14</v>
      </c>
      <c r="H143" s="1" t="s">
        <v>14</v>
      </c>
      <c r="I143" s="1" t="s">
        <v>234</v>
      </c>
      <c r="J143" s="1" t="s">
        <v>300</v>
      </c>
      <c r="K143" s="1" t="s">
        <v>208</v>
      </c>
    </row>
    <row r="144" spans="1:11" x14ac:dyDescent="0.25">
      <c r="A144" s="1" t="s">
        <v>207</v>
      </c>
      <c r="B144" s="1">
        <v>94</v>
      </c>
      <c r="C144" s="1" t="s">
        <v>12</v>
      </c>
      <c r="D144" s="1">
        <v>2</v>
      </c>
      <c r="E144" s="1" t="s">
        <v>146</v>
      </c>
      <c r="F144" s="1">
        <v>11</v>
      </c>
      <c r="G144" s="1">
        <v>9</v>
      </c>
      <c r="H144" s="1" t="s">
        <v>14</v>
      </c>
      <c r="I144" s="1" t="s">
        <v>234</v>
      </c>
      <c r="J144" s="1" t="s">
        <v>300</v>
      </c>
      <c r="K144" s="1" t="s">
        <v>208</v>
      </c>
    </row>
    <row r="145" spans="1:11" x14ac:dyDescent="0.25">
      <c r="A145" s="1" t="s">
        <v>207</v>
      </c>
      <c r="B145" s="1">
        <v>96</v>
      </c>
      <c r="C145" s="1" t="s">
        <v>18</v>
      </c>
      <c r="D145" s="1">
        <v>1</v>
      </c>
      <c r="E145" s="1" t="s">
        <v>146</v>
      </c>
      <c r="F145" s="1">
        <v>15</v>
      </c>
      <c r="G145" s="1">
        <v>10</v>
      </c>
      <c r="H145" s="1" t="s">
        <v>14</v>
      </c>
      <c r="I145" s="1" t="s">
        <v>239</v>
      </c>
      <c r="J145" s="1" t="s">
        <v>302</v>
      </c>
      <c r="K145" s="1" t="s">
        <v>208</v>
      </c>
    </row>
    <row r="146" spans="1:11" x14ac:dyDescent="0.25">
      <c r="A146" s="1" t="s">
        <v>207</v>
      </c>
      <c r="B146" s="1">
        <v>97</v>
      </c>
      <c r="C146" s="1" t="s">
        <v>18</v>
      </c>
      <c r="D146" s="1">
        <v>2</v>
      </c>
      <c r="E146" s="1" t="s">
        <v>146</v>
      </c>
      <c r="F146" s="1">
        <v>16</v>
      </c>
      <c r="G146" s="1">
        <v>18</v>
      </c>
      <c r="H146" s="1" t="s">
        <v>14</v>
      </c>
      <c r="I146" s="1" t="s">
        <v>239</v>
      </c>
      <c r="J146" s="1" t="s">
        <v>302</v>
      </c>
      <c r="K146" s="1" t="s">
        <v>208</v>
      </c>
    </row>
    <row r="147" spans="1:11" x14ac:dyDescent="0.25">
      <c r="A147" s="1" t="s">
        <v>207</v>
      </c>
      <c r="B147" s="1">
        <v>99</v>
      </c>
      <c r="C147" s="1" t="s">
        <v>21</v>
      </c>
      <c r="D147" s="1">
        <v>1</v>
      </c>
      <c r="E147" s="1" t="s">
        <v>146</v>
      </c>
      <c r="F147" s="1">
        <v>15</v>
      </c>
      <c r="G147" s="1">
        <v>11</v>
      </c>
      <c r="H147" s="1" t="s">
        <v>14</v>
      </c>
      <c r="I147" s="1" t="s">
        <v>244</v>
      </c>
      <c r="J147" s="1" t="s">
        <v>304</v>
      </c>
      <c r="K147" s="1" t="s">
        <v>208</v>
      </c>
    </row>
    <row r="148" spans="1:11" x14ac:dyDescent="0.25">
      <c r="A148" s="1" t="s">
        <v>207</v>
      </c>
      <c r="B148" s="1">
        <v>100</v>
      </c>
      <c r="C148" s="1" t="s">
        <v>21</v>
      </c>
      <c r="D148" s="1">
        <v>2</v>
      </c>
      <c r="E148" s="1" t="s">
        <v>146</v>
      </c>
      <c r="F148" s="1">
        <v>15</v>
      </c>
      <c r="G148" s="1">
        <v>11</v>
      </c>
      <c r="H148" s="1" t="s">
        <v>14</v>
      </c>
      <c r="I148" s="1" t="s">
        <v>244</v>
      </c>
      <c r="J148" s="1" t="s">
        <v>304</v>
      </c>
      <c r="K148" s="1" t="s">
        <v>208</v>
      </c>
    </row>
    <row r="149" spans="1:11" x14ac:dyDescent="0.25">
      <c r="A149" s="1" t="s">
        <v>207</v>
      </c>
      <c r="B149" s="1">
        <v>102</v>
      </c>
      <c r="C149" s="1" t="s">
        <v>24</v>
      </c>
      <c r="D149" s="1">
        <v>1</v>
      </c>
      <c r="E149" s="1" t="s">
        <v>146</v>
      </c>
      <c r="F149" s="1">
        <v>15</v>
      </c>
      <c r="G149" s="1">
        <v>8</v>
      </c>
      <c r="H149" s="1" t="s">
        <v>14</v>
      </c>
      <c r="I149" s="1" t="s">
        <v>249</v>
      </c>
      <c r="J149" s="1" t="s">
        <v>306</v>
      </c>
      <c r="K149" s="1" t="s">
        <v>208</v>
      </c>
    </row>
    <row r="150" spans="1:11" x14ac:dyDescent="0.25">
      <c r="A150" s="1" t="s">
        <v>207</v>
      </c>
      <c r="B150" s="1">
        <v>103</v>
      </c>
      <c r="C150" s="1" t="s">
        <v>24</v>
      </c>
      <c r="D150" s="1">
        <v>2</v>
      </c>
      <c r="E150" s="1" t="s">
        <v>146</v>
      </c>
      <c r="F150" s="1">
        <v>15</v>
      </c>
      <c r="G150" s="1">
        <v>7</v>
      </c>
      <c r="H150" s="1" t="s">
        <v>14</v>
      </c>
      <c r="I150" s="1" t="s">
        <v>249</v>
      </c>
      <c r="J150" s="1" t="s">
        <v>306</v>
      </c>
      <c r="K150" s="1" t="s">
        <v>208</v>
      </c>
    </row>
    <row r="151" spans="1:11" x14ac:dyDescent="0.25">
      <c r="A151" s="1" t="s">
        <v>207</v>
      </c>
      <c r="B151" s="1">
        <v>105</v>
      </c>
      <c r="C151" s="1" t="s">
        <v>27</v>
      </c>
      <c r="D151" s="1">
        <v>1</v>
      </c>
      <c r="E151" s="1" t="s">
        <v>146</v>
      </c>
      <c r="F151" s="1">
        <v>15</v>
      </c>
      <c r="G151" s="1">
        <v>7</v>
      </c>
      <c r="H151" s="1" t="s">
        <v>14</v>
      </c>
      <c r="I151" s="1" t="s">
        <v>254</v>
      </c>
      <c r="J151" s="1" t="s">
        <v>308</v>
      </c>
      <c r="K151" s="1" t="s">
        <v>208</v>
      </c>
    </row>
    <row r="152" spans="1:11" x14ac:dyDescent="0.25">
      <c r="A152" s="1" t="s">
        <v>207</v>
      </c>
      <c r="B152" s="1">
        <v>106</v>
      </c>
      <c r="C152" s="1" t="s">
        <v>27</v>
      </c>
      <c r="D152" s="1">
        <v>2</v>
      </c>
      <c r="E152" s="1" t="s">
        <v>146</v>
      </c>
      <c r="F152" s="1">
        <v>15</v>
      </c>
      <c r="G152" s="1">
        <v>10</v>
      </c>
      <c r="H152" s="1" t="s">
        <v>14</v>
      </c>
      <c r="I152" s="1" t="s">
        <v>254</v>
      </c>
      <c r="J152" s="1" t="s">
        <v>308</v>
      </c>
      <c r="K152" s="1" t="s">
        <v>208</v>
      </c>
    </row>
    <row r="153" spans="1:11" x14ac:dyDescent="0.25">
      <c r="A153" s="1" t="s">
        <v>207</v>
      </c>
      <c r="B153" s="1">
        <v>111</v>
      </c>
      <c r="C153" s="1" t="s">
        <v>12</v>
      </c>
      <c r="D153" s="1">
        <v>1</v>
      </c>
      <c r="E153" s="1" t="s">
        <v>155</v>
      </c>
      <c r="F153" s="1">
        <v>15</v>
      </c>
      <c r="G153" s="1">
        <v>13</v>
      </c>
      <c r="H153" s="1" t="s">
        <v>57</v>
      </c>
      <c r="I153" s="1" t="s">
        <v>257</v>
      </c>
      <c r="J153" s="1" t="s">
        <v>301</v>
      </c>
      <c r="K153" s="1" t="s">
        <v>208</v>
      </c>
    </row>
    <row r="154" spans="1:11" x14ac:dyDescent="0.25">
      <c r="A154" s="1" t="s">
        <v>207</v>
      </c>
      <c r="B154" s="1">
        <v>112</v>
      </c>
      <c r="C154" s="1" t="s">
        <v>12</v>
      </c>
      <c r="D154" s="1">
        <v>2</v>
      </c>
      <c r="E154" s="1" t="s">
        <v>155</v>
      </c>
      <c r="F154" s="1">
        <v>13</v>
      </c>
      <c r="G154" s="1">
        <v>15</v>
      </c>
      <c r="H154" s="1" t="s">
        <v>57</v>
      </c>
      <c r="I154" s="1" t="s">
        <v>257</v>
      </c>
      <c r="J154" s="1" t="s">
        <v>301</v>
      </c>
      <c r="K154" s="1" t="s">
        <v>208</v>
      </c>
    </row>
    <row r="155" spans="1:11" x14ac:dyDescent="0.25">
      <c r="A155" s="1" t="s">
        <v>207</v>
      </c>
      <c r="B155" s="1">
        <v>113</v>
      </c>
      <c r="C155" s="1" t="s">
        <v>12</v>
      </c>
      <c r="D155" s="1">
        <v>3</v>
      </c>
      <c r="E155" s="1" t="s">
        <v>155</v>
      </c>
      <c r="F155" s="1">
        <v>15</v>
      </c>
      <c r="G155" s="1">
        <v>10</v>
      </c>
      <c r="H155" s="1" t="s">
        <v>57</v>
      </c>
      <c r="I155" s="1" t="s">
        <v>257</v>
      </c>
      <c r="J155" s="1" t="s">
        <v>301</v>
      </c>
      <c r="K155" s="1" t="s">
        <v>208</v>
      </c>
    </row>
    <row r="156" spans="1:11" x14ac:dyDescent="0.25">
      <c r="A156" s="1" t="s">
        <v>207</v>
      </c>
      <c r="B156" s="1">
        <v>114</v>
      </c>
      <c r="C156" s="1" t="s">
        <v>18</v>
      </c>
      <c r="D156" s="1">
        <v>1</v>
      </c>
      <c r="E156" s="1" t="s">
        <v>155</v>
      </c>
      <c r="F156" s="1">
        <v>15</v>
      </c>
      <c r="G156" s="1">
        <v>12</v>
      </c>
      <c r="H156" s="1" t="s">
        <v>57</v>
      </c>
      <c r="I156" s="1" t="s">
        <v>260</v>
      </c>
      <c r="J156" s="1" t="s">
        <v>303</v>
      </c>
      <c r="K156" s="1" t="s">
        <v>208</v>
      </c>
    </row>
    <row r="157" spans="1:11" x14ac:dyDescent="0.25">
      <c r="A157" s="1" t="s">
        <v>207</v>
      </c>
      <c r="B157" s="1">
        <v>115</v>
      </c>
      <c r="C157" s="1" t="s">
        <v>18</v>
      </c>
      <c r="D157" s="1">
        <v>2</v>
      </c>
      <c r="E157" s="1" t="s">
        <v>155</v>
      </c>
      <c r="F157" s="1">
        <v>14</v>
      </c>
      <c r="G157" s="1">
        <v>16</v>
      </c>
      <c r="H157" s="1" t="s">
        <v>57</v>
      </c>
      <c r="I157" s="1" t="s">
        <v>260</v>
      </c>
      <c r="J157" s="1" t="s">
        <v>303</v>
      </c>
      <c r="K157" s="1" t="s">
        <v>208</v>
      </c>
    </row>
    <row r="158" spans="1:11" x14ac:dyDescent="0.25">
      <c r="A158" s="1" t="s">
        <v>207</v>
      </c>
      <c r="B158" s="1">
        <v>116</v>
      </c>
      <c r="C158" s="1" t="s">
        <v>18</v>
      </c>
      <c r="D158" s="1">
        <v>3</v>
      </c>
      <c r="E158" s="1" t="s">
        <v>155</v>
      </c>
      <c r="F158" s="1">
        <v>12</v>
      </c>
      <c r="G158" s="1">
        <v>15</v>
      </c>
      <c r="H158" s="1" t="s">
        <v>57</v>
      </c>
      <c r="I158" s="1" t="s">
        <v>260</v>
      </c>
      <c r="J158" s="1" t="s">
        <v>303</v>
      </c>
      <c r="K158" s="1" t="s">
        <v>208</v>
      </c>
    </row>
    <row r="159" spans="1:11" x14ac:dyDescent="0.25">
      <c r="A159" s="1" t="s">
        <v>207</v>
      </c>
      <c r="B159" s="1">
        <v>117</v>
      </c>
      <c r="C159" s="1" t="s">
        <v>21</v>
      </c>
      <c r="D159" s="1">
        <v>1</v>
      </c>
      <c r="E159" s="1" t="s">
        <v>155</v>
      </c>
      <c r="F159" s="1">
        <v>10</v>
      </c>
      <c r="G159" s="1">
        <v>15</v>
      </c>
      <c r="H159" s="1" t="s">
        <v>57</v>
      </c>
      <c r="I159" s="1" t="s">
        <v>263</v>
      </c>
      <c r="J159" s="1" t="s">
        <v>305</v>
      </c>
      <c r="K159" s="1" t="s">
        <v>208</v>
      </c>
    </row>
    <row r="160" spans="1:11" x14ac:dyDescent="0.25">
      <c r="A160" s="1" t="s">
        <v>207</v>
      </c>
      <c r="B160" s="1">
        <v>118</v>
      </c>
      <c r="C160" s="1" t="s">
        <v>21</v>
      </c>
      <c r="D160" s="1">
        <v>2</v>
      </c>
      <c r="E160" s="1" t="s">
        <v>155</v>
      </c>
      <c r="F160" s="1">
        <v>12</v>
      </c>
      <c r="G160" s="1">
        <v>15</v>
      </c>
      <c r="H160" s="1" t="s">
        <v>57</v>
      </c>
      <c r="I160" s="1" t="s">
        <v>263</v>
      </c>
      <c r="J160" s="1" t="s">
        <v>305</v>
      </c>
      <c r="K160" s="1" t="s">
        <v>208</v>
      </c>
    </row>
    <row r="161" spans="1:11" x14ac:dyDescent="0.25">
      <c r="A161" s="1" t="s">
        <v>207</v>
      </c>
      <c r="B161" s="1">
        <v>120</v>
      </c>
      <c r="C161" s="1" t="s">
        <v>24</v>
      </c>
      <c r="D161" s="1">
        <v>1</v>
      </c>
      <c r="E161" s="1" t="s">
        <v>155</v>
      </c>
      <c r="F161" s="1">
        <v>15</v>
      </c>
      <c r="G161" s="1">
        <v>12</v>
      </c>
      <c r="H161" s="1" t="s">
        <v>57</v>
      </c>
      <c r="I161" s="1" t="s">
        <v>266</v>
      </c>
      <c r="J161" s="1" t="s">
        <v>307</v>
      </c>
      <c r="K161" s="1" t="s">
        <v>208</v>
      </c>
    </row>
    <row r="162" spans="1:11" x14ac:dyDescent="0.25">
      <c r="A162" s="1" t="s">
        <v>207</v>
      </c>
      <c r="B162" s="1">
        <v>121</v>
      </c>
      <c r="C162" s="1" t="s">
        <v>24</v>
      </c>
      <c r="D162" s="1">
        <v>2</v>
      </c>
      <c r="E162" s="1" t="s">
        <v>155</v>
      </c>
      <c r="F162" s="1">
        <v>20</v>
      </c>
      <c r="G162" s="1">
        <v>21</v>
      </c>
      <c r="H162" s="1" t="s">
        <v>57</v>
      </c>
      <c r="I162" s="1" t="s">
        <v>266</v>
      </c>
      <c r="J162" s="1" t="s">
        <v>307</v>
      </c>
      <c r="K162" s="1" t="s">
        <v>208</v>
      </c>
    </row>
    <row r="163" spans="1:11" x14ac:dyDescent="0.25">
      <c r="A163" s="1" t="s">
        <v>207</v>
      </c>
      <c r="B163" s="1">
        <v>122</v>
      </c>
      <c r="C163" s="1" t="s">
        <v>24</v>
      </c>
      <c r="D163" s="1">
        <v>3</v>
      </c>
      <c r="E163" s="1" t="s">
        <v>155</v>
      </c>
      <c r="F163" s="1">
        <v>15</v>
      </c>
      <c r="G163" s="1">
        <v>10</v>
      </c>
      <c r="H163" s="1" t="s">
        <v>57</v>
      </c>
      <c r="I163" s="1" t="s">
        <v>266</v>
      </c>
      <c r="J163" s="1" t="s">
        <v>307</v>
      </c>
      <c r="K163" s="1" t="s">
        <v>208</v>
      </c>
    </row>
    <row r="164" spans="1:11" x14ac:dyDescent="0.25">
      <c r="A164" s="1" t="s">
        <v>207</v>
      </c>
      <c r="B164" s="1">
        <v>123</v>
      </c>
      <c r="C164" s="1" t="s">
        <v>27</v>
      </c>
      <c r="D164" s="1">
        <v>1</v>
      </c>
      <c r="E164" s="1" t="s">
        <v>155</v>
      </c>
      <c r="F164" s="1">
        <v>15</v>
      </c>
      <c r="G164" s="1">
        <v>3</v>
      </c>
      <c r="H164" s="1" t="s">
        <v>57</v>
      </c>
      <c r="I164" s="1" t="s">
        <v>268</v>
      </c>
      <c r="J164" s="1" t="s">
        <v>309</v>
      </c>
      <c r="K164" s="1" t="s">
        <v>208</v>
      </c>
    </row>
    <row r="165" spans="1:11" x14ac:dyDescent="0.25">
      <c r="A165" s="1" t="s">
        <v>207</v>
      </c>
      <c r="B165" s="1">
        <v>124</v>
      </c>
      <c r="C165" s="1" t="s">
        <v>27</v>
      </c>
      <c r="D165" s="1">
        <v>2</v>
      </c>
      <c r="E165" s="1" t="s">
        <v>155</v>
      </c>
      <c r="F165" s="1">
        <v>15</v>
      </c>
      <c r="G165" s="1">
        <v>7</v>
      </c>
      <c r="H165" s="1" t="s">
        <v>57</v>
      </c>
      <c r="I165" s="1" t="s">
        <v>268</v>
      </c>
      <c r="J165" s="1" t="s">
        <v>309</v>
      </c>
      <c r="K165" s="1" t="s">
        <v>208</v>
      </c>
    </row>
    <row r="166" spans="1:11" x14ac:dyDescent="0.25">
      <c r="A166" s="1" t="s">
        <v>207</v>
      </c>
      <c r="B166" s="1">
        <v>129</v>
      </c>
      <c r="C166" s="1" t="s">
        <v>12</v>
      </c>
      <c r="D166" s="1">
        <v>1</v>
      </c>
      <c r="E166" s="1" t="s">
        <v>30</v>
      </c>
      <c r="F166" s="1">
        <v>13</v>
      </c>
      <c r="G166" s="1">
        <v>15</v>
      </c>
      <c r="H166" s="1" t="s">
        <v>31</v>
      </c>
      <c r="I166" s="1" t="s">
        <v>233</v>
      </c>
      <c r="J166" s="1" t="s">
        <v>290</v>
      </c>
      <c r="K166" s="1" t="s">
        <v>208</v>
      </c>
    </row>
    <row r="167" spans="1:11" x14ac:dyDescent="0.25">
      <c r="A167" s="1" t="s">
        <v>207</v>
      </c>
      <c r="B167" s="1">
        <v>130</v>
      </c>
      <c r="C167" s="1" t="s">
        <v>12</v>
      </c>
      <c r="D167" s="1">
        <v>2</v>
      </c>
      <c r="E167" s="1" t="s">
        <v>30</v>
      </c>
      <c r="F167" s="1">
        <v>11</v>
      </c>
      <c r="G167" s="1">
        <v>15</v>
      </c>
      <c r="H167" s="1" t="s">
        <v>31</v>
      </c>
      <c r="I167" s="1" t="s">
        <v>233</v>
      </c>
      <c r="J167" s="1" t="s">
        <v>290</v>
      </c>
      <c r="K167" s="1" t="s">
        <v>208</v>
      </c>
    </row>
    <row r="168" spans="1:11" x14ac:dyDescent="0.25">
      <c r="A168" s="1" t="s">
        <v>207</v>
      </c>
      <c r="B168" s="1">
        <v>132</v>
      </c>
      <c r="C168" s="1" t="s">
        <v>18</v>
      </c>
      <c r="D168" s="1">
        <v>1</v>
      </c>
      <c r="E168" s="1" t="s">
        <v>30</v>
      </c>
      <c r="F168" s="1">
        <v>15</v>
      </c>
      <c r="G168" s="1">
        <v>13</v>
      </c>
      <c r="H168" s="1" t="s">
        <v>31</v>
      </c>
      <c r="I168" s="1" t="s">
        <v>238</v>
      </c>
      <c r="J168" s="1" t="s">
        <v>292</v>
      </c>
      <c r="K168" s="1" t="s">
        <v>208</v>
      </c>
    </row>
    <row r="169" spans="1:11" x14ac:dyDescent="0.25">
      <c r="A169" s="1" t="s">
        <v>207</v>
      </c>
      <c r="B169" s="1">
        <v>133</v>
      </c>
      <c r="C169" s="1" t="s">
        <v>18</v>
      </c>
      <c r="D169" s="1">
        <v>2</v>
      </c>
      <c r="E169" s="1" t="s">
        <v>30</v>
      </c>
      <c r="F169" s="1">
        <v>15</v>
      </c>
      <c r="G169" s="1">
        <v>10</v>
      </c>
      <c r="H169" s="1" t="s">
        <v>31</v>
      </c>
      <c r="I169" s="1" t="s">
        <v>238</v>
      </c>
      <c r="J169" s="1" t="s">
        <v>292</v>
      </c>
      <c r="K169" s="1" t="s">
        <v>208</v>
      </c>
    </row>
    <row r="170" spans="1:11" x14ac:dyDescent="0.25">
      <c r="A170" s="1" t="s">
        <v>207</v>
      </c>
      <c r="B170" s="1">
        <v>135</v>
      </c>
      <c r="C170" s="1" t="s">
        <v>21</v>
      </c>
      <c r="D170" s="1">
        <v>1</v>
      </c>
      <c r="E170" s="1" t="s">
        <v>30</v>
      </c>
      <c r="F170" s="1">
        <v>15</v>
      </c>
      <c r="G170" s="1">
        <v>10</v>
      </c>
      <c r="H170" s="1" t="s">
        <v>31</v>
      </c>
      <c r="I170" s="1" t="s">
        <v>243</v>
      </c>
      <c r="J170" s="1" t="s">
        <v>294</v>
      </c>
      <c r="K170" s="1" t="s">
        <v>208</v>
      </c>
    </row>
    <row r="171" spans="1:11" x14ac:dyDescent="0.25">
      <c r="A171" s="1" t="s">
        <v>207</v>
      </c>
      <c r="B171" s="1">
        <v>136</v>
      </c>
      <c r="C171" s="1" t="s">
        <v>21</v>
      </c>
      <c r="D171" s="1">
        <v>2</v>
      </c>
      <c r="E171" s="1" t="s">
        <v>30</v>
      </c>
      <c r="F171" s="1">
        <v>15</v>
      </c>
      <c r="G171" s="1">
        <v>13</v>
      </c>
      <c r="H171" s="1" t="s">
        <v>31</v>
      </c>
      <c r="I171" s="1" t="s">
        <v>243</v>
      </c>
      <c r="J171" s="1" t="s">
        <v>294</v>
      </c>
      <c r="K171" s="1" t="s">
        <v>208</v>
      </c>
    </row>
    <row r="172" spans="1:11" x14ac:dyDescent="0.25">
      <c r="A172" s="1" t="s">
        <v>207</v>
      </c>
      <c r="B172" s="1">
        <v>138</v>
      </c>
      <c r="C172" s="1" t="s">
        <v>24</v>
      </c>
      <c r="D172" s="1">
        <v>1</v>
      </c>
      <c r="E172" s="1" t="s">
        <v>30</v>
      </c>
      <c r="F172" s="1">
        <v>11</v>
      </c>
      <c r="G172" s="1">
        <v>15</v>
      </c>
      <c r="H172" s="1" t="s">
        <v>31</v>
      </c>
      <c r="I172" s="1" t="s">
        <v>248</v>
      </c>
      <c r="J172" s="1" t="s">
        <v>296</v>
      </c>
      <c r="K172" s="1" t="s">
        <v>208</v>
      </c>
    </row>
    <row r="173" spans="1:11" x14ac:dyDescent="0.25">
      <c r="A173" s="1" t="s">
        <v>207</v>
      </c>
      <c r="B173" s="1">
        <v>139</v>
      </c>
      <c r="C173" s="1" t="s">
        <v>24</v>
      </c>
      <c r="D173" s="1">
        <v>2</v>
      </c>
      <c r="E173" s="1" t="s">
        <v>30</v>
      </c>
      <c r="F173" s="1">
        <v>21</v>
      </c>
      <c r="G173" s="1">
        <v>20</v>
      </c>
      <c r="H173" s="1" t="s">
        <v>31</v>
      </c>
      <c r="I173" s="1" t="s">
        <v>248</v>
      </c>
      <c r="J173" s="1" t="s">
        <v>296</v>
      </c>
      <c r="K173" s="1" t="s">
        <v>208</v>
      </c>
    </row>
    <row r="174" spans="1:11" x14ac:dyDescent="0.25">
      <c r="A174" s="1" t="s">
        <v>207</v>
      </c>
      <c r="B174" s="1">
        <v>140</v>
      </c>
      <c r="C174" s="1" t="s">
        <v>24</v>
      </c>
      <c r="D174" s="1">
        <v>3</v>
      </c>
      <c r="E174" s="1" t="s">
        <v>30</v>
      </c>
      <c r="F174" s="1">
        <v>15</v>
      </c>
      <c r="G174" s="1">
        <v>13</v>
      </c>
      <c r="H174" s="1" t="s">
        <v>31</v>
      </c>
      <c r="I174" s="1" t="s">
        <v>248</v>
      </c>
      <c r="J174" s="1" t="s">
        <v>296</v>
      </c>
      <c r="K174" s="1" t="s">
        <v>208</v>
      </c>
    </row>
    <row r="175" spans="1:11" x14ac:dyDescent="0.25">
      <c r="A175" s="1" t="s">
        <v>207</v>
      </c>
      <c r="B175" s="1">
        <v>141</v>
      </c>
      <c r="C175" s="1" t="s">
        <v>27</v>
      </c>
      <c r="D175" s="1">
        <v>1</v>
      </c>
      <c r="E175" s="1" t="s">
        <v>30</v>
      </c>
      <c r="F175" s="1">
        <v>15</v>
      </c>
      <c r="G175" s="1">
        <v>10</v>
      </c>
      <c r="H175" s="1" t="s">
        <v>31</v>
      </c>
      <c r="I175" s="1" t="s">
        <v>253</v>
      </c>
      <c r="J175" s="1" t="s">
        <v>298</v>
      </c>
      <c r="K175" s="1" t="s">
        <v>208</v>
      </c>
    </row>
    <row r="176" spans="1:11" x14ac:dyDescent="0.25">
      <c r="A176" s="1" t="s">
        <v>207</v>
      </c>
      <c r="B176" s="1">
        <v>142</v>
      </c>
      <c r="C176" s="1" t="s">
        <v>27</v>
      </c>
      <c r="D176" s="1">
        <v>2</v>
      </c>
      <c r="E176" s="1" t="s">
        <v>30</v>
      </c>
      <c r="F176" s="1">
        <v>16</v>
      </c>
      <c r="G176" s="1">
        <v>18</v>
      </c>
      <c r="H176" s="1" t="s">
        <v>31</v>
      </c>
      <c r="I176" s="1" t="s">
        <v>253</v>
      </c>
      <c r="J176" s="1" t="s">
        <v>298</v>
      </c>
      <c r="K176" s="1" t="s">
        <v>208</v>
      </c>
    </row>
    <row r="177" spans="1:11" x14ac:dyDescent="0.25">
      <c r="A177" s="1" t="s">
        <v>207</v>
      </c>
      <c r="B177" s="1">
        <v>143</v>
      </c>
      <c r="C177" s="1" t="s">
        <v>27</v>
      </c>
      <c r="D177" s="1">
        <v>3</v>
      </c>
      <c r="E177" s="1" t="s">
        <v>30</v>
      </c>
      <c r="F177" s="1">
        <v>15</v>
      </c>
      <c r="G177" s="1">
        <v>11</v>
      </c>
      <c r="H177" s="1" t="s">
        <v>31</v>
      </c>
      <c r="I177" s="1" t="s">
        <v>253</v>
      </c>
      <c r="J177" s="1" t="s">
        <v>298</v>
      </c>
      <c r="K177" s="1" t="s">
        <v>208</v>
      </c>
    </row>
    <row r="178" spans="1:11" x14ac:dyDescent="0.25">
      <c r="A178" s="1" t="s">
        <v>207</v>
      </c>
      <c r="B178" s="1">
        <v>255</v>
      </c>
      <c r="C178" s="1" t="s">
        <v>12</v>
      </c>
      <c r="D178" s="1">
        <v>1</v>
      </c>
      <c r="E178" s="1" t="s">
        <v>83</v>
      </c>
      <c r="F178" s="1">
        <v>1</v>
      </c>
      <c r="G178" s="1">
        <v>0</v>
      </c>
      <c r="H178" s="1" t="s">
        <v>69</v>
      </c>
      <c r="I178" s="1" t="s">
        <v>336</v>
      </c>
      <c r="J178" s="1" t="s">
        <v>310</v>
      </c>
      <c r="K178" s="1" t="s">
        <v>222</v>
      </c>
    </row>
    <row r="179" spans="1:11" x14ac:dyDescent="0.25">
      <c r="A179" s="1" t="s">
        <v>207</v>
      </c>
      <c r="B179" s="1">
        <v>256</v>
      </c>
      <c r="C179" s="1" t="s">
        <v>12</v>
      </c>
      <c r="D179" s="1">
        <v>2</v>
      </c>
      <c r="E179" s="1" t="s">
        <v>83</v>
      </c>
      <c r="F179" s="1">
        <v>1</v>
      </c>
      <c r="G179" s="1">
        <v>0</v>
      </c>
      <c r="H179" s="1" t="s">
        <v>69</v>
      </c>
      <c r="I179" s="1" t="s">
        <v>336</v>
      </c>
      <c r="J179" s="1" t="s">
        <v>310</v>
      </c>
      <c r="K179" s="1" t="s">
        <v>222</v>
      </c>
    </row>
    <row r="180" spans="1:11" x14ac:dyDescent="0.25">
      <c r="A180" s="1" t="s">
        <v>207</v>
      </c>
      <c r="B180" s="1">
        <v>258</v>
      </c>
      <c r="C180" s="1" t="s">
        <v>18</v>
      </c>
      <c r="D180" s="1">
        <v>1</v>
      </c>
      <c r="E180" s="1" t="s">
        <v>83</v>
      </c>
      <c r="F180" s="1">
        <v>1</v>
      </c>
      <c r="G180" s="1">
        <v>0</v>
      </c>
      <c r="H180" s="1" t="s">
        <v>69</v>
      </c>
      <c r="I180" s="1" t="s">
        <v>338</v>
      </c>
      <c r="J180" s="1" t="s">
        <v>311</v>
      </c>
      <c r="K180" s="1" t="s">
        <v>222</v>
      </c>
    </row>
    <row r="181" spans="1:11" x14ac:dyDescent="0.25">
      <c r="A181" s="1" t="s">
        <v>207</v>
      </c>
      <c r="B181" s="1">
        <v>259</v>
      </c>
      <c r="C181" s="1" t="s">
        <v>18</v>
      </c>
      <c r="D181" s="1">
        <v>2</v>
      </c>
      <c r="E181" s="1" t="s">
        <v>83</v>
      </c>
      <c r="F181" s="1">
        <v>1</v>
      </c>
      <c r="G181" s="1">
        <v>0</v>
      </c>
      <c r="H181" s="1" t="s">
        <v>69</v>
      </c>
      <c r="I181" s="1" t="s">
        <v>338</v>
      </c>
      <c r="J181" s="1" t="s">
        <v>311</v>
      </c>
      <c r="K181" s="1" t="s">
        <v>222</v>
      </c>
    </row>
    <row r="182" spans="1:11" x14ac:dyDescent="0.25">
      <c r="A182" s="1" t="s">
        <v>207</v>
      </c>
      <c r="B182" s="1">
        <v>261</v>
      </c>
      <c r="C182" s="1" t="s">
        <v>21</v>
      </c>
      <c r="D182" s="1">
        <v>1</v>
      </c>
      <c r="E182" s="1" t="s">
        <v>83</v>
      </c>
      <c r="F182" s="1">
        <v>1</v>
      </c>
      <c r="G182" s="1">
        <v>0</v>
      </c>
      <c r="H182" s="1" t="s">
        <v>69</v>
      </c>
      <c r="I182" s="1" t="s">
        <v>340</v>
      </c>
      <c r="J182" s="1" t="s">
        <v>312</v>
      </c>
      <c r="K182" s="1" t="s">
        <v>222</v>
      </c>
    </row>
    <row r="183" spans="1:11" x14ac:dyDescent="0.25">
      <c r="A183" s="1" t="s">
        <v>207</v>
      </c>
      <c r="B183" s="1">
        <v>262</v>
      </c>
      <c r="C183" s="1" t="s">
        <v>21</v>
      </c>
      <c r="D183" s="1">
        <v>2</v>
      </c>
      <c r="E183" s="1" t="s">
        <v>83</v>
      </c>
      <c r="F183" s="1">
        <v>1</v>
      </c>
      <c r="G183" s="1">
        <v>0</v>
      </c>
      <c r="H183" s="1" t="s">
        <v>69</v>
      </c>
      <c r="I183" s="1" t="s">
        <v>340</v>
      </c>
      <c r="J183" s="1" t="s">
        <v>312</v>
      </c>
      <c r="K183" s="1" t="s">
        <v>222</v>
      </c>
    </row>
    <row r="184" spans="1:11" x14ac:dyDescent="0.25">
      <c r="A184" s="1" t="s">
        <v>207</v>
      </c>
      <c r="B184" s="1">
        <v>264</v>
      </c>
      <c r="C184" s="1" t="s">
        <v>24</v>
      </c>
      <c r="D184" s="1">
        <v>1</v>
      </c>
      <c r="E184" s="1" t="s">
        <v>83</v>
      </c>
      <c r="F184" s="1">
        <v>0</v>
      </c>
      <c r="G184" s="1">
        <v>1</v>
      </c>
      <c r="H184" s="1" t="s">
        <v>69</v>
      </c>
      <c r="I184" s="1" t="s">
        <v>342</v>
      </c>
      <c r="J184" s="1"/>
      <c r="K184" s="1" t="s">
        <v>222</v>
      </c>
    </row>
    <row r="185" spans="1:11" x14ac:dyDescent="0.25">
      <c r="A185" s="1" t="s">
        <v>207</v>
      </c>
      <c r="B185" s="1">
        <v>265</v>
      </c>
      <c r="C185" s="1" t="s">
        <v>24</v>
      </c>
      <c r="D185" s="1">
        <v>2</v>
      </c>
      <c r="E185" s="1" t="s">
        <v>83</v>
      </c>
      <c r="F185" s="1">
        <v>0</v>
      </c>
      <c r="G185" s="1">
        <v>1</v>
      </c>
      <c r="H185" s="1" t="s">
        <v>69</v>
      </c>
      <c r="I185" s="1" t="s">
        <v>342</v>
      </c>
      <c r="J185" s="1"/>
      <c r="K185" s="1" t="s">
        <v>222</v>
      </c>
    </row>
    <row r="186" spans="1:11" x14ac:dyDescent="0.25">
      <c r="A186" s="1" t="s">
        <v>207</v>
      </c>
      <c r="B186" s="1">
        <v>267</v>
      </c>
      <c r="C186" s="1" t="s">
        <v>27</v>
      </c>
      <c r="D186" s="1">
        <v>1</v>
      </c>
      <c r="E186" s="1" t="s">
        <v>83</v>
      </c>
      <c r="F186" s="1">
        <v>0</v>
      </c>
      <c r="G186" s="1">
        <v>1</v>
      </c>
      <c r="H186" s="1" t="s">
        <v>69</v>
      </c>
      <c r="I186" s="1" t="s">
        <v>344</v>
      </c>
      <c r="J186" s="1"/>
      <c r="K186" s="1" t="s">
        <v>222</v>
      </c>
    </row>
    <row r="187" spans="1:11" x14ac:dyDescent="0.25">
      <c r="A187" s="1" t="s">
        <v>207</v>
      </c>
      <c r="B187" s="1">
        <v>268</v>
      </c>
      <c r="C187" s="1" t="s">
        <v>27</v>
      </c>
      <c r="D187" s="1">
        <v>2</v>
      </c>
      <c r="E187" s="1" t="s">
        <v>83</v>
      </c>
      <c r="F187" s="1">
        <v>0</v>
      </c>
      <c r="G187" s="1">
        <v>1</v>
      </c>
      <c r="H187" s="1" t="s">
        <v>69</v>
      </c>
      <c r="I187" s="1" t="s">
        <v>344</v>
      </c>
      <c r="J187" s="1"/>
      <c r="K187" s="1" t="s">
        <v>222</v>
      </c>
    </row>
    <row r="188" spans="1:11" x14ac:dyDescent="0.25">
      <c r="A188" s="1" t="s">
        <v>207</v>
      </c>
      <c r="B188" s="1">
        <v>273</v>
      </c>
      <c r="C188" s="1" t="s">
        <v>12</v>
      </c>
      <c r="D188" s="1">
        <v>1</v>
      </c>
      <c r="E188" s="1" t="s">
        <v>134</v>
      </c>
      <c r="F188" s="1">
        <v>19</v>
      </c>
      <c r="G188" s="1">
        <v>21</v>
      </c>
      <c r="H188" s="1" t="s">
        <v>108</v>
      </c>
      <c r="I188" s="1" t="s">
        <v>318</v>
      </c>
      <c r="J188" s="1" t="s">
        <v>313</v>
      </c>
      <c r="K188" s="1" t="s">
        <v>222</v>
      </c>
    </row>
    <row r="189" spans="1:11" x14ac:dyDescent="0.25">
      <c r="A189" s="1" t="s">
        <v>207</v>
      </c>
      <c r="B189" s="1">
        <v>274</v>
      </c>
      <c r="C189" s="1" t="s">
        <v>12</v>
      </c>
      <c r="D189" s="1">
        <v>2</v>
      </c>
      <c r="E189" s="1" t="s">
        <v>134</v>
      </c>
      <c r="F189" s="1">
        <v>0</v>
      </c>
      <c r="G189" s="1">
        <v>1</v>
      </c>
      <c r="H189" s="1" t="s">
        <v>108</v>
      </c>
      <c r="I189" s="1" t="s">
        <v>318</v>
      </c>
      <c r="J189" s="1" t="s">
        <v>313</v>
      </c>
      <c r="K189" s="1" t="s">
        <v>222</v>
      </c>
    </row>
    <row r="190" spans="1:11" x14ac:dyDescent="0.25">
      <c r="A190" s="1" t="s">
        <v>207</v>
      </c>
      <c r="B190" s="1">
        <v>276</v>
      </c>
      <c r="C190" s="1" t="s">
        <v>18</v>
      </c>
      <c r="D190" s="1">
        <v>1</v>
      </c>
      <c r="E190" s="1" t="s">
        <v>134</v>
      </c>
      <c r="F190" s="1">
        <v>21</v>
      </c>
      <c r="G190" s="1">
        <v>14</v>
      </c>
      <c r="H190" s="1" t="s">
        <v>108</v>
      </c>
      <c r="I190" s="1" t="s">
        <v>320</v>
      </c>
      <c r="J190" s="1" t="s">
        <v>314</v>
      </c>
      <c r="K190" s="1" t="s">
        <v>222</v>
      </c>
    </row>
    <row r="191" spans="1:11" x14ac:dyDescent="0.25">
      <c r="A191" s="1" t="s">
        <v>207</v>
      </c>
      <c r="B191" s="1">
        <v>277</v>
      </c>
      <c r="C191" s="1" t="s">
        <v>18</v>
      </c>
      <c r="D191" s="1">
        <v>2</v>
      </c>
      <c r="E191" s="1" t="s">
        <v>134</v>
      </c>
      <c r="F191" s="1">
        <v>1</v>
      </c>
      <c r="G191" s="1">
        <v>0</v>
      </c>
      <c r="H191" s="1" t="s">
        <v>108</v>
      </c>
      <c r="I191" s="1" t="s">
        <v>320</v>
      </c>
      <c r="J191" s="1" t="s">
        <v>314</v>
      </c>
      <c r="K191" s="1" t="s">
        <v>222</v>
      </c>
    </row>
    <row r="192" spans="1:11" x14ac:dyDescent="0.25">
      <c r="A192" s="1" t="s">
        <v>207</v>
      </c>
      <c r="B192" s="1">
        <v>279</v>
      </c>
      <c r="C192" s="1" t="s">
        <v>21</v>
      </c>
      <c r="D192" s="1">
        <v>1</v>
      </c>
      <c r="E192" s="1" t="s">
        <v>134</v>
      </c>
      <c r="F192" s="1">
        <v>21</v>
      </c>
      <c r="G192" s="1">
        <v>9</v>
      </c>
      <c r="H192" s="1" t="s">
        <v>108</v>
      </c>
      <c r="I192" s="1" t="s">
        <v>326</v>
      </c>
      <c r="J192" s="1" t="s">
        <v>315</v>
      </c>
      <c r="K192" s="1" t="s">
        <v>222</v>
      </c>
    </row>
    <row r="193" spans="1:11" x14ac:dyDescent="0.25">
      <c r="A193" s="1" t="s">
        <v>207</v>
      </c>
      <c r="B193" s="1">
        <v>280</v>
      </c>
      <c r="C193" s="1" t="s">
        <v>21</v>
      </c>
      <c r="D193" s="1">
        <v>2</v>
      </c>
      <c r="E193" s="1" t="s">
        <v>134</v>
      </c>
      <c r="F193" s="1">
        <v>1</v>
      </c>
      <c r="G193" s="1">
        <v>0</v>
      </c>
      <c r="H193" s="1" t="s">
        <v>108</v>
      </c>
      <c r="I193" s="1" t="s">
        <v>326</v>
      </c>
      <c r="J193" s="1" t="s">
        <v>315</v>
      </c>
      <c r="K193" s="1" t="s">
        <v>222</v>
      </c>
    </row>
    <row r="194" spans="1:11" x14ac:dyDescent="0.25">
      <c r="A194" s="1" t="s">
        <v>207</v>
      </c>
      <c r="B194" s="1">
        <v>282</v>
      </c>
      <c r="C194" s="1" t="s">
        <v>24</v>
      </c>
      <c r="D194" s="1">
        <v>1</v>
      </c>
      <c r="E194" s="1" t="s">
        <v>134</v>
      </c>
      <c r="F194" s="1">
        <v>21</v>
      </c>
      <c r="G194" s="1">
        <v>10</v>
      </c>
      <c r="H194" s="1" t="s">
        <v>108</v>
      </c>
      <c r="I194" s="1" t="s">
        <v>328</v>
      </c>
      <c r="J194" s="1"/>
      <c r="K194" s="1" t="s">
        <v>222</v>
      </c>
    </row>
    <row r="195" spans="1:11" x14ac:dyDescent="0.25">
      <c r="A195" s="1" t="s">
        <v>207</v>
      </c>
      <c r="B195" s="1">
        <v>283</v>
      </c>
      <c r="C195" s="1" t="s">
        <v>24</v>
      </c>
      <c r="D195" s="1">
        <v>2</v>
      </c>
      <c r="E195" s="1" t="s">
        <v>134</v>
      </c>
      <c r="F195" s="1">
        <v>1</v>
      </c>
      <c r="G195" s="1">
        <v>0</v>
      </c>
      <c r="H195" s="1" t="s">
        <v>108</v>
      </c>
      <c r="I195" s="1" t="s">
        <v>328</v>
      </c>
      <c r="J195" s="1"/>
      <c r="K195" s="1" t="s">
        <v>222</v>
      </c>
    </row>
    <row r="196" spans="1:11" x14ac:dyDescent="0.25">
      <c r="A196" s="1" t="s">
        <v>215</v>
      </c>
      <c r="B196" s="1">
        <v>3</v>
      </c>
      <c r="C196" s="1" t="s">
        <v>12</v>
      </c>
      <c r="D196" s="1">
        <v>1</v>
      </c>
      <c r="E196" s="1" t="s">
        <v>195</v>
      </c>
      <c r="F196" s="1">
        <v>21</v>
      </c>
      <c r="G196" s="1">
        <v>18</v>
      </c>
      <c r="H196" s="1" t="s">
        <v>30</v>
      </c>
      <c r="I196" s="1" t="s">
        <v>230</v>
      </c>
      <c r="J196" s="1" t="s">
        <v>233</v>
      </c>
      <c r="K196" s="1" t="s">
        <v>216</v>
      </c>
    </row>
    <row r="197" spans="1:11" x14ac:dyDescent="0.25">
      <c r="A197" s="1" t="s">
        <v>215</v>
      </c>
      <c r="B197" s="1">
        <v>4</v>
      </c>
      <c r="C197" s="1" t="s">
        <v>12</v>
      </c>
      <c r="D197" s="1">
        <v>2</v>
      </c>
      <c r="E197" s="1" t="s">
        <v>195</v>
      </c>
      <c r="F197" s="1">
        <v>21</v>
      </c>
      <c r="G197" s="1">
        <v>18</v>
      </c>
      <c r="H197" s="1" t="s">
        <v>30</v>
      </c>
      <c r="I197" s="1" t="s">
        <v>230</v>
      </c>
      <c r="J197" s="1" t="s">
        <v>233</v>
      </c>
      <c r="K197" s="1" t="s">
        <v>216</v>
      </c>
    </row>
    <row r="198" spans="1:11" x14ac:dyDescent="0.25">
      <c r="A198" s="1" t="s">
        <v>215</v>
      </c>
      <c r="B198" s="1">
        <v>6</v>
      </c>
      <c r="C198" s="1" t="s">
        <v>18</v>
      </c>
      <c r="D198" s="1">
        <v>1</v>
      </c>
      <c r="E198" s="1" t="s">
        <v>195</v>
      </c>
      <c r="F198" s="1">
        <v>21</v>
      </c>
      <c r="G198" s="1">
        <v>18</v>
      </c>
      <c r="H198" s="1" t="s">
        <v>30</v>
      </c>
      <c r="I198" s="1" t="s">
        <v>235</v>
      </c>
      <c r="J198" s="1" t="s">
        <v>238</v>
      </c>
      <c r="K198" s="1" t="s">
        <v>216</v>
      </c>
    </row>
    <row r="199" spans="1:11" x14ac:dyDescent="0.25">
      <c r="A199" s="1" t="s">
        <v>215</v>
      </c>
      <c r="B199" s="1">
        <v>7</v>
      </c>
      <c r="C199" s="1" t="s">
        <v>18</v>
      </c>
      <c r="D199" s="1">
        <v>2</v>
      </c>
      <c r="E199" s="1" t="s">
        <v>195</v>
      </c>
      <c r="F199" s="1">
        <v>14</v>
      </c>
      <c r="G199" s="1">
        <v>15</v>
      </c>
      <c r="H199" s="1" t="s">
        <v>30</v>
      </c>
      <c r="I199" s="1" t="s">
        <v>235</v>
      </c>
      <c r="J199" s="1" t="s">
        <v>238</v>
      </c>
      <c r="K199" s="1" t="s">
        <v>216</v>
      </c>
    </row>
    <row r="200" spans="1:11" x14ac:dyDescent="0.25">
      <c r="A200" s="1" t="s">
        <v>215</v>
      </c>
      <c r="B200" s="1">
        <v>9</v>
      </c>
      <c r="C200" s="1" t="s">
        <v>21</v>
      </c>
      <c r="D200" s="1">
        <v>1</v>
      </c>
      <c r="E200" s="1" t="s">
        <v>195</v>
      </c>
      <c r="F200" s="1">
        <v>21</v>
      </c>
      <c r="G200" s="1">
        <v>11</v>
      </c>
      <c r="H200" s="1" t="s">
        <v>30</v>
      </c>
      <c r="I200" s="1" t="s">
        <v>240</v>
      </c>
      <c r="J200" s="1" t="s">
        <v>243</v>
      </c>
      <c r="K200" s="1" t="s">
        <v>216</v>
      </c>
    </row>
    <row r="201" spans="1:11" x14ac:dyDescent="0.25">
      <c r="A201" s="1" t="s">
        <v>215</v>
      </c>
      <c r="B201" s="1">
        <v>10</v>
      </c>
      <c r="C201" s="1" t="s">
        <v>21</v>
      </c>
      <c r="D201" s="1">
        <v>2</v>
      </c>
      <c r="E201" s="1" t="s">
        <v>195</v>
      </c>
      <c r="F201" s="1">
        <v>21</v>
      </c>
      <c r="G201" s="1">
        <v>13</v>
      </c>
      <c r="H201" s="1" t="s">
        <v>30</v>
      </c>
      <c r="I201" s="1" t="s">
        <v>240</v>
      </c>
      <c r="J201" s="1" t="s">
        <v>243</v>
      </c>
      <c r="K201" s="1" t="s">
        <v>216</v>
      </c>
    </row>
    <row r="202" spans="1:11" x14ac:dyDescent="0.25">
      <c r="A202" s="1" t="s">
        <v>215</v>
      </c>
      <c r="B202" s="1">
        <v>12</v>
      </c>
      <c r="C202" s="1" t="s">
        <v>24</v>
      </c>
      <c r="D202" s="1">
        <v>1</v>
      </c>
      <c r="E202" s="1" t="s">
        <v>195</v>
      </c>
      <c r="F202" s="1">
        <v>21</v>
      </c>
      <c r="G202" s="1">
        <v>13</v>
      </c>
      <c r="H202" s="1" t="s">
        <v>30</v>
      </c>
      <c r="I202" s="1" t="s">
        <v>245</v>
      </c>
      <c r="J202" s="1" t="s">
        <v>248</v>
      </c>
      <c r="K202" s="1" t="s">
        <v>216</v>
      </c>
    </row>
    <row r="203" spans="1:11" x14ac:dyDescent="0.25">
      <c r="A203" s="1" t="s">
        <v>215</v>
      </c>
      <c r="B203" s="1">
        <v>13</v>
      </c>
      <c r="C203" s="1" t="s">
        <v>24</v>
      </c>
      <c r="D203" s="1">
        <v>2</v>
      </c>
      <c r="E203" s="1" t="s">
        <v>195</v>
      </c>
      <c r="F203" s="1">
        <v>20</v>
      </c>
      <c r="G203" s="1">
        <v>20</v>
      </c>
      <c r="H203" s="1" t="s">
        <v>30</v>
      </c>
      <c r="I203" s="1" t="s">
        <v>245</v>
      </c>
      <c r="J203" s="1" t="s">
        <v>248</v>
      </c>
      <c r="K203" s="1" t="s">
        <v>216</v>
      </c>
    </row>
    <row r="204" spans="1:11" x14ac:dyDescent="0.25">
      <c r="A204" s="1" t="s">
        <v>215</v>
      </c>
      <c r="B204" s="1">
        <v>15</v>
      </c>
      <c r="C204" s="1" t="s">
        <v>27</v>
      </c>
      <c r="D204" s="1">
        <v>1</v>
      </c>
      <c r="E204" s="1" t="s">
        <v>195</v>
      </c>
      <c r="F204" s="1">
        <v>21</v>
      </c>
      <c r="G204" s="1">
        <v>8</v>
      </c>
      <c r="H204" s="1" t="s">
        <v>30</v>
      </c>
      <c r="I204" s="1" t="s">
        <v>250</v>
      </c>
      <c r="J204" s="1" t="s">
        <v>253</v>
      </c>
      <c r="K204" s="1" t="s">
        <v>216</v>
      </c>
    </row>
    <row r="205" spans="1:11" x14ac:dyDescent="0.25">
      <c r="A205" s="1" t="s">
        <v>215</v>
      </c>
      <c r="B205" s="1">
        <v>16</v>
      </c>
      <c r="C205" s="1" t="s">
        <v>27</v>
      </c>
      <c r="D205" s="1">
        <v>2</v>
      </c>
      <c r="E205" s="1" t="s">
        <v>195</v>
      </c>
      <c r="F205" s="1">
        <v>21</v>
      </c>
      <c r="G205" s="1">
        <v>11</v>
      </c>
      <c r="H205" s="1" t="s">
        <v>30</v>
      </c>
      <c r="I205" s="1" t="s">
        <v>250</v>
      </c>
      <c r="J205" s="1" t="s">
        <v>253</v>
      </c>
      <c r="K205" s="1" t="s">
        <v>216</v>
      </c>
    </row>
    <row r="206" spans="1:11" x14ac:dyDescent="0.25">
      <c r="A206" s="1" t="s">
        <v>215</v>
      </c>
      <c r="B206" s="1">
        <v>21</v>
      </c>
      <c r="C206" s="1" t="s">
        <v>12</v>
      </c>
      <c r="D206" s="1">
        <v>1</v>
      </c>
      <c r="E206" s="1" t="s">
        <v>156</v>
      </c>
      <c r="F206" s="1">
        <v>21</v>
      </c>
      <c r="G206" s="1">
        <v>14</v>
      </c>
      <c r="H206" s="1" t="s">
        <v>155</v>
      </c>
      <c r="I206" s="1" t="s">
        <v>255</v>
      </c>
      <c r="J206" s="1" t="s">
        <v>257</v>
      </c>
      <c r="K206" s="1" t="s">
        <v>216</v>
      </c>
    </row>
    <row r="207" spans="1:11" x14ac:dyDescent="0.25">
      <c r="A207" s="1" t="s">
        <v>215</v>
      </c>
      <c r="B207" s="1">
        <v>22</v>
      </c>
      <c r="C207" s="1" t="s">
        <v>12</v>
      </c>
      <c r="D207" s="1">
        <v>2</v>
      </c>
      <c r="E207" s="1" t="s">
        <v>156</v>
      </c>
      <c r="F207" s="1">
        <v>19</v>
      </c>
      <c r="G207" s="1">
        <v>13</v>
      </c>
      <c r="H207" s="1" t="s">
        <v>155</v>
      </c>
      <c r="I207" s="1" t="s">
        <v>255</v>
      </c>
      <c r="J207" s="1" t="s">
        <v>257</v>
      </c>
      <c r="K207" s="1" t="s">
        <v>216</v>
      </c>
    </row>
    <row r="208" spans="1:11" x14ac:dyDescent="0.25">
      <c r="A208" s="1" t="s">
        <v>215</v>
      </c>
      <c r="B208" s="1">
        <v>24</v>
      </c>
      <c r="C208" s="1" t="s">
        <v>18</v>
      </c>
      <c r="D208" s="1">
        <v>1</v>
      </c>
      <c r="E208" s="1" t="s">
        <v>156</v>
      </c>
      <c r="F208" s="1">
        <v>21</v>
      </c>
      <c r="G208" s="1">
        <v>15</v>
      </c>
      <c r="H208" s="1" t="s">
        <v>155</v>
      </c>
      <c r="I208" s="1" t="s">
        <v>258</v>
      </c>
      <c r="J208" s="1" t="s">
        <v>260</v>
      </c>
      <c r="K208" s="1" t="s">
        <v>216</v>
      </c>
    </row>
    <row r="209" spans="1:11" x14ac:dyDescent="0.25">
      <c r="A209" s="1" t="s">
        <v>215</v>
      </c>
      <c r="B209" s="1">
        <v>25</v>
      </c>
      <c r="C209" s="1" t="s">
        <v>18</v>
      </c>
      <c r="D209" s="1">
        <v>2</v>
      </c>
      <c r="E209" s="1" t="s">
        <v>156</v>
      </c>
      <c r="F209" s="1">
        <v>21</v>
      </c>
      <c r="G209" s="1">
        <v>15</v>
      </c>
      <c r="H209" s="1" t="s">
        <v>155</v>
      </c>
      <c r="I209" s="1" t="s">
        <v>258</v>
      </c>
      <c r="J209" s="1" t="s">
        <v>260</v>
      </c>
      <c r="K209" s="1" t="s">
        <v>216</v>
      </c>
    </row>
    <row r="210" spans="1:11" x14ac:dyDescent="0.25">
      <c r="A210" s="1" t="s">
        <v>215</v>
      </c>
      <c r="B210" s="1">
        <v>27</v>
      </c>
      <c r="C210" s="1" t="s">
        <v>21</v>
      </c>
      <c r="D210" s="1">
        <v>1</v>
      </c>
      <c r="E210" s="1" t="s">
        <v>156</v>
      </c>
      <c r="F210" s="1">
        <v>21</v>
      </c>
      <c r="G210" s="1">
        <v>17</v>
      </c>
      <c r="H210" s="1" t="s">
        <v>155</v>
      </c>
      <c r="I210" s="1" t="s">
        <v>261</v>
      </c>
      <c r="J210" s="1" t="s">
        <v>263</v>
      </c>
      <c r="K210" s="1" t="s">
        <v>216</v>
      </c>
    </row>
    <row r="211" spans="1:11" x14ac:dyDescent="0.25">
      <c r="A211" s="1" t="s">
        <v>215</v>
      </c>
      <c r="B211" s="1">
        <v>28</v>
      </c>
      <c r="C211" s="1" t="s">
        <v>21</v>
      </c>
      <c r="D211" s="1">
        <v>2</v>
      </c>
      <c r="E211" s="1" t="s">
        <v>156</v>
      </c>
      <c r="F211" s="1">
        <v>21</v>
      </c>
      <c r="G211" s="1">
        <v>15</v>
      </c>
      <c r="H211" s="1" t="s">
        <v>155</v>
      </c>
      <c r="I211" s="1" t="s">
        <v>261</v>
      </c>
      <c r="J211" s="1" t="s">
        <v>263</v>
      </c>
      <c r="K211" s="1" t="s">
        <v>216</v>
      </c>
    </row>
    <row r="212" spans="1:11" x14ac:dyDescent="0.25">
      <c r="A212" s="1" t="s">
        <v>215</v>
      </c>
      <c r="B212" s="1">
        <v>30</v>
      </c>
      <c r="C212" s="1" t="s">
        <v>24</v>
      </c>
      <c r="D212" s="1">
        <v>1</v>
      </c>
      <c r="E212" s="1" t="s">
        <v>156</v>
      </c>
      <c r="F212" s="1">
        <v>21</v>
      </c>
      <c r="G212" s="1">
        <v>12</v>
      </c>
      <c r="H212" s="1" t="s">
        <v>155</v>
      </c>
      <c r="I212" s="1" t="s">
        <v>264</v>
      </c>
      <c r="J212" s="1" t="s">
        <v>266</v>
      </c>
      <c r="K212" s="1" t="s">
        <v>216</v>
      </c>
    </row>
    <row r="213" spans="1:11" x14ac:dyDescent="0.25">
      <c r="A213" s="1" t="s">
        <v>215</v>
      </c>
      <c r="B213" s="1">
        <v>31</v>
      </c>
      <c r="C213" s="1" t="s">
        <v>24</v>
      </c>
      <c r="D213" s="1">
        <v>2</v>
      </c>
      <c r="E213" s="1" t="s">
        <v>156</v>
      </c>
      <c r="F213" s="1">
        <v>24</v>
      </c>
      <c r="G213" s="1">
        <v>25</v>
      </c>
      <c r="H213" s="1" t="s">
        <v>155</v>
      </c>
      <c r="I213" s="1" t="s">
        <v>264</v>
      </c>
      <c r="J213" s="1" t="s">
        <v>266</v>
      </c>
      <c r="K213" s="1" t="s">
        <v>216</v>
      </c>
    </row>
    <row r="214" spans="1:11" x14ac:dyDescent="0.25">
      <c r="A214" s="1" t="s">
        <v>215</v>
      </c>
      <c r="B214" s="1">
        <v>33</v>
      </c>
      <c r="C214" s="1" t="s">
        <v>27</v>
      </c>
      <c r="D214" s="1">
        <v>1</v>
      </c>
      <c r="E214" s="1" t="s">
        <v>156</v>
      </c>
      <c r="F214" s="1">
        <v>21</v>
      </c>
      <c r="G214" s="1">
        <v>12</v>
      </c>
      <c r="H214" s="1" t="s">
        <v>155</v>
      </c>
      <c r="I214" s="1" t="s">
        <v>267</v>
      </c>
      <c r="J214" s="1" t="s">
        <v>268</v>
      </c>
      <c r="K214" s="1" t="s">
        <v>216</v>
      </c>
    </row>
    <row r="215" spans="1:11" x14ac:dyDescent="0.25">
      <c r="A215" s="1" t="s">
        <v>215</v>
      </c>
      <c r="B215" s="1">
        <v>34</v>
      </c>
      <c r="C215" s="1" t="s">
        <v>27</v>
      </c>
      <c r="D215" s="1">
        <v>2</v>
      </c>
      <c r="E215" s="1" t="s">
        <v>156</v>
      </c>
      <c r="F215" s="1">
        <v>21</v>
      </c>
      <c r="G215" s="1">
        <v>13</v>
      </c>
      <c r="H215" s="1" t="s">
        <v>155</v>
      </c>
      <c r="I215" s="1" t="s">
        <v>267</v>
      </c>
      <c r="J215" s="1" t="s">
        <v>268</v>
      </c>
      <c r="K215" s="1" t="s">
        <v>216</v>
      </c>
    </row>
    <row r="216" spans="1:11" x14ac:dyDescent="0.25">
      <c r="A216" s="1" t="s">
        <v>215</v>
      </c>
      <c r="B216" s="1">
        <v>39</v>
      </c>
      <c r="C216" s="1" t="s">
        <v>12</v>
      </c>
      <c r="D216" s="1">
        <v>1</v>
      </c>
      <c r="E216" s="1" t="s">
        <v>194</v>
      </c>
      <c r="F216" s="1">
        <v>0</v>
      </c>
      <c r="G216" s="1">
        <v>1</v>
      </c>
      <c r="H216" s="1" t="s">
        <v>146</v>
      </c>
      <c r="I216" s="1" t="s">
        <v>270</v>
      </c>
      <c r="J216" s="1" t="s">
        <v>234</v>
      </c>
      <c r="K216" s="1" t="s">
        <v>216</v>
      </c>
    </row>
    <row r="217" spans="1:11" x14ac:dyDescent="0.25">
      <c r="A217" s="1" t="s">
        <v>215</v>
      </c>
      <c r="B217" s="1">
        <v>40</v>
      </c>
      <c r="C217" s="1" t="s">
        <v>12</v>
      </c>
      <c r="D217" s="1">
        <v>2</v>
      </c>
      <c r="E217" s="1" t="s">
        <v>194</v>
      </c>
      <c r="F217" s="1">
        <v>0</v>
      </c>
      <c r="G217" s="1">
        <v>1</v>
      </c>
      <c r="H217" s="1" t="s">
        <v>146</v>
      </c>
      <c r="I217" s="1" t="s">
        <v>270</v>
      </c>
      <c r="J217" s="1" t="s">
        <v>234</v>
      </c>
      <c r="K217" s="1" t="s">
        <v>216</v>
      </c>
    </row>
    <row r="218" spans="1:11" x14ac:dyDescent="0.25">
      <c r="A218" s="1" t="s">
        <v>215</v>
      </c>
      <c r="B218" s="1">
        <v>42</v>
      </c>
      <c r="C218" s="1" t="s">
        <v>18</v>
      </c>
      <c r="D218" s="1">
        <v>1</v>
      </c>
      <c r="E218" s="1" t="s">
        <v>194</v>
      </c>
      <c r="F218" s="1">
        <v>0</v>
      </c>
      <c r="G218" s="1">
        <v>1</v>
      </c>
      <c r="H218" s="1" t="s">
        <v>146</v>
      </c>
      <c r="I218" s="1" t="s">
        <v>273</v>
      </c>
      <c r="J218" s="1" t="s">
        <v>239</v>
      </c>
      <c r="K218" s="1" t="s">
        <v>216</v>
      </c>
    </row>
    <row r="219" spans="1:11" x14ac:dyDescent="0.25">
      <c r="A219" s="1" t="s">
        <v>215</v>
      </c>
      <c r="B219" s="1">
        <v>43</v>
      </c>
      <c r="C219" s="1" t="s">
        <v>18</v>
      </c>
      <c r="D219" s="1">
        <v>2</v>
      </c>
      <c r="E219" s="1" t="s">
        <v>194</v>
      </c>
      <c r="F219" s="1">
        <v>0</v>
      </c>
      <c r="G219" s="1">
        <v>1</v>
      </c>
      <c r="H219" s="1" t="s">
        <v>146</v>
      </c>
      <c r="I219" s="1" t="s">
        <v>273</v>
      </c>
      <c r="J219" s="1" t="s">
        <v>239</v>
      </c>
      <c r="K219" s="1" t="s">
        <v>216</v>
      </c>
    </row>
    <row r="220" spans="1:11" x14ac:dyDescent="0.25">
      <c r="A220" s="1" t="s">
        <v>215</v>
      </c>
      <c r="B220" s="1">
        <v>45</v>
      </c>
      <c r="C220" s="1" t="s">
        <v>21</v>
      </c>
      <c r="D220" s="1">
        <v>1</v>
      </c>
      <c r="E220" s="1" t="s">
        <v>194</v>
      </c>
      <c r="F220" s="1">
        <v>0</v>
      </c>
      <c r="G220" s="1">
        <v>1</v>
      </c>
      <c r="H220" s="1" t="s">
        <v>146</v>
      </c>
      <c r="I220" s="1" t="s">
        <v>276</v>
      </c>
      <c r="J220" s="1" t="s">
        <v>244</v>
      </c>
      <c r="K220" s="1" t="s">
        <v>216</v>
      </c>
    </row>
    <row r="221" spans="1:11" x14ac:dyDescent="0.25">
      <c r="A221" s="1" t="s">
        <v>215</v>
      </c>
      <c r="B221" s="1">
        <v>46</v>
      </c>
      <c r="C221" s="1" t="s">
        <v>21</v>
      </c>
      <c r="D221" s="1">
        <v>2</v>
      </c>
      <c r="E221" s="1" t="s">
        <v>194</v>
      </c>
      <c r="F221" s="1">
        <v>0</v>
      </c>
      <c r="G221" s="1">
        <v>1</v>
      </c>
      <c r="H221" s="1" t="s">
        <v>146</v>
      </c>
      <c r="I221" s="1" t="s">
        <v>276</v>
      </c>
      <c r="J221" s="1" t="s">
        <v>244</v>
      </c>
      <c r="K221" s="1" t="s">
        <v>216</v>
      </c>
    </row>
    <row r="222" spans="1:11" x14ac:dyDescent="0.25">
      <c r="A222" s="1" t="s">
        <v>215</v>
      </c>
      <c r="B222" s="1">
        <v>57</v>
      </c>
      <c r="C222" s="1" t="s">
        <v>12</v>
      </c>
      <c r="D222" s="1">
        <v>1</v>
      </c>
      <c r="E222" s="1" t="s">
        <v>147</v>
      </c>
      <c r="F222" s="1">
        <v>21</v>
      </c>
      <c r="G222" s="1">
        <v>23</v>
      </c>
      <c r="H222" s="1" t="s">
        <v>168</v>
      </c>
      <c r="I222" s="1" t="s">
        <v>272</v>
      </c>
      <c r="J222" s="1" t="s">
        <v>232</v>
      </c>
      <c r="K222" s="1" t="s">
        <v>216</v>
      </c>
    </row>
    <row r="223" spans="1:11" x14ac:dyDescent="0.25">
      <c r="A223" s="1" t="s">
        <v>215</v>
      </c>
      <c r="B223" s="1">
        <v>58</v>
      </c>
      <c r="C223" s="1" t="s">
        <v>12</v>
      </c>
      <c r="D223" s="1">
        <v>2</v>
      </c>
      <c r="E223" s="1" t="s">
        <v>147</v>
      </c>
      <c r="F223" s="1">
        <v>21</v>
      </c>
      <c r="G223" s="1">
        <v>15</v>
      </c>
      <c r="H223" s="1" t="s">
        <v>168</v>
      </c>
      <c r="I223" s="1" t="s">
        <v>272</v>
      </c>
      <c r="J223" s="1" t="s">
        <v>232</v>
      </c>
      <c r="K223" s="1" t="s">
        <v>216</v>
      </c>
    </row>
    <row r="224" spans="1:11" x14ac:dyDescent="0.25">
      <c r="A224" s="1" t="s">
        <v>215</v>
      </c>
      <c r="B224" s="1">
        <v>59</v>
      </c>
      <c r="C224" s="1" t="s">
        <v>12</v>
      </c>
      <c r="D224" s="1">
        <v>3</v>
      </c>
      <c r="E224" s="1" t="s">
        <v>147</v>
      </c>
      <c r="F224" s="1">
        <v>21</v>
      </c>
      <c r="G224" s="1">
        <v>16</v>
      </c>
      <c r="H224" s="1" t="s">
        <v>168</v>
      </c>
      <c r="I224" s="1" t="s">
        <v>272</v>
      </c>
      <c r="J224" s="1" t="s">
        <v>232</v>
      </c>
      <c r="K224" s="1" t="s">
        <v>216</v>
      </c>
    </row>
    <row r="225" spans="1:11" x14ac:dyDescent="0.25">
      <c r="A225" s="1" t="s">
        <v>215</v>
      </c>
      <c r="B225" s="1">
        <v>60</v>
      </c>
      <c r="C225" s="1" t="s">
        <v>18</v>
      </c>
      <c r="D225" s="1">
        <v>1</v>
      </c>
      <c r="E225" s="1" t="s">
        <v>147</v>
      </c>
      <c r="F225" s="1">
        <v>17</v>
      </c>
      <c r="G225" s="1">
        <v>21</v>
      </c>
      <c r="H225" s="1" t="s">
        <v>168</v>
      </c>
      <c r="I225" s="1" t="s">
        <v>275</v>
      </c>
      <c r="J225" s="1" t="s">
        <v>237</v>
      </c>
      <c r="K225" s="1" t="s">
        <v>216</v>
      </c>
    </row>
    <row r="226" spans="1:11" x14ac:dyDescent="0.25">
      <c r="A226" s="1" t="s">
        <v>215</v>
      </c>
      <c r="B226" s="1">
        <v>61</v>
      </c>
      <c r="C226" s="1" t="s">
        <v>18</v>
      </c>
      <c r="D226" s="1">
        <v>2</v>
      </c>
      <c r="E226" s="1" t="s">
        <v>147</v>
      </c>
      <c r="F226" s="1">
        <v>21</v>
      </c>
      <c r="G226" s="1">
        <v>18</v>
      </c>
      <c r="H226" s="1" t="s">
        <v>168</v>
      </c>
      <c r="I226" s="1" t="s">
        <v>275</v>
      </c>
      <c r="J226" s="1" t="s">
        <v>237</v>
      </c>
      <c r="K226" s="1" t="s">
        <v>216</v>
      </c>
    </row>
    <row r="227" spans="1:11" x14ac:dyDescent="0.25">
      <c r="A227" s="1" t="s">
        <v>215</v>
      </c>
      <c r="B227" s="1">
        <v>62</v>
      </c>
      <c r="C227" s="1" t="s">
        <v>18</v>
      </c>
      <c r="D227" s="1">
        <v>3</v>
      </c>
      <c r="E227" s="1" t="s">
        <v>147</v>
      </c>
      <c r="F227" s="1">
        <v>16</v>
      </c>
      <c r="G227" s="1">
        <v>21</v>
      </c>
      <c r="H227" s="1" t="s">
        <v>168</v>
      </c>
      <c r="I227" s="1" t="s">
        <v>275</v>
      </c>
      <c r="J227" s="1" t="s">
        <v>237</v>
      </c>
      <c r="K227" s="1" t="s">
        <v>216</v>
      </c>
    </row>
    <row r="228" spans="1:11" x14ac:dyDescent="0.25">
      <c r="A228" s="1" t="s">
        <v>215</v>
      </c>
      <c r="B228" s="1">
        <v>63</v>
      </c>
      <c r="C228" s="1" t="s">
        <v>21</v>
      </c>
      <c r="D228" s="1">
        <v>1</v>
      </c>
      <c r="E228" s="1" t="s">
        <v>147</v>
      </c>
      <c r="F228" s="1">
        <v>21</v>
      </c>
      <c r="G228" s="1">
        <v>19</v>
      </c>
      <c r="H228" s="1" t="s">
        <v>168</v>
      </c>
      <c r="I228" s="1" t="s">
        <v>278</v>
      </c>
      <c r="J228" s="1" t="s">
        <v>242</v>
      </c>
      <c r="K228" s="1" t="s">
        <v>216</v>
      </c>
    </row>
    <row r="229" spans="1:11" x14ac:dyDescent="0.25">
      <c r="A229" s="1" t="s">
        <v>215</v>
      </c>
      <c r="B229" s="1">
        <v>64</v>
      </c>
      <c r="C229" s="1" t="s">
        <v>21</v>
      </c>
      <c r="D229" s="1">
        <v>2</v>
      </c>
      <c r="E229" s="1" t="s">
        <v>147</v>
      </c>
      <c r="F229" s="1">
        <v>16</v>
      </c>
      <c r="G229" s="1">
        <v>21</v>
      </c>
      <c r="H229" s="1" t="s">
        <v>168</v>
      </c>
      <c r="I229" s="1" t="s">
        <v>278</v>
      </c>
      <c r="J229" s="1" t="s">
        <v>242</v>
      </c>
      <c r="K229" s="1" t="s">
        <v>216</v>
      </c>
    </row>
    <row r="230" spans="1:11" x14ac:dyDescent="0.25">
      <c r="A230" s="1" t="s">
        <v>215</v>
      </c>
      <c r="B230" s="1">
        <v>65</v>
      </c>
      <c r="C230" s="1" t="s">
        <v>21</v>
      </c>
      <c r="D230" s="1">
        <v>3</v>
      </c>
      <c r="E230" s="1" t="s">
        <v>147</v>
      </c>
      <c r="F230" s="1">
        <v>15</v>
      </c>
      <c r="G230" s="1">
        <v>21</v>
      </c>
      <c r="H230" s="1" t="s">
        <v>168</v>
      </c>
      <c r="I230" s="1" t="s">
        <v>278</v>
      </c>
      <c r="J230" s="1" t="s">
        <v>242</v>
      </c>
      <c r="K230" s="1" t="s">
        <v>216</v>
      </c>
    </row>
    <row r="231" spans="1:11" x14ac:dyDescent="0.25">
      <c r="A231" s="1" t="s">
        <v>215</v>
      </c>
      <c r="B231" s="1">
        <v>66</v>
      </c>
      <c r="C231" s="1" t="s">
        <v>24</v>
      </c>
      <c r="D231" s="1">
        <v>1</v>
      </c>
      <c r="E231" s="1" t="s">
        <v>147</v>
      </c>
      <c r="F231" s="1">
        <v>11</v>
      </c>
      <c r="G231" s="1">
        <v>21</v>
      </c>
      <c r="H231" s="1" t="s">
        <v>168</v>
      </c>
      <c r="I231" s="1" t="s">
        <v>281</v>
      </c>
      <c r="J231" s="1" t="s">
        <v>247</v>
      </c>
      <c r="K231" s="1" t="s">
        <v>216</v>
      </c>
    </row>
    <row r="232" spans="1:11" x14ac:dyDescent="0.25">
      <c r="A232" s="1" t="s">
        <v>215</v>
      </c>
      <c r="B232" s="1">
        <v>67</v>
      </c>
      <c r="C232" s="1" t="s">
        <v>24</v>
      </c>
      <c r="D232" s="1">
        <v>2</v>
      </c>
      <c r="E232" s="1" t="s">
        <v>147</v>
      </c>
      <c r="F232" s="1">
        <v>18</v>
      </c>
      <c r="G232" s="1">
        <v>21</v>
      </c>
      <c r="H232" s="1" t="s">
        <v>168</v>
      </c>
      <c r="I232" s="1" t="s">
        <v>281</v>
      </c>
      <c r="J232" s="1" t="s">
        <v>247</v>
      </c>
      <c r="K232" s="1" t="s">
        <v>216</v>
      </c>
    </row>
    <row r="233" spans="1:11" x14ac:dyDescent="0.25">
      <c r="A233" s="1" t="s">
        <v>215</v>
      </c>
      <c r="B233" s="1">
        <v>69</v>
      </c>
      <c r="C233" s="1" t="s">
        <v>27</v>
      </c>
      <c r="D233" s="1">
        <v>1</v>
      </c>
      <c r="E233" s="1" t="s">
        <v>147</v>
      </c>
      <c r="F233" s="1">
        <v>23</v>
      </c>
      <c r="G233" s="1">
        <v>25</v>
      </c>
      <c r="H233" s="1" t="s">
        <v>168</v>
      </c>
      <c r="I233" s="1" t="s">
        <v>284</v>
      </c>
      <c r="J233" s="1" t="s">
        <v>252</v>
      </c>
      <c r="K233" s="1" t="s">
        <v>216</v>
      </c>
    </row>
    <row r="234" spans="1:11" x14ac:dyDescent="0.25">
      <c r="A234" s="1" t="s">
        <v>215</v>
      </c>
      <c r="B234" s="1">
        <v>70</v>
      </c>
      <c r="C234" s="1" t="s">
        <v>27</v>
      </c>
      <c r="D234" s="1">
        <v>2</v>
      </c>
      <c r="E234" s="1" t="s">
        <v>147</v>
      </c>
      <c r="F234" s="1">
        <v>15</v>
      </c>
      <c r="G234" s="1">
        <v>21</v>
      </c>
      <c r="H234" s="1" t="s">
        <v>168</v>
      </c>
      <c r="I234" s="1" t="s">
        <v>284</v>
      </c>
      <c r="J234" s="1" t="s">
        <v>252</v>
      </c>
      <c r="K234" s="1" t="s">
        <v>216</v>
      </c>
    </row>
    <row r="235" spans="1:11" x14ac:dyDescent="0.25">
      <c r="A235" s="1" t="s">
        <v>215</v>
      </c>
      <c r="B235" s="1">
        <v>75</v>
      </c>
      <c r="C235" s="1" t="s">
        <v>12</v>
      </c>
      <c r="D235" s="1">
        <v>1</v>
      </c>
      <c r="E235" s="1" t="s">
        <v>31</v>
      </c>
      <c r="F235" s="1">
        <v>1</v>
      </c>
      <c r="G235" s="1">
        <v>0</v>
      </c>
      <c r="H235" s="1" t="s">
        <v>96</v>
      </c>
      <c r="I235" s="1" t="s">
        <v>290</v>
      </c>
      <c r="J235" s="1" t="s">
        <v>231</v>
      </c>
      <c r="K235" s="1" t="s">
        <v>216</v>
      </c>
    </row>
    <row r="236" spans="1:11" x14ac:dyDescent="0.25">
      <c r="A236" s="1" t="s">
        <v>215</v>
      </c>
      <c r="B236" s="1">
        <v>147</v>
      </c>
      <c r="C236" s="1" t="s">
        <v>12</v>
      </c>
      <c r="D236" s="1">
        <v>1</v>
      </c>
      <c r="E236" s="1" t="s">
        <v>82</v>
      </c>
      <c r="F236" s="1">
        <v>18</v>
      </c>
      <c r="G236" s="1">
        <v>21</v>
      </c>
      <c r="H236" s="1" t="s">
        <v>134</v>
      </c>
      <c r="I236" s="1" t="s">
        <v>316</v>
      </c>
      <c r="J236" s="1" t="s">
        <v>318</v>
      </c>
      <c r="K236" s="1" t="s">
        <v>221</v>
      </c>
    </row>
    <row r="237" spans="1:11" x14ac:dyDescent="0.25">
      <c r="A237" s="1" t="s">
        <v>215</v>
      </c>
      <c r="B237" s="1">
        <v>148</v>
      </c>
      <c r="C237" s="1" t="s">
        <v>12</v>
      </c>
      <c r="D237" s="1">
        <v>2</v>
      </c>
      <c r="E237" s="1" t="s">
        <v>82</v>
      </c>
      <c r="F237" s="1">
        <v>0</v>
      </c>
      <c r="G237" s="1">
        <v>1</v>
      </c>
      <c r="H237" s="1" t="s">
        <v>134</v>
      </c>
      <c r="I237" s="1" t="s">
        <v>316</v>
      </c>
      <c r="J237" s="1" t="s">
        <v>318</v>
      </c>
      <c r="K237" s="1" t="s">
        <v>221</v>
      </c>
    </row>
    <row r="238" spans="1:11" x14ac:dyDescent="0.25">
      <c r="A238" s="1" t="s">
        <v>215</v>
      </c>
      <c r="B238" s="1">
        <v>150</v>
      </c>
      <c r="C238" s="1" t="s">
        <v>18</v>
      </c>
      <c r="D238" s="1">
        <v>1</v>
      </c>
      <c r="E238" s="1" t="s">
        <v>82</v>
      </c>
      <c r="F238" s="1">
        <v>21</v>
      </c>
      <c r="G238" s="1">
        <v>9</v>
      </c>
      <c r="H238" s="1" t="s">
        <v>134</v>
      </c>
      <c r="I238" s="1" t="s">
        <v>321</v>
      </c>
      <c r="J238" s="1" t="s">
        <v>320</v>
      </c>
      <c r="K238" s="1" t="s">
        <v>221</v>
      </c>
    </row>
    <row r="239" spans="1:11" x14ac:dyDescent="0.25">
      <c r="A239" s="1" t="s">
        <v>215</v>
      </c>
      <c r="B239" s="1">
        <v>151</v>
      </c>
      <c r="C239" s="1" t="s">
        <v>18</v>
      </c>
      <c r="D239" s="1">
        <v>2</v>
      </c>
      <c r="E239" s="1" t="s">
        <v>82</v>
      </c>
      <c r="F239" s="1">
        <v>1</v>
      </c>
      <c r="G239" s="1">
        <v>0</v>
      </c>
      <c r="H239" s="1" t="s">
        <v>134</v>
      </c>
      <c r="I239" s="1" t="s">
        <v>321</v>
      </c>
      <c r="J239" s="1" t="s">
        <v>320</v>
      </c>
      <c r="K239" s="1" t="s">
        <v>221</v>
      </c>
    </row>
    <row r="240" spans="1:11" x14ac:dyDescent="0.25">
      <c r="A240" s="1" t="s">
        <v>215</v>
      </c>
      <c r="B240" s="1">
        <v>153</v>
      </c>
      <c r="C240" s="1" t="s">
        <v>21</v>
      </c>
      <c r="D240" s="1">
        <v>1</v>
      </c>
      <c r="E240" s="1" t="s">
        <v>82</v>
      </c>
      <c r="F240" s="1">
        <v>21</v>
      </c>
      <c r="G240" s="1">
        <v>23</v>
      </c>
      <c r="H240" s="1" t="s">
        <v>134</v>
      </c>
      <c r="I240" s="1" t="s">
        <v>324</v>
      </c>
      <c r="J240" s="1" t="s">
        <v>326</v>
      </c>
      <c r="K240" s="1" t="s">
        <v>221</v>
      </c>
    </row>
    <row r="241" spans="1:11" x14ac:dyDescent="0.25">
      <c r="A241" s="1" t="s">
        <v>215</v>
      </c>
      <c r="B241" s="1">
        <v>154</v>
      </c>
      <c r="C241" s="1" t="s">
        <v>21</v>
      </c>
      <c r="D241" s="1">
        <v>2</v>
      </c>
      <c r="E241" s="1" t="s">
        <v>82</v>
      </c>
      <c r="F241" s="1">
        <v>0</v>
      </c>
      <c r="G241" s="1">
        <v>1</v>
      </c>
      <c r="H241" s="1" t="s">
        <v>134</v>
      </c>
      <c r="I241" s="1" t="s">
        <v>324</v>
      </c>
      <c r="J241" s="1" t="s">
        <v>326</v>
      </c>
      <c r="K241" s="1" t="s">
        <v>221</v>
      </c>
    </row>
    <row r="242" spans="1:11" x14ac:dyDescent="0.25">
      <c r="A242" s="1" t="s">
        <v>215</v>
      </c>
      <c r="B242" s="1">
        <v>156</v>
      </c>
      <c r="C242" s="1" t="s">
        <v>24</v>
      </c>
      <c r="D242" s="1">
        <v>1</v>
      </c>
      <c r="E242" s="1" t="s">
        <v>82</v>
      </c>
      <c r="F242" s="1">
        <v>21</v>
      </c>
      <c r="G242" s="1">
        <v>6</v>
      </c>
      <c r="H242" s="1" t="s">
        <v>134</v>
      </c>
      <c r="I242" s="1" t="s">
        <v>329</v>
      </c>
      <c r="J242" s="1" t="s">
        <v>328</v>
      </c>
      <c r="K242" s="1" t="s">
        <v>221</v>
      </c>
    </row>
    <row r="243" spans="1:11" x14ac:dyDescent="0.25">
      <c r="A243" s="1" t="s">
        <v>215</v>
      </c>
      <c r="B243" s="1">
        <v>157</v>
      </c>
      <c r="C243" s="1" t="s">
        <v>24</v>
      </c>
      <c r="D243" s="1">
        <v>2</v>
      </c>
      <c r="E243" s="1" t="s">
        <v>82</v>
      </c>
      <c r="F243" s="1">
        <v>1</v>
      </c>
      <c r="G243" s="1">
        <v>0</v>
      </c>
      <c r="H243" s="1" t="s">
        <v>134</v>
      </c>
      <c r="I243" s="1" t="s">
        <v>329</v>
      </c>
      <c r="J243" s="1" t="s">
        <v>328</v>
      </c>
      <c r="K243" s="1" t="s">
        <v>221</v>
      </c>
    </row>
    <row r="244" spans="1:11" x14ac:dyDescent="0.25">
      <c r="A244" s="1" t="s">
        <v>215</v>
      </c>
      <c r="B244" s="1">
        <v>159</v>
      </c>
      <c r="C244" s="1" t="s">
        <v>27</v>
      </c>
      <c r="D244" s="1">
        <v>1</v>
      </c>
      <c r="E244" s="1" t="s">
        <v>82</v>
      </c>
      <c r="F244" s="1">
        <v>1</v>
      </c>
      <c r="G244" s="1">
        <v>0</v>
      </c>
      <c r="H244" s="1" t="s">
        <v>134</v>
      </c>
      <c r="I244" s="1" t="s">
        <v>332</v>
      </c>
      <c r="J244" s="1"/>
      <c r="K244" s="1" t="s">
        <v>221</v>
      </c>
    </row>
    <row r="245" spans="1:11" x14ac:dyDescent="0.25">
      <c r="A245" s="1" t="s">
        <v>215</v>
      </c>
      <c r="B245" s="1">
        <v>160</v>
      </c>
      <c r="C245" s="1" t="s">
        <v>27</v>
      </c>
      <c r="D245" s="1">
        <v>2</v>
      </c>
      <c r="E245" s="1" t="s">
        <v>82</v>
      </c>
      <c r="F245" s="1">
        <v>1</v>
      </c>
      <c r="G245" s="1">
        <v>0</v>
      </c>
      <c r="H245" s="1" t="s">
        <v>134</v>
      </c>
      <c r="I245" s="1" t="s">
        <v>332</v>
      </c>
      <c r="J245" s="1"/>
      <c r="K245" s="1" t="s">
        <v>221</v>
      </c>
    </row>
    <row r="246" spans="1:11" x14ac:dyDescent="0.25">
      <c r="A246" s="1" t="s">
        <v>215</v>
      </c>
      <c r="B246" s="1">
        <v>165</v>
      </c>
      <c r="C246" s="1" t="s">
        <v>12</v>
      </c>
      <c r="D246" s="1">
        <v>1</v>
      </c>
      <c r="E246" s="1" t="s">
        <v>13</v>
      </c>
      <c r="F246" s="1">
        <v>12</v>
      </c>
      <c r="G246" s="1">
        <v>21</v>
      </c>
      <c r="H246" s="1" t="s">
        <v>83</v>
      </c>
      <c r="I246" s="1" t="s">
        <v>335</v>
      </c>
      <c r="J246" s="1" t="s">
        <v>336</v>
      </c>
      <c r="K246" s="1" t="s">
        <v>221</v>
      </c>
    </row>
    <row r="247" spans="1:11" x14ac:dyDescent="0.25">
      <c r="A247" s="1" t="s">
        <v>215</v>
      </c>
      <c r="B247" s="1">
        <v>166</v>
      </c>
      <c r="C247" s="1" t="s">
        <v>12</v>
      </c>
      <c r="D247" s="1">
        <v>2</v>
      </c>
      <c r="E247" s="1" t="s">
        <v>13</v>
      </c>
      <c r="F247" s="1">
        <v>0</v>
      </c>
      <c r="G247" s="1">
        <v>1</v>
      </c>
      <c r="H247" s="1" t="s">
        <v>83</v>
      </c>
      <c r="I247" s="1" t="s">
        <v>335</v>
      </c>
      <c r="J247" s="1" t="s">
        <v>336</v>
      </c>
      <c r="K247" s="1" t="s">
        <v>221</v>
      </c>
    </row>
    <row r="248" spans="1:11" x14ac:dyDescent="0.25">
      <c r="A248" s="1" t="s">
        <v>215</v>
      </c>
      <c r="B248" s="1">
        <v>168</v>
      </c>
      <c r="C248" s="1" t="s">
        <v>18</v>
      </c>
      <c r="D248" s="1">
        <v>1</v>
      </c>
      <c r="E248" s="1" t="s">
        <v>13</v>
      </c>
      <c r="F248" s="1">
        <v>21</v>
      </c>
      <c r="G248" s="1">
        <v>14</v>
      </c>
      <c r="H248" s="1" t="s">
        <v>83</v>
      </c>
      <c r="I248" s="1" t="s">
        <v>337</v>
      </c>
      <c r="J248" s="1" t="s">
        <v>338</v>
      </c>
      <c r="K248" s="1" t="s">
        <v>221</v>
      </c>
    </row>
    <row r="249" spans="1:11" x14ac:dyDescent="0.25">
      <c r="A249" s="1" t="s">
        <v>215</v>
      </c>
      <c r="B249" s="1">
        <v>169</v>
      </c>
      <c r="C249" s="1" t="s">
        <v>18</v>
      </c>
      <c r="D249" s="1">
        <v>2</v>
      </c>
      <c r="E249" s="1" t="s">
        <v>13</v>
      </c>
      <c r="F249" s="1">
        <v>1</v>
      </c>
      <c r="G249" s="1">
        <v>0</v>
      </c>
      <c r="H249" s="1" t="s">
        <v>83</v>
      </c>
      <c r="I249" s="1" t="s">
        <v>337</v>
      </c>
      <c r="J249" s="1" t="s">
        <v>338</v>
      </c>
      <c r="K249" s="1" t="s">
        <v>221</v>
      </c>
    </row>
    <row r="250" spans="1:11" x14ac:dyDescent="0.25">
      <c r="A250" s="1" t="s">
        <v>215</v>
      </c>
      <c r="B250" s="1">
        <v>171</v>
      </c>
      <c r="C250" s="1" t="s">
        <v>21</v>
      </c>
      <c r="D250" s="1">
        <v>1</v>
      </c>
      <c r="E250" s="1" t="s">
        <v>13</v>
      </c>
      <c r="F250" s="1">
        <v>21</v>
      </c>
      <c r="G250" s="1">
        <v>7</v>
      </c>
      <c r="H250" s="1" t="s">
        <v>83</v>
      </c>
      <c r="I250" s="1" t="s">
        <v>339</v>
      </c>
      <c r="J250" s="1" t="s">
        <v>340</v>
      </c>
      <c r="K250" s="1" t="s">
        <v>221</v>
      </c>
    </row>
    <row r="251" spans="1:11" x14ac:dyDescent="0.25">
      <c r="A251" s="1" t="s">
        <v>215</v>
      </c>
      <c r="B251" s="1">
        <v>172</v>
      </c>
      <c r="C251" s="1" t="s">
        <v>21</v>
      </c>
      <c r="D251" s="1">
        <v>2</v>
      </c>
      <c r="E251" s="1" t="s">
        <v>13</v>
      </c>
      <c r="F251" s="1">
        <v>1</v>
      </c>
      <c r="G251" s="1">
        <v>0</v>
      </c>
      <c r="H251" s="1" t="s">
        <v>83</v>
      </c>
      <c r="I251" s="1" t="s">
        <v>339</v>
      </c>
      <c r="J251" s="1" t="s">
        <v>340</v>
      </c>
      <c r="K251" s="1" t="s">
        <v>221</v>
      </c>
    </row>
    <row r="252" spans="1:11" x14ac:dyDescent="0.25">
      <c r="A252" s="1" t="s">
        <v>215</v>
      </c>
      <c r="B252" s="1">
        <v>174</v>
      </c>
      <c r="C252" s="1" t="s">
        <v>24</v>
      </c>
      <c r="D252" s="1">
        <v>1</v>
      </c>
      <c r="E252" s="1" t="s">
        <v>13</v>
      </c>
      <c r="F252" s="1">
        <v>21</v>
      </c>
      <c r="G252" s="1">
        <v>10</v>
      </c>
      <c r="H252" s="1" t="s">
        <v>83</v>
      </c>
      <c r="I252" s="1" t="s">
        <v>341</v>
      </c>
      <c r="J252" s="1" t="s">
        <v>342</v>
      </c>
      <c r="K252" s="1" t="s">
        <v>221</v>
      </c>
    </row>
    <row r="253" spans="1:11" x14ac:dyDescent="0.25">
      <c r="A253" s="1" t="s">
        <v>215</v>
      </c>
      <c r="B253" s="1">
        <v>175</v>
      </c>
      <c r="C253" s="1" t="s">
        <v>24</v>
      </c>
      <c r="D253" s="1">
        <v>2</v>
      </c>
      <c r="E253" s="1" t="s">
        <v>13</v>
      </c>
      <c r="F253" s="1">
        <v>1</v>
      </c>
      <c r="G253" s="1">
        <v>0</v>
      </c>
      <c r="H253" s="1" t="s">
        <v>83</v>
      </c>
      <c r="I253" s="1" t="s">
        <v>341</v>
      </c>
      <c r="J253" s="1" t="s">
        <v>342</v>
      </c>
      <c r="K253" s="1" t="s">
        <v>221</v>
      </c>
    </row>
    <row r="254" spans="1:11" x14ac:dyDescent="0.25">
      <c r="A254" s="1" t="s">
        <v>215</v>
      </c>
      <c r="B254" s="1">
        <v>177</v>
      </c>
      <c r="C254" s="1" t="s">
        <v>27</v>
      </c>
      <c r="D254" s="1">
        <v>1</v>
      </c>
      <c r="E254" s="1" t="s">
        <v>13</v>
      </c>
      <c r="F254" s="1">
        <v>15</v>
      </c>
      <c r="G254" s="1">
        <v>21</v>
      </c>
      <c r="H254" s="1" t="s">
        <v>83</v>
      </c>
      <c r="I254" s="1" t="s">
        <v>343</v>
      </c>
      <c r="J254" s="1" t="s">
        <v>344</v>
      </c>
      <c r="K254" s="1" t="s">
        <v>221</v>
      </c>
    </row>
    <row r="255" spans="1:11" x14ac:dyDescent="0.25">
      <c r="A255" s="1" t="s">
        <v>215</v>
      </c>
      <c r="B255" s="1">
        <v>178</v>
      </c>
      <c r="C255" s="1" t="s">
        <v>27</v>
      </c>
      <c r="D255" s="1">
        <v>2</v>
      </c>
      <c r="E255" s="1" t="s">
        <v>13</v>
      </c>
      <c r="F255" s="1">
        <v>0</v>
      </c>
      <c r="G255" s="1">
        <v>1</v>
      </c>
      <c r="H255" s="1" t="s">
        <v>83</v>
      </c>
      <c r="I255" s="1" t="s">
        <v>343</v>
      </c>
      <c r="J255" s="1" t="s">
        <v>344</v>
      </c>
      <c r="K255" s="1" t="s">
        <v>221</v>
      </c>
    </row>
    <row r="256" spans="1:11" x14ac:dyDescent="0.25">
      <c r="A256" s="1" t="s">
        <v>215</v>
      </c>
      <c r="B256" s="1">
        <v>183</v>
      </c>
      <c r="C256" s="1" t="s">
        <v>12</v>
      </c>
      <c r="D256" s="1">
        <v>1</v>
      </c>
      <c r="E256" s="1" t="s">
        <v>44</v>
      </c>
      <c r="F256" s="1">
        <v>1</v>
      </c>
      <c r="G256" s="1">
        <v>0</v>
      </c>
      <c r="H256" s="1" t="s">
        <v>43</v>
      </c>
      <c r="I256" s="1" t="s">
        <v>317</v>
      </c>
      <c r="J256" s="1" t="s">
        <v>345</v>
      </c>
      <c r="K256" s="1" t="s">
        <v>221</v>
      </c>
    </row>
    <row r="257" spans="1:11" x14ac:dyDescent="0.25">
      <c r="A257" s="1" t="s">
        <v>215</v>
      </c>
      <c r="B257" s="1">
        <v>184</v>
      </c>
      <c r="C257" s="1" t="s">
        <v>12</v>
      </c>
      <c r="D257" s="1">
        <v>2</v>
      </c>
      <c r="E257" s="1" t="s">
        <v>44</v>
      </c>
      <c r="F257" s="1">
        <v>1</v>
      </c>
      <c r="G257" s="1">
        <v>0</v>
      </c>
      <c r="H257" s="1" t="s">
        <v>43</v>
      </c>
      <c r="I257" s="1" t="s">
        <v>317</v>
      </c>
      <c r="J257" s="1" t="s">
        <v>345</v>
      </c>
      <c r="K257" s="1" t="s">
        <v>221</v>
      </c>
    </row>
    <row r="258" spans="1:11" x14ac:dyDescent="0.25">
      <c r="A258" s="1" t="s">
        <v>215</v>
      </c>
      <c r="B258" s="1">
        <v>186</v>
      </c>
      <c r="C258" s="1" t="s">
        <v>18</v>
      </c>
      <c r="D258" s="1">
        <v>1</v>
      </c>
      <c r="E258" s="1" t="s">
        <v>44</v>
      </c>
      <c r="F258" s="1">
        <v>1</v>
      </c>
      <c r="G258" s="1">
        <v>0</v>
      </c>
      <c r="H258" s="1" t="s">
        <v>43</v>
      </c>
      <c r="I258" s="1" t="s">
        <v>322</v>
      </c>
      <c r="J258" s="1" t="s">
        <v>347</v>
      </c>
      <c r="K258" s="1" t="s">
        <v>221</v>
      </c>
    </row>
    <row r="259" spans="1:11" x14ac:dyDescent="0.25">
      <c r="A259" s="1" t="s">
        <v>215</v>
      </c>
      <c r="B259" s="1">
        <v>187</v>
      </c>
      <c r="C259" s="1" t="s">
        <v>18</v>
      </c>
      <c r="D259" s="1">
        <v>2</v>
      </c>
      <c r="E259" s="1" t="s">
        <v>44</v>
      </c>
      <c r="F259" s="1">
        <v>1</v>
      </c>
      <c r="G259" s="1">
        <v>0</v>
      </c>
      <c r="H259" s="1" t="s">
        <v>43</v>
      </c>
      <c r="I259" s="1" t="s">
        <v>322</v>
      </c>
      <c r="J259" s="1" t="s">
        <v>347</v>
      </c>
      <c r="K259" s="1" t="s">
        <v>221</v>
      </c>
    </row>
    <row r="260" spans="1:11" x14ac:dyDescent="0.25">
      <c r="A260" s="1" t="s">
        <v>215</v>
      </c>
      <c r="B260" s="1">
        <v>189</v>
      </c>
      <c r="C260" s="1" t="s">
        <v>21</v>
      </c>
      <c r="D260" s="1">
        <v>1</v>
      </c>
      <c r="E260" s="1" t="s">
        <v>44</v>
      </c>
      <c r="F260" s="1">
        <v>1</v>
      </c>
      <c r="G260" s="1">
        <v>0</v>
      </c>
      <c r="H260" s="1" t="s">
        <v>43</v>
      </c>
      <c r="I260" s="1" t="s">
        <v>327</v>
      </c>
      <c r="J260" s="1" t="s">
        <v>349</v>
      </c>
      <c r="K260" s="1" t="s">
        <v>221</v>
      </c>
    </row>
    <row r="261" spans="1:11" x14ac:dyDescent="0.25">
      <c r="A261" s="1" t="s">
        <v>215</v>
      </c>
      <c r="B261" s="1">
        <v>190</v>
      </c>
      <c r="C261" s="1" t="s">
        <v>21</v>
      </c>
      <c r="D261" s="1">
        <v>2</v>
      </c>
      <c r="E261" s="1" t="s">
        <v>44</v>
      </c>
      <c r="F261" s="1">
        <v>1</v>
      </c>
      <c r="G261" s="1">
        <v>0</v>
      </c>
      <c r="H261" s="1" t="s">
        <v>43</v>
      </c>
      <c r="I261" s="1" t="s">
        <v>327</v>
      </c>
      <c r="J261" s="1" t="s">
        <v>349</v>
      </c>
      <c r="K261" s="1" t="s">
        <v>221</v>
      </c>
    </row>
    <row r="262" spans="1:11" x14ac:dyDescent="0.25">
      <c r="A262" s="1" t="s">
        <v>215</v>
      </c>
      <c r="B262" s="1">
        <v>192</v>
      </c>
      <c r="C262" s="1" t="s">
        <v>24</v>
      </c>
      <c r="D262" s="1">
        <v>1</v>
      </c>
      <c r="E262" s="1" t="s">
        <v>44</v>
      </c>
      <c r="F262" s="1">
        <v>1</v>
      </c>
      <c r="G262" s="1">
        <v>0</v>
      </c>
      <c r="H262" s="1" t="s">
        <v>43</v>
      </c>
      <c r="I262" s="1" t="s">
        <v>331</v>
      </c>
      <c r="J262" s="1" t="s">
        <v>351</v>
      </c>
      <c r="K262" s="1" t="s">
        <v>221</v>
      </c>
    </row>
    <row r="263" spans="1:11" x14ac:dyDescent="0.25">
      <c r="A263" s="1" t="s">
        <v>215</v>
      </c>
      <c r="B263" s="1">
        <v>193</v>
      </c>
      <c r="C263" s="1" t="s">
        <v>24</v>
      </c>
      <c r="D263" s="1">
        <v>2</v>
      </c>
      <c r="E263" s="1" t="s">
        <v>44</v>
      </c>
      <c r="F263" s="1">
        <v>1</v>
      </c>
      <c r="G263" s="1">
        <v>0</v>
      </c>
      <c r="H263" s="1" t="s">
        <v>43</v>
      </c>
      <c r="I263" s="1" t="s">
        <v>331</v>
      </c>
      <c r="J263" s="1" t="s">
        <v>351</v>
      </c>
      <c r="K263" s="1" t="s">
        <v>221</v>
      </c>
    </row>
    <row r="264" spans="1:11" x14ac:dyDescent="0.25">
      <c r="A264" s="1" t="s">
        <v>215</v>
      </c>
      <c r="B264" s="1">
        <v>195</v>
      </c>
      <c r="C264" s="1" t="s">
        <v>27</v>
      </c>
      <c r="D264" s="1">
        <v>1</v>
      </c>
      <c r="E264" s="1" t="s">
        <v>44</v>
      </c>
      <c r="F264" s="1">
        <v>1</v>
      </c>
      <c r="G264" s="1">
        <v>0</v>
      </c>
      <c r="H264" s="1" t="s">
        <v>43</v>
      </c>
      <c r="I264" s="1" t="s">
        <v>334</v>
      </c>
      <c r="J264" s="1"/>
      <c r="K264" s="1" t="s">
        <v>221</v>
      </c>
    </row>
    <row r="265" spans="1:11" x14ac:dyDescent="0.25">
      <c r="A265" s="1" t="s">
        <v>215</v>
      </c>
      <c r="B265" s="1">
        <v>196</v>
      </c>
      <c r="C265" s="1" t="s">
        <v>27</v>
      </c>
      <c r="D265" s="1">
        <v>2</v>
      </c>
      <c r="E265" s="1" t="s">
        <v>44</v>
      </c>
      <c r="F265" s="1">
        <v>1</v>
      </c>
      <c r="G265" s="1">
        <v>0</v>
      </c>
      <c r="H265" s="1" t="s">
        <v>43</v>
      </c>
      <c r="I265" s="1" t="s">
        <v>334</v>
      </c>
      <c r="J265" s="1"/>
      <c r="K265" s="1" t="s">
        <v>221</v>
      </c>
    </row>
    <row r="266" spans="1:11" x14ac:dyDescent="0.25">
      <c r="A266" s="1" t="s">
        <v>215</v>
      </c>
      <c r="B266" s="1">
        <v>201</v>
      </c>
      <c r="C266" s="1" t="s">
        <v>12</v>
      </c>
      <c r="D266" s="1">
        <v>1</v>
      </c>
      <c r="E266" s="1" t="s">
        <v>109</v>
      </c>
      <c r="F266" s="1">
        <v>0</v>
      </c>
      <c r="G266" s="1">
        <v>1</v>
      </c>
      <c r="H266" s="1" t="s">
        <v>56</v>
      </c>
      <c r="I266" s="1" t="s">
        <v>346</v>
      </c>
      <c r="J266" s="1" t="s">
        <v>319</v>
      </c>
      <c r="K266" s="1" t="s">
        <v>221</v>
      </c>
    </row>
    <row r="267" spans="1:11" x14ac:dyDescent="0.25">
      <c r="A267" s="1" t="s">
        <v>215</v>
      </c>
      <c r="B267" s="1">
        <v>202</v>
      </c>
      <c r="C267" s="1" t="s">
        <v>12</v>
      </c>
      <c r="D267" s="1">
        <v>2</v>
      </c>
      <c r="E267" s="1" t="s">
        <v>109</v>
      </c>
      <c r="F267" s="1">
        <v>0</v>
      </c>
      <c r="G267" s="1">
        <v>1</v>
      </c>
      <c r="H267" s="1" t="s">
        <v>56</v>
      </c>
      <c r="I267" s="1" t="s">
        <v>346</v>
      </c>
      <c r="J267" s="1" t="s">
        <v>319</v>
      </c>
      <c r="K267" s="1" t="s">
        <v>221</v>
      </c>
    </row>
    <row r="268" spans="1:11" x14ac:dyDescent="0.25">
      <c r="A268" s="1" t="s">
        <v>215</v>
      </c>
      <c r="B268" s="1">
        <v>204</v>
      </c>
      <c r="C268" s="1" t="s">
        <v>18</v>
      </c>
      <c r="D268" s="1">
        <v>1</v>
      </c>
      <c r="E268" s="1" t="s">
        <v>109</v>
      </c>
      <c r="F268" s="1">
        <v>0</v>
      </c>
      <c r="G268" s="1">
        <v>1</v>
      </c>
      <c r="H268" s="1" t="s">
        <v>56</v>
      </c>
      <c r="I268" s="1" t="s">
        <v>348</v>
      </c>
      <c r="J268" s="1" t="s">
        <v>323</v>
      </c>
      <c r="K268" s="1" t="s">
        <v>221</v>
      </c>
    </row>
    <row r="269" spans="1:11" x14ac:dyDescent="0.25">
      <c r="A269" s="1" t="s">
        <v>215</v>
      </c>
      <c r="B269" s="1">
        <v>205</v>
      </c>
      <c r="C269" s="1" t="s">
        <v>18</v>
      </c>
      <c r="D269" s="1">
        <v>2</v>
      </c>
      <c r="E269" s="1" t="s">
        <v>109</v>
      </c>
      <c r="F269" s="1">
        <v>0</v>
      </c>
      <c r="G269" s="1">
        <v>1</v>
      </c>
      <c r="H269" s="1" t="s">
        <v>56</v>
      </c>
      <c r="I269" s="1" t="s">
        <v>348</v>
      </c>
      <c r="J269" s="1" t="s">
        <v>323</v>
      </c>
      <c r="K269" s="1" t="s">
        <v>221</v>
      </c>
    </row>
    <row r="270" spans="1:11" x14ac:dyDescent="0.25">
      <c r="A270" s="1" t="s">
        <v>215</v>
      </c>
      <c r="B270" s="1">
        <v>207</v>
      </c>
      <c r="C270" s="1" t="s">
        <v>21</v>
      </c>
      <c r="D270" s="1">
        <v>1</v>
      </c>
      <c r="E270" s="1" t="s">
        <v>109</v>
      </c>
      <c r="F270" s="1">
        <v>0</v>
      </c>
      <c r="G270" s="1">
        <v>1</v>
      </c>
      <c r="H270" s="1" t="s">
        <v>56</v>
      </c>
      <c r="I270" s="1" t="s">
        <v>350</v>
      </c>
      <c r="J270" s="1" t="s">
        <v>325</v>
      </c>
      <c r="K270" s="1" t="s">
        <v>221</v>
      </c>
    </row>
    <row r="271" spans="1:11" x14ac:dyDescent="0.25">
      <c r="A271" s="1" t="s">
        <v>215</v>
      </c>
      <c r="B271" s="1">
        <v>208</v>
      </c>
      <c r="C271" s="1" t="s">
        <v>21</v>
      </c>
      <c r="D271" s="1">
        <v>2</v>
      </c>
      <c r="E271" s="1" t="s">
        <v>109</v>
      </c>
      <c r="F271" s="1">
        <v>0</v>
      </c>
      <c r="G271" s="1">
        <v>1</v>
      </c>
      <c r="H271" s="1" t="s">
        <v>56</v>
      </c>
      <c r="I271" s="1" t="s">
        <v>350</v>
      </c>
      <c r="J271" s="1" t="s">
        <v>325</v>
      </c>
      <c r="K271" s="1" t="s">
        <v>221</v>
      </c>
    </row>
    <row r="272" spans="1:11" x14ac:dyDescent="0.25">
      <c r="A272" s="1" t="s">
        <v>215</v>
      </c>
      <c r="B272" s="1">
        <v>210</v>
      </c>
      <c r="C272" s="1" t="s">
        <v>24</v>
      </c>
      <c r="D272" s="1">
        <v>1</v>
      </c>
      <c r="E272" s="1" t="s">
        <v>109</v>
      </c>
      <c r="F272" s="1">
        <v>0</v>
      </c>
      <c r="G272" s="1">
        <v>1</v>
      </c>
      <c r="H272" s="1" t="s">
        <v>56</v>
      </c>
      <c r="I272" s="1" t="s">
        <v>352</v>
      </c>
      <c r="J272" s="1" t="s">
        <v>330</v>
      </c>
      <c r="K272" s="1" t="s">
        <v>221</v>
      </c>
    </row>
    <row r="273" spans="1:11" x14ac:dyDescent="0.25">
      <c r="A273" s="1" t="s">
        <v>215</v>
      </c>
      <c r="B273" s="1">
        <v>211</v>
      </c>
      <c r="C273" s="1" t="s">
        <v>24</v>
      </c>
      <c r="D273" s="1">
        <v>2</v>
      </c>
      <c r="E273" s="1" t="s">
        <v>109</v>
      </c>
      <c r="F273" s="1">
        <v>0</v>
      </c>
      <c r="G273" s="1">
        <v>1</v>
      </c>
      <c r="H273" s="1" t="s">
        <v>56</v>
      </c>
      <c r="I273" s="1" t="s">
        <v>352</v>
      </c>
      <c r="J273" s="1" t="s">
        <v>330</v>
      </c>
      <c r="K273" s="1" t="s">
        <v>221</v>
      </c>
    </row>
    <row r="274" spans="1:11" x14ac:dyDescent="0.25">
      <c r="A274" s="1" t="s">
        <v>215</v>
      </c>
      <c r="B274" s="1">
        <v>213</v>
      </c>
      <c r="C274" s="1" t="s">
        <v>27</v>
      </c>
      <c r="D274" s="1">
        <v>1</v>
      </c>
      <c r="E274" s="1" t="s">
        <v>109</v>
      </c>
      <c r="F274" s="1">
        <v>1</v>
      </c>
      <c r="G274" s="1">
        <v>0</v>
      </c>
      <c r="H274" s="1" t="s">
        <v>56</v>
      </c>
      <c r="I274" s="1" t="s">
        <v>353</v>
      </c>
      <c r="J274" s="1" t="s">
        <v>333</v>
      </c>
      <c r="K274" s="1" t="s">
        <v>221</v>
      </c>
    </row>
    <row r="275" spans="1:11" x14ac:dyDescent="0.25">
      <c r="A275" s="1" t="s">
        <v>215</v>
      </c>
      <c r="B275" s="1">
        <v>214</v>
      </c>
      <c r="C275" s="1" t="s">
        <v>27</v>
      </c>
      <c r="D275" s="1">
        <v>2</v>
      </c>
      <c r="E275" s="1" t="s">
        <v>109</v>
      </c>
      <c r="F275" s="1">
        <v>1</v>
      </c>
      <c r="G275" s="1">
        <v>0</v>
      </c>
      <c r="H275" s="1" t="s">
        <v>56</v>
      </c>
      <c r="I275" s="1" t="s">
        <v>353</v>
      </c>
      <c r="J275" s="1" t="s">
        <v>333</v>
      </c>
      <c r="K275" s="1" t="s">
        <v>221</v>
      </c>
    </row>
    <row r="276" spans="1:11" x14ac:dyDescent="0.25">
      <c r="A276" s="1" t="s">
        <v>215</v>
      </c>
      <c r="B276" s="1">
        <v>76</v>
      </c>
      <c r="C276" s="1" t="s">
        <v>12</v>
      </c>
      <c r="D276" s="1">
        <v>2</v>
      </c>
      <c r="E276" s="1" t="s">
        <v>31</v>
      </c>
      <c r="F276" s="1">
        <v>1</v>
      </c>
      <c r="G276" s="1">
        <v>0</v>
      </c>
      <c r="H276" s="1" t="s">
        <v>96</v>
      </c>
      <c r="I276" s="1" t="s">
        <v>290</v>
      </c>
      <c r="J276" s="1" t="s">
        <v>231</v>
      </c>
      <c r="K276" s="1" t="s">
        <v>229</v>
      </c>
    </row>
    <row r="277" spans="1:11" x14ac:dyDescent="0.25">
      <c r="A277" s="1" t="s">
        <v>215</v>
      </c>
      <c r="B277" s="1">
        <v>78</v>
      </c>
      <c r="C277" s="1" t="s">
        <v>18</v>
      </c>
      <c r="D277" s="1">
        <v>1</v>
      </c>
      <c r="E277" s="1" t="s">
        <v>31</v>
      </c>
      <c r="F277" s="1">
        <v>1</v>
      </c>
      <c r="G277" s="1">
        <v>0</v>
      </c>
      <c r="H277" s="1" t="s">
        <v>96</v>
      </c>
      <c r="I277" s="1" t="s">
        <v>292</v>
      </c>
      <c r="J277" s="1" t="s">
        <v>236</v>
      </c>
      <c r="K277" s="1" t="s">
        <v>229</v>
      </c>
    </row>
    <row r="278" spans="1:11" x14ac:dyDescent="0.25">
      <c r="A278" s="1" t="s">
        <v>215</v>
      </c>
      <c r="B278" s="1">
        <v>79</v>
      </c>
      <c r="C278" s="1" t="s">
        <v>18</v>
      </c>
      <c r="D278" s="1">
        <v>2</v>
      </c>
      <c r="E278" s="1" t="s">
        <v>31</v>
      </c>
      <c r="F278" s="1">
        <v>1</v>
      </c>
      <c r="G278" s="1">
        <v>0</v>
      </c>
      <c r="H278" s="1" t="s">
        <v>96</v>
      </c>
      <c r="I278" s="1" t="s">
        <v>292</v>
      </c>
      <c r="J278" s="1" t="s">
        <v>236</v>
      </c>
      <c r="K278" s="1" t="s">
        <v>229</v>
      </c>
    </row>
    <row r="279" spans="1:11" x14ac:dyDescent="0.25">
      <c r="A279" s="1" t="s">
        <v>215</v>
      </c>
      <c r="B279" s="1">
        <v>81</v>
      </c>
      <c r="C279" s="1" t="s">
        <v>21</v>
      </c>
      <c r="D279" s="1">
        <v>1</v>
      </c>
      <c r="E279" s="1" t="s">
        <v>31</v>
      </c>
      <c r="F279" s="1">
        <v>1</v>
      </c>
      <c r="G279" s="1">
        <v>0</v>
      </c>
      <c r="H279" s="1" t="s">
        <v>96</v>
      </c>
      <c r="I279" s="1" t="s">
        <v>294</v>
      </c>
      <c r="J279" s="1" t="s">
        <v>241</v>
      </c>
      <c r="K279" s="1" t="s">
        <v>229</v>
      </c>
    </row>
    <row r="280" spans="1:11" x14ac:dyDescent="0.25">
      <c r="A280" s="1" t="s">
        <v>215</v>
      </c>
      <c r="B280" s="1">
        <v>82</v>
      </c>
      <c r="C280" s="1" t="s">
        <v>21</v>
      </c>
      <c r="D280" s="1">
        <v>2</v>
      </c>
      <c r="E280" s="1" t="s">
        <v>31</v>
      </c>
      <c r="F280" s="1">
        <v>1</v>
      </c>
      <c r="G280" s="1">
        <v>0</v>
      </c>
      <c r="H280" s="1" t="s">
        <v>96</v>
      </c>
      <c r="I280" s="1" t="s">
        <v>294</v>
      </c>
      <c r="J280" s="1" t="s">
        <v>241</v>
      </c>
      <c r="K280" s="1" t="s">
        <v>229</v>
      </c>
    </row>
    <row r="281" spans="1:11" x14ac:dyDescent="0.25">
      <c r="A281" s="1" t="s">
        <v>215</v>
      </c>
      <c r="B281" s="1">
        <v>84</v>
      </c>
      <c r="C281" s="1" t="s">
        <v>24</v>
      </c>
      <c r="D281" s="1">
        <v>1</v>
      </c>
      <c r="E281" s="1" t="s">
        <v>31</v>
      </c>
      <c r="F281" s="1">
        <v>1</v>
      </c>
      <c r="G281" s="1">
        <v>0</v>
      </c>
      <c r="H281" s="1" t="s">
        <v>96</v>
      </c>
      <c r="I281" s="1" t="s">
        <v>296</v>
      </c>
      <c r="J281" s="1" t="s">
        <v>246</v>
      </c>
      <c r="K281" s="1" t="s">
        <v>229</v>
      </c>
    </row>
    <row r="282" spans="1:11" x14ac:dyDescent="0.25">
      <c r="A282" s="1" t="s">
        <v>215</v>
      </c>
      <c r="B282" s="1">
        <v>85</v>
      </c>
      <c r="C282" s="1" t="s">
        <v>24</v>
      </c>
      <c r="D282" s="1">
        <v>2</v>
      </c>
      <c r="E282" s="1" t="s">
        <v>31</v>
      </c>
      <c r="F282" s="1">
        <v>1</v>
      </c>
      <c r="G282" s="1">
        <v>0</v>
      </c>
      <c r="H282" s="1" t="s">
        <v>96</v>
      </c>
      <c r="I282" s="1" t="s">
        <v>296</v>
      </c>
      <c r="J282" s="1" t="s">
        <v>246</v>
      </c>
      <c r="K282" s="1" t="s">
        <v>229</v>
      </c>
    </row>
    <row r="283" spans="1:11" x14ac:dyDescent="0.25">
      <c r="A283" s="1" t="s">
        <v>215</v>
      </c>
      <c r="B283" s="1">
        <v>87</v>
      </c>
      <c r="C283" s="1" t="s">
        <v>27</v>
      </c>
      <c r="D283" s="1">
        <v>1</v>
      </c>
      <c r="E283" s="1" t="s">
        <v>31</v>
      </c>
      <c r="F283" s="1">
        <v>0</v>
      </c>
      <c r="G283" s="1">
        <v>1</v>
      </c>
      <c r="H283" s="1" t="s">
        <v>96</v>
      </c>
      <c r="I283" s="1" t="s">
        <v>298</v>
      </c>
      <c r="J283" s="1" t="s">
        <v>251</v>
      </c>
      <c r="K283" s="1" t="s">
        <v>229</v>
      </c>
    </row>
    <row r="284" spans="1:11" x14ac:dyDescent="0.25">
      <c r="A284" s="1" t="s">
        <v>215</v>
      </c>
      <c r="B284" s="1">
        <v>88</v>
      </c>
      <c r="C284" s="1" t="s">
        <v>27</v>
      </c>
      <c r="D284" s="1">
        <v>2</v>
      </c>
      <c r="E284" s="1" t="s">
        <v>31</v>
      </c>
      <c r="F284" s="1">
        <v>0</v>
      </c>
      <c r="G284" s="1">
        <v>1</v>
      </c>
      <c r="H284" s="1" t="s">
        <v>96</v>
      </c>
      <c r="I284" s="1" t="s">
        <v>298</v>
      </c>
      <c r="J284" s="1" t="s">
        <v>251</v>
      </c>
      <c r="K284" s="1" t="s">
        <v>229</v>
      </c>
    </row>
    <row r="285" spans="1:11" x14ac:dyDescent="0.25">
      <c r="A285" s="1" t="s">
        <v>215</v>
      </c>
      <c r="B285" s="1">
        <v>93</v>
      </c>
      <c r="C285" s="1" t="s">
        <v>12</v>
      </c>
      <c r="D285" s="1">
        <v>1</v>
      </c>
      <c r="E285" s="1" t="s">
        <v>57</v>
      </c>
      <c r="F285" s="1">
        <v>14</v>
      </c>
      <c r="G285" s="1">
        <v>21</v>
      </c>
      <c r="H285" s="1" t="s">
        <v>169</v>
      </c>
      <c r="I285" s="1" t="s">
        <v>301</v>
      </c>
      <c r="J285" s="1" t="s">
        <v>256</v>
      </c>
      <c r="K285" s="1" t="s">
        <v>229</v>
      </c>
    </row>
    <row r="286" spans="1:11" x14ac:dyDescent="0.25">
      <c r="A286" s="1" t="s">
        <v>215</v>
      </c>
      <c r="B286" s="1">
        <v>94</v>
      </c>
      <c r="C286" s="1" t="s">
        <v>12</v>
      </c>
      <c r="D286" s="1">
        <v>2</v>
      </c>
      <c r="E286" s="1" t="s">
        <v>57</v>
      </c>
      <c r="F286" s="1">
        <v>0</v>
      </c>
      <c r="G286" s="1">
        <v>1</v>
      </c>
      <c r="H286" s="1" t="s">
        <v>169</v>
      </c>
      <c r="I286" s="1" t="s">
        <v>301</v>
      </c>
      <c r="J286" s="1" t="s">
        <v>256</v>
      </c>
      <c r="K286" s="1" t="s">
        <v>229</v>
      </c>
    </row>
    <row r="287" spans="1:11" x14ac:dyDescent="0.25">
      <c r="A287" s="1" t="s">
        <v>215</v>
      </c>
      <c r="B287" s="1">
        <v>96</v>
      </c>
      <c r="C287" s="1" t="s">
        <v>18</v>
      </c>
      <c r="D287" s="1">
        <v>1</v>
      </c>
      <c r="E287" s="1" t="s">
        <v>57</v>
      </c>
      <c r="F287" s="1">
        <v>23</v>
      </c>
      <c r="G287" s="1">
        <v>21</v>
      </c>
      <c r="H287" s="1" t="s">
        <v>169</v>
      </c>
      <c r="I287" s="1" t="s">
        <v>303</v>
      </c>
      <c r="J287" s="1" t="s">
        <v>259</v>
      </c>
      <c r="K287" s="1" t="s">
        <v>229</v>
      </c>
    </row>
    <row r="288" spans="1:11" x14ac:dyDescent="0.25">
      <c r="A288" s="1" t="s">
        <v>215</v>
      </c>
      <c r="B288" s="1">
        <v>97</v>
      </c>
      <c r="C288" s="1" t="s">
        <v>18</v>
      </c>
      <c r="D288" s="1">
        <v>2</v>
      </c>
      <c r="E288" s="1" t="s">
        <v>57</v>
      </c>
      <c r="F288" s="1">
        <v>1</v>
      </c>
      <c r="G288" s="1">
        <v>0</v>
      </c>
      <c r="H288" s="1" t="s">
        <v>169</v>
      </c>
      <c r="I288" s="1" t="s">
        <v>303</v>
      </c>
      <c r="J288" s="1" t="s">
        <v>259</v>
      </c>
      <c r="K288" s="1" t="s">
        <v>229</v>
      </c>
    </row>
    <row r="289" spans="1:11" x14ac:dyDescent="0.25">
      <c r="A289" s="1" t="s">
        <v>215</v>
      </c>
      <c r="B289" s="1">
        <v>99</v>
      </c>
      <c r="C289" s="1" t="s">
        <v>21</v>
      </c>
      <c r="D289" s="1">
        <v>1</v>
      </c>
      <c r="E289" s="1" t="s">
        <v>57</v>
      </c>
      <c r="F289" s="1">
        <v>24</v>
      </c>
      <c r="G289" s="1">
        <v>25</v>
      </c>
      <c r="H289" s="1" t="s">
        <v>169</v>
      </c>
      <c r="I289" s="1" t="s">
        <v>305</v>
      </c>
      <c r="J289" s="1" t="s">
        <v>262</v>
      </c>
      <c r="K289" s="1" t="s">
        <v>229</v>
      </c>
    </row>
    <row r="290" spans="1:11" x14ac:dyDescent="0.25">
      <c r="A290" s="1" t="s">
        <v>215</v>
      </c>
      <c r="B290" s="1">
        <v>100</v>
      </c>
      <c r="C290" s="1" t="s">
        <v>21</v>
      </c>
      <c r="D290" s="1">
        <v>2</v>
      </c>
      <c r="E290" s="1" t="s">
        <v>57</v>
      </c>
      <c r="F290" s="1">
        <v>0</v>
      </c>
      <c r="G290" s="1">
        <v>1</v>
      </c>
      <c r="H290" s="1" t="s">
        <v>169</v>
      </c>
      <c r="I290" s="1" t="s">
        <v>305</v>
      </c>
      <c r="J290" s="1" t="s">
        <v>262</v>
      </c>
      <c r="K290" s="1" t="s">
        <v>229</v>
      </c>
    </row>
    <row r="291" spans="1:11" x14ac:dyDescent="0.25">
      <c r="A291" s="1" t="s">
        <v>215</v>
      </c>
      <c r="B291" s="1">
        <v>102</v>
      </c>
      <c r="C291" s="1" t="s">
        <v>24</v>
      </c>
      <c r="D291" s="1">
        <v>1</v>
      </c>
      <c r="E291" s="1" t="s">
        <v>57</v>
      </c>
      <c r="F291" s="1">
        <v>21</v>
      </c>
      <c r="G291" s="1">
        <v>17</v>
      </c>
      <c r="H291" s="1" t="s">
        <v>169</v>
      </c>
      <c r="I291" s="1" t="s">
        <v>307</v>
      </c>
      <c r="J291" s="1" t="s">
        <v>265</v>
      </c>
      <c r="K291" s="1" t="s">
        <v>229</v>
      </c>
    </row>
    <row r="292" spans="1:11" x14ac:dyDescent="0.25">
      <c r="A292" s="1" t="s">
        <v>215</v>
      </c>
      <c r="B292" s="1">
        <v>103</v>
      </c>
      <c r="C292" s="1" t="s">
        <v>24</v>
      </c>
      <c r="D292" s="1">
        <v>2</v>
      </c>
      <c r="E292" s="1" t="s">
        <v>57</v>
      </c>
      <c r="F292" s="1">
        <v>1</v>
      </c>
      <c r="G292" s="1">
        <v>0</v>
      </c>
      <c r="H292" s="1" t="s">
        <v>169</v>
      </c>
      <c r="I292" s="1" t="s">
        <v>307</v>
      </c>
      <c r="J292" s="1" t="s">
        <v>265</v>
      </c>
      <c r="K292" s="1" t="s">
        <v>229</v>
      </c>
    </row>
    <row r="293" spans="1:11" x14ac:dyDescent="0.25">
      <c r="A293" s="1" t="s">
        <v>215</v>
      </c>
      <c r="B293" s="1">
        <v>105</v>
      </c>
      <c r="C293" s="1" t="s">
        <v>27</v>
      </c>
      <c r="D293" s="1">
        <v>1</v>
      </c>
      <c r="E293" s="1" t="s">
        <v>57</v>
      </c>
      <c r="F293" s="1">
        <v>15</v>
      </c>
      <c r="G293" s="1">
        <v>21</v>
      </c>
      <c r="H293" s="1" t="s">
        <v>169</v>
      </c>
      <c r="I293" s="1" t="s">
        <v>309</v>
      </c>
      <c r="J293" s="1" t="s">
        <v>269</v>
      </c>
      <c r="K293" s="1" t="s">
        <v>229</v>
      </c>
    </row>
    <row r="294" spans="1:11" x14ac:dyDescent="0.25">
      <c r="A294" s="1" t="s">
        <v>215</v>
      </c>
      <c r="B294" s="1">
        <v>106</v>
      </c>
      <c r="C294" s="1" t="s">
        <v>27</v>
      </c>
      <c r="D294" s="1">
        <v>2</v>
      </c>
      <c r="E294" s="1" t="s">
        <v>57</v>
      </c>
      <c r="F294" s="1">
        <v>0</v>
      </c>
      <c r="G294" s="1">
        <v>1</v>
      </c>
      <c r="H294" s="1" t="s">
        <v>169</v>
      </c>
      <c r="I294" s="1" t="s">
        <v>309</v>
      </c>
      <c r="J294" s="1" t="s">
        <v>269</v>
      </c>
      <c r="K294" s="1" t="s">
        <v>229</v>
      </c>
    </row>
    <row r="295" spans="1:11" x14ac:dyDescent="0.25">
      <c r="A295" s="1" t="s">
        <v>215</v>
      </c>
      <c r="B295" s="1">
        <v>111</v>
      </c>
      <c r="C295" s="1" t="s">
        <v>12</v>
      </c>
      <c r="D295" s="1">
        <v>1</v>
      </c>
      <c r="E295" s="1" t="s">
        <v>14</v>
      </c>
      <c r="F295" s="1">
        <v>21</v>
      </c>
      <c r="G295" s="1">
        <v>16</v>
      </c>
      <c r="H295" s="1" t="s">
        <v>182</v>
      </c>
      <c r="I295" s="1" t="s">
        <v>300</v>
      </c>
      <c r="J295" s="1" t="s">
        <v>271</v>
      </c>
      <c r="K295" s="1" t="s">
        <v>229</v>
      </c>
    </row>
    <row r="296" spans="1:11" x14ac:dyDescent="0.25">
      <c r="A296" s="1" t="s">
        <v>215</v>
      </c>
      <c r="B296" s="1">
        <v>112</v>
      </c>
      <c r="C296" s="1" t="s">
        <v>12</v>
      </c>
      <c r="D296" s="1">
        <v>2</v>
      </c>
      <c r="E296" s="1" t="s">
        <v>14</v>
      </c>
      <c r="F296" s="1">
        <v>1</v>
      </c>
      <c r="G296" s="1">
        <v>0</v>
      </c>
      <c r="H296" s="1" t="s">
        <v>182</v>
      </c>
      <c r="I296" s="1" t="s">
        <v>300</v>
      </c>
      <c r="J296" s="1" t="s">
        <v>271</v>
      </c>
      <c r="K296" s="1" t="s">
        <v>229</v>
      </c>
    </row>
    <row r="297" spans="1:11" x14ac:dyDescent="0.25">
      <c r="A297" s="1" t="s">
        <v>215</v>
      </c>
      <c r="B297" s="1">
        <v>114</v>
      </c>
      <c r="C297" s="1" t="s">
        <v>18</v>
      </c>
      <c r="D297" s="1">
        <v>1</v>
      </c>
      <c r="E297" s="1" t="s">
        <v>14</v>
      </c>
      <c r="F297" s="1">
        <v>21</v>
      </c>
      <c r="G297" s="1">
        <v>13</v>
      </c>
      <c r="H297" s="1" t="s">
        <v>182</v>
      </c>
      <c r="I297" s="1" t="s">
        <v>302</v>
      </c>
      <c r="J297" s="1" t="s">
        <v>274</v>
      </c>
      <c r="K297" s="1" t="s">
        <v>229</v>
      </c>
    </row>
    <row r="298" spans="1:11" x14ac:dyDescent="0.25">
      <c r="A298" s="1" t="s">
        <v>215</v>
      </c>
      <c r="B298" s="1">
        <v>115</v>
      </c>
      <c r="C298" s="1" t="s">
        <v>18</v>
      </c>
      <c r="D298" s="1">
        <v>2</v>
      </c>
      <c r="E298" s="1" t="s">
        <v>14</v>
      </c>
      <c r="F298" s="1">
        <v>1</v>
      </c>
      <c r="G298" s="1">
        <v>0</v>
      </c>
      <c r="H298" s="1" t="s">
        <v>182</v>
      </c>
      <c r="I298" s="1" t="s">
        <v>302</v>
      </c>
      <c r="J298" s="1" t="s">
        <v>274</v>
      </c>
      <c r="K298" s="1" t="s">
        <v>229</v>
      </c>
    </row>
    <row r="299" spans="1:11" x14ac:dyDescent="0.25">
      <c r="A299" s="1" t="s">
        <v>215</v>
      </c>
      <c r="B299" s="1">
        <v>117</v>
      </c>
      <c r="C299" s="1" t="s">
        <v>21</v>
      </c>
      <c r="D299" s="1">
        <v>1</v>
      </c>
      <c r="E299" s="1" t="s">
        <v>14</v>
      </c>
      <c r="F299" s="1">
        <v>16</v>
      </c>
      <c r="G299" s="1">
        <v>21</v>
      </c>
      <c r="H299" s="1" t="s">
        <v>182</v>
      </c>
      <c r="I299" s="1" t="s">
        <v>304</v>
      </c>
      <c r="J299" s="1" t="s">
        <v>277</v>
      </c>
      <c r="K299" s="1" t="s">
        <v>229</v>
      </c>
    </row>
    <row r="300" spans="1:11" x14ac:dyDescent="0.25">
      <c r="A300" s="1" t="s">
        <v>215</v>
      </c>
      <c r="B300" s="1">
        <v>118</v>
      </c>
      <c r="C300" s="1" t="s">
        <v>21</v>
      </c>
      <c r="D300" s="1">
        <v>2</v>
      </c>
      <c r="E300" s="1" t="s">
        <v>14</v>
      </c>
      <c r="F300" s="1">
        <v>0</v>
      </c>
      <c r="G300" s="1">
        <v>1</v>
      </c>
      <c r="H300" s="1" t="s">
        <v>182</v>
      </c>
      <c r="I300" s="1" t="s">
        <v>304</v>
      </c>
      <c r="J300" s="1" t="s">
        <v>277</v>
      </c>
      <c r="K300" s="1" t="s">
        <v>229</v>
      </c>
    </row>
    <row r="301" spans="1:11" x14ac:dyDescent="0.25">
      <c r="A301" s="1" t="s">
        <v>215</v>
      </c>
      <c r="B301" s="1">
        <v>120</v>
      </c>
      <c r="C301" s="1" t="s">
        <v>24</v>
      </c>
      <c r="D301" s="1">
        <v>1</v>
      </c>
      <c r="E301" s="1" t="s">
        <v>14</v>
      </c>
      <c r="F301" s="1">
        <v>12</v>
      </c>
      <c r="G301" s="1">
        <v>21</v>
      </c>
      <c r="H301" s="1" t="s">
        <v>182</v>
      </c>
      <c r="I301" s="1" t="s">
        <v>306</v>
      </c>
      <c r="J301" s="1" t="s">
        <v>280</v>
      </c>
      <c r="K301" s="1" t="s">
        <v>229</v>
      </c>
    </row>
    <row r="302" spans="1:11" x14ac:dyDescent="0.25">
      <c r="A302" s="1" t="s">
        <v>215</v>
      </c>
      <c r="B302" s="1">
        <v>121</v>
      </c>
      <c r="C302" s="1" t="s">
        <v>24</v>
      </c>
      <c r="D302" s="1">
        <v>2</v>
      </c>
      <c r="E302" s="1" t="s">
        <v>14</v>
      </c>
      <c r="F302" s="1">
        <v>0</v>
      </c>
      <c r="G302" s="1">
        <v>1</v>
      </c>
      <c r="H302" s="1" t="s">
        <v>182</v>
      </c>
      <c r="I302" s="1" t="s">
        <v>306</v>
      </c>
      <c r="J302" s="1" t="s">
        <v>280</v>
      </c>
      <c r="K302" s="1" t="s">
        <v>229</v>
      </c>
    </row>
    <row r="303" spans="1:11" x14ac:dyDescent="0.25">
      <c r="A303" s="1" t="s">
        <v>215</v>
      </c>
      <c r="B303" s="1">
        <v>123</v>
      </c>
      <c r="C303" s="1" t="s">
        <v>27</v>
      </c>
      <c r="D303" s="1">
        <v>1</v>
      </c>
      <c r="E303" s="1" t="s">
        <v>14</v>
      </c>
      <c r="F303" s="1">
        <v>19</v>
      </c>
      <c r="G303" s="1">
        <v>21</v>
      </c>
      <c r="H303" s="1" t="s">
        <v>182</v>
      </c>
      <c r="I303" s="1" t="s">
        <v>308</v>
      </c>
      <c r="J303" s="1" t="s">
        <v>283</v>
      </c>
      <c r="K303" s="1" t="s">
        <v>229</v>
      </c>
    </row>
    <row r="304" spans="1:11" x14ac:dyDescent="0.25">
      <c r="A304" s="1" t="s">
        <v>215</v>
      </c>
      <c r="B304" s="1">
        <v>124</v>
      </c>
      <c r="C304" s="1" t="s">
        <v>27</v>
      </c>
      <c r="D304" s="1">
        <v>2</v>
      </c>
      <c r="E304" s="1" t="s">
        <v>14</v>
      </c>
      <c r="F304" s="1">
        <v>0</v>
      </c>
      <c r="G304" s="1">
        <v>1</v>
      </c>
      <c r="H304" s="1" t="s">
        <v>182</v>
      </c>
      <c r="I304" s="1" t="s">
        <v>308</v>
      </c>
      <c r="J304" s="1" t="s">
        <v>283</v>
      </c>
      <c r="K304" s="1" t="s">
        <v>229</v>
      </c>
    </row>
    <row r="305" spans="1:11" x14ac:dyDescent="0.25">
      <c r="A305" s="1" t="s">
        <v>215</v>
      </c>
      <c r="B305" s="1">
        <v>129</v>
      </c>
      <c r="C305" s="1" t="s">
        <v>12</v>
      </c>
      <c r="D305" s="1">
        <v>1</v>
      </c>
      <c r="E305" s="1" t="s">
        <v>181</v>
      </c>
      <c r="F305" s="1">
        <v>25</v>
      </c>
      <c r="G305" s="1">
        <v>24</v>
      </c>
      <c r="H305" s="1" t="s">
        <v>95</v>
      </c>
      <c r="I305" s="1" t="s">
        <v>291</v>
      </c>
      <c r="J305" s="1" t="s">
        <v>285</v>
      </c>
      <c r="K305" s="1" t="s">
        <v>229</v>
      </c>
    </row>
    <row r="306" spans="1:11" x14ac:dyDescent="0.25">
      <c r="A306" s="1" t="s">
        <v>215</v>
      </c>
      <c r="B306" s="1">
        <v>130</v>
      </c>
      <c r="C306" s="1" t="s">
        <v>12</v>
      </c>
      <c r="D306" s="1">
        <v>2</v>
      </c>
      <c r="E306" s="1" t="s">
        <v>181</v>
      </c>
      <c r="F306" s="1">
        <v>1</v>
      </c>
      <c r="G306" s="1">
        <v>0</v>
      </c>
      <c r="H306" s="1" t="s">
        <v>95</v>
      </c>
      <c r="I306" s="1" t="s">
        <v>291</v>
      </c>
      <c r="J306" s="1" t="s">
        <v>285</v>
      </c>
      <c r="K306" s="1" t="s">
        <v>229</v>
      </c>
    </row>
    <row r="307" spans="1:11" x14ac:dyDescent="0.25">
      <c r="A307" s="1" t="s">
        <v>215</v>
      </c>
      <c r="B307" s="1">
        <v>132</v>
      </c>
      <c r="C307" s="1" t="s">
        <v>18</v>
      </c>
      <c r="D307" s="1">
        <v>1</v>
      </c>
      <c r="E307" s="1" t="s">
        <v>181</v>
      </c>
      <c r="F307" s="1">
        <v>13</v>
      </c>
      <c r="G307" s="1">
        <v>21</v>
      </c>
      <c r="H307" s="1" t="s">
        <v>95</v>
      </c>
      <c r="I307" s="1" t="s">
        <v>293</v>
      </c>
      <c r="J307" s="1" t="s">
        <v>286</v>
      </c>
      <c r="K307" s="1" t="s">
        <v>229</v>
      </c>
    </row>
    <row r="308" spans="1:11" x14ac:dyDescent="0.25">
      <c r="A308" s="1" t="s">
        <v>215</v>
      </c>
      <c r="B308" s="1">
        <v>133</v>
      </c>
      <c r="C308" s="1" t="s">
        <v>18</v>
      </c>
      <c r="D308" s="1">
        <v>2</v>
      </c>
      <c r="E308" s="1" t="s">
        <v>181</v>
      </c>
      <c r="F308" s="1">
        <v>0</v>
      </c>
      <c r="G308" s="1">
        <v>1</v>
      </c>
      <c r="H308" s="1" t="s">
        <v>95</v>
      </c>
      <c r="I308" s="1" t="s">
        <v>293</v>
      </c>
      <c r="J308" s="1" t="s">
        <v>286</v>
      </c>
      <c r="K308" s="1" t="s">
        <v>229</v>
      </c>
    </row>
    <row r="309" spans="1:11" x14ac:dyDescent="0.25">
      <c r="A309" s="1" t="s">
        <v>215</v>
      </c>
      <c r="B309" s="1">
        <v>135</v>
      </c>
      <c r="C309" s="1" t="s">
        <v>21</v>
      </c>
      <c r="D309" s="1">
        <v>1</v>
      </c>
      <c r="E309" s="1" t="s">
        <v>181</v>
      </c>
      <c r="F309" s="1">
        <v>21</v>
      </c>
      <c r="G309" s="1">
        <v>13</v>
      </c>
      <c r="H309" s="1" t="s">
        <v>95</v>
      </c>
      <c r="I309" s="1" t="s">
        <v>295</v>
      </c>
      <c r="J309" s="1" t="s">
        <v>287</v>
      </c>
      <c r="K309" s="1" t="s">
        <v>229</v>
      </c>
    </row>
    <row r="310" spans="1:11" x14ac:dyDescent="0.25">
      <c r="A310" s="1" t="s">
        <v>215</v>
      </c>
      <c r="B310" s="1">
        <v>136</v>
      </c>
      <c r="C310" s="1" t="s">
        <v>21</v>
      </c>
      <c r="D310" s="1">
        <v>2</v>
      </c>
      <c r="E310" s="1" t="s">
        <v>181</v>
      </c>
      <c r="F310" s="1">
        <v>1</v>
      </c>
      <c r="G310" s="1">
        <v>0</v>
      </c>
      <c r="H310" s="1" t="s">
        <v>95</v>
      </c>
      <c r="I310" s="1" t="s">
        <v>295</v>
      </c>
      <c r="J310" s="1" t="s">
        <v>287</v>
      </c>
      <c r="K310" s="1" t="s">
        <v>229</v>
      </c>
    </row>
    <row r="311" spans="1:11" x14ac:dyDescent="0.25">
      <c r="A311" s="1" t="s">
        <v>215</v>
      </c>
      <c r="B311" s="1">
        <v>138</v>
      </c>
      <c r="C311" s="1" t="s">
        <v>24</v>
      </c>
      <c r="D311" s="1">
        <v>1</v>
      </c>
      <c r="E311" s="1" t="s">
        <v>181</v>
      </c>
      <c r="F311" s="1">
        <v>19</v>
      </c>
      <c r="G311" s="1">
        <v>21</v>
      </c>
      <c r="H311" s="1" t="s">
        <v>95</v>
      </c>
      <c r="I311" s="1" t="s">
        <v>297</v>
      </c>
      <c r="J311" s="1" t="s">
        <v>288</v>
      </c>
      <c r="K311" s="1" t="s">
        <v>229</v>
      </c>
    </row>
    <row r="312" spans="1:11" x14ac:dyDescent="0.25">
      <c r="A312" s="1" t="s">
        <v>215</v>
      </c>
      <c r="B312" s="1">
        <v>139</v>
      </c>
      <c r="C312" s="1" t="s">
        <v>24</v>
      </c>
      <c r="D312" s="1">
        <v>2</v>
      </c>
      <c r="E312" s="1" t="s">
        <v>181</v>
      </c>
      <c r="F312" s="1">
        <v>0</v>
      </c>
      <c r="G312" s="1">
        <v>1</v>
      </c>
      <c r="H312" s="1" t="s">
        <v>95</v>
      </c>
      <c r="I312" s="1" t="s">
        <v>297</v>
      </c>
      <c r="J312" s="1" t="s">
        <v>288</v>
      </c>
      <c r="K312" s="1" t="s">
        <v>229</v>
      </c>
    </row>
    <row r="313" spans="1:11" x14ac:dyDescent="0.25">
      <c r="A313" s="1" t="s">
        <v>215</v>
      </c>
      <c r="B313" s="1">
        <v>141</v>
      </c>
      <c r="C313" s="1" t="s">
        <v>27</v>
      </c>
      <c r="D313" s="1">
        <v>1</v>
      </c>
      <c r="E313" s="1" t="s">
        <v>181</v>
      </c>
      <c r="F313" s="1">
        <v>21</v>
      </c>
      <c r="G313" s="1">
        <v>18</v>
      </c>
      <c r="H313" s="1" t="s">
        <v>95</v>
      </c>
      <c r="I313" s="1" t="s">
        <v>299</v>
      </c>
      <c r="J313" s="1" t="s">
        <v>289</v>
      </c>
      <c r="K313" s="1" t="s">
        <v>229</v>
      </c>
    </row>
    <row r="314" spans="1:11" x14ac:dyDescent="0.25">
      <c r="A314" s="1" t="s">
        <v>215</v>
      </c>
      <c r="B314" s="1">
        <v>142</v>
      </c>
      <c r="C314" s="1" t="s">
        <v>27</v>
      </c>
      <c r="D314" s="1">
        <v>2</v>
      </c>
      <c r="E314" s="1" t="s">
        <v>181</v>
      </c>
      <c r="F314" s="1">
        <v>1</v>
      </c>
      <c r="G314" s="1">
        <v>0</v>
      </c>
      <c r="H314" s="1" t="s">
        <v>95</v>
      </c>
      <c r="I314" s="1" t="s">
        <v>299</v>
      </c>
      <c r="J314" s="1" t="s">
        <v>289</v>
      </c>
      <c r="K314" s="1" t="s">
        <v>229</v>
      </c>
    </row>
    <row r="315" spans="1:11" x14ac:dyDescent="0.25">
      <c r="A315" s="1" t="s">
        <v>217</v>
      </c>
      <c r="B315" s="1">
        <v>3</v>
      </c>
      <c r="C315" s="1" t="s">
        <v>12</v>
      </c>
      <c r="D315" s="1">
        <v>1</v>
      </c>
      <c r="E315" s="1" t="s">
        <v>195</v>
      </c>
      <c r="F315" s="1">
        <v>1</v>
      </c>
      <c r="G315" s="1">
        <v>0</v>
      </c>
      <c r="H315" s="1" t="s">
        <v>168</v>
      </c>
      <c r="I315" s="1" t="s">
        <v>230</v>
      </c>
      <c r="J315" s="1" t="s">
        <v>232</v>
      </c>
      <c r="K315" s="1" t="s">
        <v>218</v>
      </c>
    </row>
    <row r="316" spans="1:11" x14ac:dyDescent="0.25">
      <c r="A316" s="1" t="s">
        <v>217</v>
      </c>
      <c r="B316" s="1">
        <v>4</v>
      </c>
      <c r="C316" s="1" t="s">
        <v>12</v>
      </c>
      <c r="D316" s="1">
        <v>2</v>
      </c>
      <c r="E316" s="1" t="s">
        <v>195</v>
      </c>
      <c r="F316" s="1">
        <v>1</v>
      </c>
      <c r="G316" s="1">
        <v>0</v>
      </c>
      <c r="H316" s="1" t="s">
        <v>168</v>
      </c>
      <c r="I316" s="1" t="s">
        <v>230</v>
      </c>
      <c r="J316" s="1" t="s">
        <v>232</v>
      </c>
      <c r="K316" s="1" t="s">
        <v>218</v>
      </c>
    </row>
    <row r="317" spans="1:11" x14ac:dyDescent="0.25">
      <c r="A317" s="1" t="s">
        <v>217</v>
      </c>
      <c r="B317" s="1">
        <v>6</v>
      </c>
      <c r="C317" s="1" t="s">
        <v>18</v>
      </c>
      <c r="D317" s="1">
        <v>1</v>
      </c>
      <c r="E317" s="1" t="s">
        <v>195</v>
      </c>
      <c r="F317" s="1">
        <v>1</v>
      </c>
      <c r="G317" s="1">
        <v>0</v>
      </c>
      <c r="H317" s="1" t="s">
        <v>168</v>
      </c>
      <c r="I317" s="1" t="s">
        <v>235</v>
      </c>
      <c r="J317" s="1" t="s">
        <v>237</v>
      </c>
      <c r="K317" s="1" t="s">
        <v>218</v>
      </c>
    </row>
    <row r="318" spans="1:11" x14ac:dyDescent="0.25">
      <c r="A318" s="1" t="s">
        <v>217</v>
      </c>
      <c r="B318" s="1">
        <v>7</v>
      </c>
      <c r="C318" s="1" t="s">
        <v>18</v>
      </c>
      <c r="D318" s="1">
        <v>2</v>
      </c>
      <c r="E318" s="1" t="s">
        <v>195</v>
      </c>
      <c r="F318" s="1">
        <v>1</v>
      </c>
      <c r="G318" s="1">
        <v>0</v>
      </c>
      <c r="H318" s="1" t="s">
        <v>168</v>
      </c>
      <c r="I318" s="1" t="s">
        <v>235</v>
      </c>
      <c r="J318" s="1" t="s">
        <v>237</v>
      </c>
      <c r="K318" s="1" t="s">
        <v>218</v>
      </c>
    </row>
    <row r="319" spans="1:11" x14ac:dyDescent="0.25">
      <c r="A319" s="1" t="s">
        <v>217</v>
      </c>
      <c r="B319" s="1">
        <v>9</v>
      </c>
      <c r="C319" s="1" t="s">
        <v>21</v>
      </c>
      <c r="D319" s="1">
        <v>1</v>
      </c>
      <c r="E319" s="1" t="s">
        <v>195</v>
      </c>
      <c r="F319" s="1">
        <v>1</v>
      </c>
      <c r="G319" s="1">
        <v>0</v>
      </c>
      <c r="H319" s="1" t="s">
        <v>168</v>
      </c>
      <c r="I319" s="1" t="s">
        <v>240</v>
      </c>
      <c r="J319" s="1" t="s">
        <v>242</v>
      </c>
      <c r="K319" s="1" t="s">
        <v>218</v>
      </c>
    </row>
    <row r="320" spans="1:11" x14ac:dyDescent="0.25">
      <c r="A320" s="1" t="s">
        <v>217</v>
      </c>
      <c r="B320" s="1">
        <v>10</v>
      </c>
      <c r="C320" s="1" t="s">
        <v>21</v>
      </c>
      <c r="D320" s="1">
        <v>2</v>
      </c>
      <c r="E320" s="1" t="s">
        <v>195</v>
      </c>
      <c r="F320" s="1">
        <v>0</v>
      </c>
      <c r="G320" s="1">
        <v>1</v>
      </c>
      <c r="H320" s="1" t="s">
        <v>168</v>
      </c>
      <c r="I320" s="1" t="s">
        <v>240</v>
      </c>
      <c r="J320" s="1" t="s">
        <v>242</v>
      </c>
      <c r="K320" s="1" t="s">
        <v>218</v>
      </c>
    </row>
    <row r="321" spans="1:11" x14ac:dyDescent="0.25">
      <c r="A321" s="1" t="s">
        <v>217</v>
      </c>
      <c r="B321" s="1">
        <v>12</v>
      </c>
      <c r="C321" s="1" t="s">
        <v>24</v>
      </c>
      <c r="D321" s="1">
        <v>1</v>
      </c>
      <c r="E321" s="1" t="s">
        <v>195</v>
      </c>
      <c r="F321" s="1">
        <v>1</v>
      </c>
      <c r="G321" s="1">
        <v>0</v>
      </c>
      <c r="H321" s="1" t="s">
        <v>168</v>
      </c>
      <c r="I321" s="1" t="s">
        <v>245</v>
      </c>
      <c r="J321" s="1" t="s">
        <v>247</v>
      </c>
      <c r="K321" s="1" t="s">
        <v>218</v>
      </c>
    </row>
    <row r="322" spans="1:11" x14ac:dyDescent="0.25">
      <c r="A322" s="1" t="s">
        <v>217</v>
      </c>
      <c r="B322" s="1">
        <v>13</v>
      </c>
      <c r="C322" s="1" t="s">
        <v>24</v>
      </c>
      <c r="D322" s="1">
        <v>2</v>
      </c>
      <c r="E322" s="1" t="s">
        <v>195</v>
      </c>
      <c r="F322" s="1">
        <v>1</v>
      </c>
      <c r="G322" s="1">
        <v>0</v>
      </c>
      <c r="H322" s="1" t="s">
        <v>168</v>
      </c>
      <c r="I322" s="1" t="s">
        <v>245</v>
      </c>
      <c r="J322" s="1" t="s">
        <v>247</v>
      </c>
      <c r="K322" s="1" t="s">
        <v>218</v>
      </c>
    </row>
    <row r="323" spans="1:11" x14ac:dyDescent="0.25">
      <c r="A323" s="1" t="s">
        <v>217</v>
      </c>
      <c r="B323" s="1">
        <v>15</v>
      </c>
      <c r="C323" s="1" t="s">
        <v>27</v>
      </c>
      <c r="D323" s="1">
        <v>1</v>
      </c>
      <c r="E323" s="1" t="s">
        <v>195</v>
      </c>
      <c r="F323" s="1">
        <v>1</v>
      </c>
      <c r="G323" s="1">
        <v>0</v>
      </c>
      <c r="H323" s="1" t="s">
        <v>168</v>
      </c>
      <c r="I323" s="1" t="s">
        <v>250</v>
      </c>
      <c r="J323" s="1" t="s">
        <v>252</v>
      </c>
      <c r="K323" s="1" t="s">
        <v>218</v>
      </c>
    </row>
    <row r="324" spans="1:11" x14ac:dyDescent="0.25">
      <c r="A324" s="1" t="s">
        <v>217</v>
      </c>
      <c r="B324" s="1">
        <v>16</v>
      </c>
      <c r="C324" s="1" t="s">
        <v>27</v>
      </c>
      <c r="D324" s="1">
        <v>2</v>
      </c>
      <c r="E324" s="1" t="s">
        <v>195</v>
      </c>
      <c r="F324" s="1">
        <v>1</v>
      </c>
      <c r="G324" s="1">
        <v>0</v>
      </c>
      <c r="H324" s="1" t="s">
        <v>168</v>
      </c>
      <c r="I324" s="1" t="s">
        <v>250</v>
      </c>
      <c r="J324" s="1" t="s">
        <v>252</v>
      </c>
      <c r="K324" s="1" t="s">
        <v>218</v>
      </c>
    </row>
    <row r="325" spans="1:11" x14ac:dyDescent="0.25">
      <c r="A325" s="1" t="s">
        <v>217</v>
      </c>
      <c r="B325" s="1">
        <v>21</v>
      </c>
      <c r="C325" s="1" t="s">
        <v>12</v>
      </c>
      <c r="D325" s="1">
        <v>1</v>
      </c>
      <c r="E325" s="1" t="s">
        <v>156</v>
      </c>
      <c r="F325" s="1">
        <v>33</v>
      </c>
      <c r="G325" s="1">
        <v>31</v>
      </c>
      <c r="H325" s="1" t="s">
        <v>146</v>
      </c>
      <c r="I325" s="1" t="s">
        <v>255</v>
      </c>
      <c r="J325" s="1" t="s">
        <v>234</v>
      </c>
      <c r="K325" s="1" t="s">
        <v>218</v>
      </c>
    </row>
    <row r="326" spans="1:11" x14ac:dyDescent="0.25">
      <c r="A326" s="1" t="s">
        <v>217</v>
      </c>
      <c r="B326" s="1">
        <v>22</v>
      </c>
      <c r="C326" s="1" t="s">
        <v>12</v>
      </c>
      <c r="D326" s="1">
        <v>2</v>
      </c>
      <c r="E326" s="1" t="s">
        <v>156</v>
      </c>
      <c r="F326" s="1">
        <v>7</v>
      </c>
      <c r="G326" s="1">
        <v>3</v>
      </c>
      <c r="H326" s="1" t="s">
        <v>146</v>
      </c>
      <c r="I326" s="1" t="s">
        <v>255</v>
      </c>
      <c r="J326" s="1" t="s">
        <v>234</v>
      </c>
      <c r="K326" s="1" t="s">
        <v>218</v>
      </c>
    </row>
    <row r="327" spans="1:11" x14ac:dyDescent="0.25">
      <c r="A327" s="1" t="s">
        <v>217</v>
      </c>
      <c r="B327" s="1">
        <v>24</v>
      </c>
      <c r="C327" s="1" t="s">
        <v>18</v>
      </c>
      <c r="D327" s="1">
        <v>1</v>
      </c>
      <c r="E327" s="1" t="s">
        <v>156</v>
      </c>
      <c r="F327" s="1">
        <v>20</v>
      </c>
      <c r="G327" s="1">
        <v>22</v>
      </c>
      <c r="H327" s="1" t="s">
        <v>146</v>
      </c>
      <c r="I327" s="1" t="s">
        <v>258</v>
      </c>
      <c r="J327" s="1" t="s">
        <v>239</v>
      </c>
      <c r="K327" s="1" t="s">
        <v>218</v>
      </c>
    </row>
    <row r="328" spans="1:11" x14ac:dyDescent="0.25">
      <c r="A328" s="1" t="s">
        <v>217</v>
      </c>
      <c r="B328" s="1">
        <v>25</v>
      </c>
      <c r="C328" s="1" t="s">
        <v>18</v>
      </c>
      <c r="D328" s="1">
        <v>2</v>
      </c>
      <c r="E328" s="1" t="s">
        <v>156</v>
      </c>
      <c r="F328" s="1">
        <v>18</v>
      </c>
      <c r="G328" s="1">
        <v>21</v>
      </c>
      <c r="H328" s="1" t="s">
        <v>146</v>
      </c>
      <c r="I328" s="1" t="s">
        <v>258</v>
      </c>
      <c r="J328" s="1" t="s">
        <v>239</v>
      </c>
      <c r="K328" s="1" t="s">
        <v>218</v>
      </c>
    </row>
    <row r="329" spans="1:11" x14ac:dyDescent="0.25">
      <c r="A329" s="1" t="s">
        <v>217</v>
      </c>
      <c r="B329" s="1">
        <v>27</v>
      </c>
      <c r="C329" s="1" t="s">
        <v>21</v>
      </c>
      <c r="D329" s="1">
        <v>1</v>
      </c>
      <c r="E329" s="1" t="s">
        <v>156</v>
      </c>
      <c r="F329" s="1">
        <v>17</v>
      </c>
      <c r="G329" s="1">
        <v>21</v>
      </c>
      <c r="H329" s="1" t="s">
        <v>146</v>
      </c>
      <c r="I329" s="1" t="s">
        <v>261</v>
      </c>
      <c r="J329" s="1" t="s">
        <v>244</v>
      </c>
      <c r="K329" s="1" t="s">
        <v>218</v>
      </c>
    </row>
    <row r="330" spans="1:11" x14ac:dyDescent="0.25">
      <c r="A330" s="1" t="s">
        <v>217</v>
      </c>
      <c r="B330" s="1">
        <v>28</v>
      </c>
      <c r="C330" s="1" t="s">
        <v>21</v>
      </c>
      <c r="D330" s="1">
        <v>2</v>
      </c>
      <c r="E330" s="1" t="s">
        <v>156</v>
      </c>
      <c r="F330" s="1">
        <v>17</v>
      </c>
      <c r="G330" s="1">
        <v>20</v>
      </c>
      <c r="H330" s="1" t="s">
        <v>146</v>
      </c>
      <c r="I330" s="1" t="s">
        <v>261</v>
      </c>
      <c r="J330" s="1" t="s">
        <v>244</v>
      </c>
      <c r="K330" s="1" t="s">
        <v>218</v>
      </c>
    </row>
    <row r="331" spans="1:11" x14ac:dyDescent="0.25">
      <c r="A331" s="1" t="s">
        <v>217</v>
      </c>
      <c r="B331" s="1">
        <v>30</v>
      </c>
      <c r="C331" s="1" t="s">
        <v>24</v>
      </c>
      <c r="D331" s="1">
        <v>1</v>
      </c>
      <c r="E331" s="1" t="s">
        <v>156</v>
      </c>
      <c r="F331" s="1">
        <v>22</v>
      </c>
      <c r="G331" s="1">
        <v>24</v>
      </c>
      <c r="H331" s="1" t="s">
        <v>146</v>
      </c>
      <c r="I331" s="1" t="s">
        <v>264</v>
      </c>
      <c r="J331" s="1" t="s">
        <v>249</v>
      </c>
      <c r="K331" s="1" t="s">
        <v>218</v>
      </c>
    </row>
    <row r="332" spans="1:11" x14ac:dyDescent="0.25">
      <c r="A332" s="1" t="s">
        <v>217</v>
      </c>
      <c r="B332" s="1">
        <v>31</v>
      </c>
      <c r="C332" s="1" t="s">
        <v>24</v>
      </c>
      <c r="D332" s="1">
        <v>2</v>
      </c>
      <c r="E332" s="1" t="s">
        <v>156</v>
      </c>
      <c r="F332" s="1">
        <v>15</v>
      </c>
      <c r="G332" s="1">
        <v>21</v>
      </c>
      <c r="H332" s="1" t="s">
        <v>146</v>
      </c>
      <c r="I332" s="1" t="s">
        <v>264</v>
      </c>
      <c r="J332" s="1" t="s">
        <v>249</v>
      </c>
      <c r="K332" s="1" t="s">
        <v>218</v>
      </c>
    </row>
    <row r="333" spans="1:11" x14ac:dyDescent="0.25">
      <c r="A333" s="1" t="s">
        <v>217</v>
      </c>
      <c r="B333" s="1">
        <v>33</v>
      </c>
      <c r="C333" s="1" t="s">
        <v>27</v>
      </c>
      <c r="D333" s="1">
        <v>1</v>
      </c>
      <c r="E333" s="1" t="s">
        <v>156</v>
      </c>
      <c r="F333" s="1">
        <v>17</v>
      </c>
      <c r="G333" s="1">
        <v>21</v>
      </c>
      <c r="H333" s="1" t="s">
        <v>146</v>
      </c>
      <c r="I333" s="1" t="s">
        <v>267</v>
      </c>
      <c r="J333" s="1" t="s">
        <v>254</v>
      </c>
      <c r="K333" s="1" t="s">
        <v>218</v>
      </c>
    </row>
    <row r="334" spans="1:11" x14ac:dyDescent="0.25">
      <c r="A334" s="1" t="s">
        <v>217</v>
      </c>
      <c r="B334" s="1">
        <v>34</v>
      </c>
      <c r="C334" s="1" t="s">
        <v>27</v>
      </c>
      <c r="D334" s="1">
        <v>2</v>
      </c>
      <c r="E334" s="1" t="s">
        <v>156</v>
      </c>
      <c r="F334" s="1">
        <v>17</v>
      </c>
      <c r="G334" s="1">
        <v>21</v>
      </c>
      <c r="H334" s="1" t="s">
        <v>146</v>
      </c>
      <c r="I334" s="1" t="s">
        <v>267</v>
      </c>
      <c r="J334" s="1" t="s">
        <v>254</v>
      </c>
      <c r="K334" s="1" t="s">
        <v>218</v>
      </c>
    </row>
    <row r="335" spans="1:11" x14ac:dyDescent="0.25">
      <c r="A335" s="1" t="s">
        <v>217</v>
      </c>
      <c r="B335" s="1">
        <v>111</v>
      </c>
      <c r="C335" s="1" t="s">
        <v>12</v>
      </c>
      <c r="D335" s="1">
        <v>1</v>
      </c>
      <c r="E335" s="1" t="s">
        <v>95</v>
      </c>
      <c r="F335" s="1">
        <v>21</v>
      </c>
      <c r="G335" s="1">
        <v>14</v>
      </c>
      <c r="H335" s="1" t="s">
        <v>96</v>
      </c>
      <c r="I335" s="1" t="s">
        <v>285</v>
      </c>
      <c r="J335" s="1" t="s">
        <v>231</v>
      </c>
      <c r="K335" s="1" t="s">
        <v>219</v>
      </c>
    </row>
    <row r="336" spans="1:11" x14ac:dyDescent="0.25">
      <c r="A336" s="1" t="s">
        <v>217</v>
      </c>
      <c r="B336" s="1">
        <v>112</v>
      </c>
      <c r="C336" s="1" t="s">
        <v>12</v>
      </c>
      <c r="D336" s="1">
        <v>2</v>
      </c>
      <c r="E336" s="1" t="s">
        <v>95</v>
      </c>
      <c r="F336" s="1">
        <v>1</v>
      </c>
      <c r="G336" s="1">
        <v>0</v>
      </c>
      <c r="H336" s="1" t="s">
        <v>96</v>
      </c>
      <c r="I336" s="1" t="s">
        <v>285</v>
      </c>
      <c r="J336" s="1" t="s">
        <v>231</v>
      </c>
      <c r="K336" s="1" t="s">
        <v>219</v>
      </c>
    </row>
    <row r="337" spans="1:11" x14ac:dyDescent="0.25">
      <c r="A337" s="1" t="s">
        <v>217</v>
      </c>
      <c r="B337" s="1">
        <v>114</v>
      </c>
      <c r="C337" s="1" t="s">
        <v>18</v>
      </c>
      <c r="D337" s="1">
        <v>1</v>
      </c>
      <c r="E337" s="1" t="s">
        <v>95</v>
      </c>
      <c r="F337" s="1">
        <v>18</v>
      </c>
      <c r="G337" s="1">
        <v>21</v>
      </c>
      <c r="H337" s="1" t="s">
        <v>96</v>
      </c>
      <c r="I337" s="1" t="s">
        <v>286</v>
      </c>
      <c r="J337" s="1" t="s">
        <v>236</v>
      </c>
      <c r="K337" s="1" t="s">
        <v>219</v>
      </c>
    </row>
    <row r="338" spans="1:11" x14ac:dyDescent="0.25">
      <c r="A338" s="1" t="s">
        <v>217</v>
      </c>
      <c r="B338" s="1">
        <v>115</v>
      </c>
      <c r="C338" s="1" t="s">
        <v>18</v>
      </c>
      <c r="D338" s="1">
        <v>2</v>
      </c>
      <c r="E338" s="1" t="s">
        <v>95</v>
      </c>
      <c r="F338" s="1">
        <v>0</v>
      </c>
      <c r="G338" s="1">
        <v>1</v>
      </c>
      <c r="H338" s="1" t="s">
        <v>96</v>
      </c>
      <c r="I338" s="1" t="s">
        <v>286</v>
      </c>
      <c r="J338" s="1" t="s">
        <v>236</v>
      </c>
      <c r="K338" s="1" t="s">
        <v>219</v>
      </c>
    </row>
    <row r="339" spans="1:11" x14ac:dyDescent="0.25">
      <c r="A339" s="1" t="s">
        <v>217</v>
      </c>
      <c r="B339" s="1">
        <v>117</v>
      </c>
      <c r="C339" s="1" t="s">
        <v>21</v>
      </c>
      <c r="D339" s="1">
        <v>1</v>
      </c>
      <c r="E339" s="1" t="s">
        <v>95</v>
      </c>
      <c r="F339" s="1">
        <v>21</v>
      </c>
      <c r="G339" s="1">
        <v>14</v>
      </c>
      <c r="H339" s="1" t="s">
        <v>96</v>
      </c>
      <c r="I339" s="1" t="s">
        <v>287</v>
      </c>
      <c r="J339" s="1" t="s">
        <v>241</v>
      </c>
      <c r="K339" s="1" t="s">
        <v>219</v>
      </c>
    </row>
    <row r="340" spans="1:11" x14ac:dyDescent="0.25">
      <c r="A340" s="1" t="s">
        <v>217</v>
      </c>
      <c r="B340" s="1">
        <v>118</v>
      </c>
      <c r="C340" s="1" t="s">
        <v>21</v>
      </c>
      <c r="D340" s="1">
        <v>2</v>
      </c>
      <c r="E340" s="1" t="s">
        <v>95</v>
      </c>
      <c r="F340" s="1">
        <v>1</v>
      </c>
      <c r="G340" s="1">
        <v>0</v>
      </c>
      <c r="H340" s="1" t="s">
        <v>96</v>
      </c>
      <c r="I340" s="1" t="s">
        <v>287</v>
      </c>
      <c r="J340" s="1" t="s">
        <v>241</v>
      </c>
      <c r="K340" s="1" t="s">
        <v>219</v>
      </c>
    </row>
    <row r="341" spans="1:11" x14ac:dyDescent="0.25">
      <c r="A341" s="1" t="s">
        <v>217</v>
      </c>
      <c r="B341" s="1">
        <v>120</v>
      </c>
      <c r="C341" s="1" t="s">
        <v>24</v>
      </c>
      <c r="D341" s="1">
        <v>1</v>
      </c>
      <c r="E341" s="1" t="s">
        <v>95</v>
      </c>
      <c r="F341" s="1">
        <v>21</v>
      </c>
      <c r="G341" s="1">
        <v>18</v>
      </c>
      <c r="H341" s="1" t="s">
        <v>96</v>
      </c>
      <c r="I341" s="1" t="s">
        <v>288</v>
      </c>
      <c r="J341" s="1" t="s">
        <v>246</v>
      </c>
      <c r="K341" s="1" t="s">
        <v>219</v>
      </c>
    </row>
    <row r="342" spans="1:11" x14ac:dyDescent="0.25">
      <c r="A342" s="1" t="s">
        <v>217</v>
      </c>
      <c r="B342" s="1">
        <v>121</v>
      </c>
      <c r="C342" s="1" t="s">
        <v>24</v>
      </c>
      <c r="D342" s="1">
        <v>2</v>
      </c>
      <c r="E342" s="1" t="s">
        <v>95</v>
      </c>
      <c r="F342" s="1">
        <v>1</v>
      </c>
      <c r="G342" s="1">
        <v>0</v>
      </c>
      <c r="H342" s="1" t="s">
        <v>96</v>
      </c>
      <c r="I342" s="1" t="s">
        <v>288</v>
      </c>
      <c r="J342" s="1" t="s">
        <v>246</v>
      </c>
      <c r="K342" s="1" t="s">
        <v>219</v>
      </c>
    </row>
    <row r="343" spans="1:11" x14ac:dyDescent="0.25">
      <c r="A343" s="1" t="s">
        <v>217</v>
      </c>
      <c r="B343" s="1">
        <v>123</v>
      </c>
      <c r="C343" s="1" t="s">
        <v>27</v>
      </c>
      <c r="D343" s="1">
        <v>1</v>
      </c>
      <c r="E343" s="1" t="s">
        <v>95</v>
      </c>
      <c r="F343" s="1">
        <v>21</v>
      </c>
      <c r="G343" s="1">
        <v>13</v>
      </c>
      <c r="H343" s="1" t="s">
        <v>96</v>
      </c>
      <c r="I343" s="1" t="s">
        <v>289</v>
      </c>
      <c r="J343" s="1" t="s">
        <v>251</v>
      </c>
      <c r="K343" s="1" t="s">
        <v>219</v>
      </c>
    </row>
    <row r="344" spans="1:11" x14ac:dyDescent="0.25">
      <c r="A344" s="1" t="s">
        <v>217</v>
      </c>
      <c r="B344" s="1">
        <v>124</v>
      </c>
      <c r="C344" s="1" t="s">
        <v>27</v>
      </c>
      <c r="D344" s="1">
        <v>2</v>
      </c>
      <c r="E344" s="1" t="s">
        <v>95</v>
      </c>
      <c r="F344" s="1">
        <v>1</v>
      </c>
      <c r="G344" s="1">
        <v>0</v>
      </c>
      <c r="H344" s="1" t="s">
        <v>96</v>
      </c>
      <c r="I344" s="1" t="s">
        <v>289</v>
      </c>
      <c r="J344" s="1" t="s">
        <v>251</v>
      </c>
      <c r="K344" s="1" t="s">
        <v>219</v>
      </c>
    </row>
    <row r="345" spans="1:11" x14ac:dyDescent="0.25">
      <c r="A345" s="1" t="s">
        <v>217</v>
      </c>
      <c r="B345" s="1">
        <v>129</v>
      </c>
      <c r="C345" s="1" t="s">
        <v>12</v>
      </c>
      <c r="D345" s="1">
        <v>1</v>
      </c>
      <c r="E345" s="1" t="s">
        <v>14</v>
      </c>
      <c r="F345" s="1">
        <v>-1</v>
      </c>
      <c r="G345" s="1">
        <v>2</v>
      </c>
      <c r="H345" s="1" t="s">
        <v>57</v>
      </c>
      <c r="I345" s="1" t="s">
        <v>300</v>
      </c>
      <c r="J345" s="1" t="s">
        <v>301</v>
      </c>
      <c r="K345" s="1" t="s">
        <v>219</v>
      </c>
    </row>
    <row r="346" spans="1:11" x14ac:dyDescent="0.25">
      <c r="A346" s="1" t="s">
        <v>217</v>
      </c>
      <c r="B346" s="1">
        <v>130</v>
      </c>
      <c r="C346" s="1" t="s">
        <v>12</v>
      </c>
      <c r="D346" s="1">
        <v>2</v>
      </c>
      <c r="E346" s="1" t="s">
        <v>14</v>
      </c>
      <c r="F346" s="1">
        <v>0</v>
      </c>
      <c r="G346" s="1">
        <v>1</v>
      </c>
      <c r="H346" s="1" t="s">
        <v>57</v>
      </c>
      <c r="I346" s="1" t="s">
        <v>300</v>
      </c>
      <c r="J346" s="1" t="s">
        <v>301</v>
      </c>
      <c r="K346" s="1" t="s">
        <v>219</v>
      </c>
    </row>
    <row r="347" spans="1:11" x14ac:dyDescent="0.25">
      <c r="A347" s="1" t="s">
        <v>217</v>
      </c>
      <c r="B347" s="1">
        <v>132</v>
      </c>
      <c r="C347" s="1" t="s">
        <v>18</v>
      </c>
      <c r="D347" s="1">
        <v>1</v>
      </c>
      <c r="E347" s="1" t="s">
        <v>14</v>
      </c>
      <c r="F347" s="1">
        <v>-1</v>
      </c>
      <c r="G347" s="1">
        <v>2</v>
      </c>
      <c r="H347" s="1" t="s">
        <v>57</v>
      </c>
      <c r="I347" s="1" t="s">
        <v>302</v>
      </c>
      <c r="J347" s="1" t="s">
        <v>303</v>
      </c>
      <c r="K347" s="1" t="s">
        <v>219</v>
      </c>
    </row>
    <row r="348" spans="1:11" x14ac:dyDescent="0.25">
      <c r="A348" s="1" t="s">
        <v>217</v>
      </c>
      <c r="B348" s="1">
        <v>133</v>
      </c>
      <c r="C348" s="1" t="s">
        <v>18</v>
      </c>
      <c r="D348" s="1">
        <v>2</v>
      </c>
      <c r="E348" s="1" t="s">
        <v>14</v>
      </c>
      <c r="F348" s="1">
        <v>0</v>
      </c>
      <c r="G348" s="1">
        <v>1</v>
      </c>
      <c r="H348" s="1" t="s">
        <v>57</v>
      </c>
      <c r="I348" s="1" t="s">
        <v>302</v>
      </c>
      <c r="J348" s="1" t="s">
        <v>303</v>
      </c>
      <c r="K348" s="1" t="s">
        <v>219</v>
      </c>
    </row>
    <row r="349" spans="1:11" x14ac:dyDescent="0.25">
      <c r="A349" s="1" t="s">
        <v>217</v>
      </c>
      <c r="B349" s="1">
        <v>135</v>
      </c>
      <c r="C349" s="1" t="s">
        <v>21</v>
      </c>
      <c r="D349" s="1">
        <v>1</v>
      </c>
      <c r="E349" s="1" t="s">
        <v>14</v>
      </c>
      <c r="F349" s="1">
        <v>-1</v>
      </c>
      <c r="G349" s="1">
        <v>2</v>
      </c>
      <c r="H349" s="1" t="s">
        <v>57</v>
      </c>
      <c r="I349" s="1" t="s">
        <v>304</v>
      </c>
      <c r="J349" s="1" t="s">
        <v>305</v>
      </c>
      <c r="K349" s="1" t="s">
        <v>219</v>
      </c>
    </row>
    <row r="350" spans="1:11" x14ac:dyDescent="0.25">
      <c r="A350" s="1" t="s">
        <v>217</v>
      </c>
      <c r="B350" s="1">
        <v>136</v>
      </c>
      <c r="C350" s="1" t="s">
        <v>21</v>
      </c>
      <c r="D350" s="1">
        <v>2</v>
      </c>
      <c r="E350" s="1" t="s">
        <v>14</v>
      </c>
      <c r="F350" s="1">
        <v>0</v>
      </c>
      <c r="G350" s="1">
        <v>1</v>
      </c>
      <c r="H350" s="1" t="s">
        <v>57</v>
      </c>
      <c r="I350" s="1" t="s">
        <v>304</v>
      </c>
      <c r="J350" s="1" t="s">
        <v>305</v>
      </c>
      <c r="K350" s="1" t="s">
        <v>219</v>
      </c>
    </row>
    <row r="351" spans="1:11" x14ac:dyDescent="0.25">
      <c r="A351" s="1" t="s">
        <v>217</v>
      </c>
      <c r="B351" s="1">
        <v>138</v>
      </c>
      <c r="C351" s="1" t="s">
        <v>24</v>
      </c>
      <c r="D351" s="1">
        <v>1</v>
      </c>
      <c r="E351" s="1" t="s">
        <v>14</v>
      </c>
      <c r="F351" s="1">
        <v>-1</v>
      </c>
      <c r="G351" s="1">
        <v>2</v>
      </c>
      <c r="H351" s="1" t="s">
        <v>57</v>
      </c>
      <c r="I351" s="1" t="s">
        <v>306</v>
      </c>
      <c r="J351" s="1" t="s">
        <v>307</v>
      </c>
      <c r="K351" s="1" t="s">
        <v>219</v>
      </c>
    </row>
    <row r="352" spans="1:11" x14ac:dyDescent="0.25">
      <c r="A352" s="1" t="s">
        <v>217</v>
      </c>
      <c r="B352" s="1">
        <v>139</v>
      </c>
      <c r="C352" s="1" t="s">
        <v>24</v>
      </c>
      <c r="D352" s="1">
        <v>2</v>
      </c>
      <c r="E352" s="1" t="s">
        <v>14</v>
      </c>
      <c r="F352" s="1">
        <v>0</v>
      </c>
      <c r="G352" s="1">
        <v>1</v>
      </c>
      <c r="H352" s="1" t="s">
        <v>57</v>
      </c>
      <c r="I352" s="1" t="s">
        <v>306</v>
      </c>
      <c r="J352" s="1" t="s">
        <v>307</v>
      </c>
      <c r="K352" s="1" t="s">
        <v>219</v>
      </c>
    </row>
    <row r="353" spans="1:11" x14ac:dyDescent="0.25">
      <c r="A353" s="1" t="s">
        <v>217</v>
      </c>
      <c r="B353" s="1">
        <v>141</v>
      </c>
      <c r="C353" s="1" t="s">
        <v>27</v>
      </c>
      <c r="D353" s="1">
        <v>1</v>
      </c>
      <c r="E353" s="1" t="s">
        <v>14</v>
      </c>
      <c r="F353" s="1">
        <v>-1</v>
      </c>
      <c r="G353" s="1">
        <v>2</v>
      </c>
      <c r="H353" s="1" t="s">
        <v>57</v>
      </c>
      <c r="I353" s="1" t="s">
        <v>308</v>
      </c>
      <c r="J353" s="1" t="s">
        <v>309</v>
      </c>
      <c r="K353" s="1" t="s">
        <v>219</v>
      </c>
    </row>
    <row r="354" spans="1:11" x14ac:dyDescent="0.25">
      <c r="A354" s="1" t="s">
        <v>217</v>
      </c>
      <c r="B354" s="1">
        <v>142</v>
      </c>
      <c r="C354" s="1" t="s">
        <v>27</v>
      </c>
      <c r="D354" s="1">
        <v>2</v>
      </c>
      <c r="E354" s="1" t="s">
        <v>14</v>
      </c>
      <c r="F354" s="1">
        <v>0</v>
      </c>
      <c r="G354" s="1">
        <v>1</v>
      </c>
      <c r="H354" s="1" t="s">
        <v>57</v>
      </c>
      <c r="I354" s="1" t="s">
        <v>308</v>
      </c>
      <c r="J354" s="1" t="s">
        <v>309</v>
      </c>
      <c r="K354" s="1" t="s">
        <v>219</v>
      </c>
    </row>
    <row r="355" spans="1:11" x14ac:dyDescent="0.25">
      <c r="A355" s="1" t="s">
        <v>217</v>
      </c>
      <c r="B355" s="1">
        <v>147</v>
      </c>
      <c r="C355" s="1" t="s">
        <v>12</v>
      </c>
      <c r="D355" s="1">
        <v>1</v>
      </c>
      <c r="E355" s="1" t="s">
        <v>82</v>
      </c>
      <c r="F355" s="1">
        <v>21</v>
      </c>
      <c r="G355" s="1">
        <v>16</v>
      </c>
      <c r="H355" s="1" t="s">
        <v>56</v>
      </c>
      <c r="I355" s="1" t="s">
        <v>316</v>
      </c>
      <c r="J355" s="1" t="s">
        <v>319</v>
      </c>
      <c r="K355" s="1" t="s">
        <v>220</v>
      </c>
    </row>
    <row r="356" spans="1:11" x14ac:dyDescent="0.25">
      <c r="A356" s="1" t="s">
        <v>217</v>
      </c>
      <c r="B356" s="1">
        <v>148</v>
      </c>
      <c r="C356" s="1" t="s">
        <v>12</v>
      </c>
      <c r="D356" s="1">
        <v>2</v>
      </c>
      <c r="E356" s="1" t="s">
        <v>82</v>
      </c>
      <c r="F356" s="1">
        <v>1</v>
      </c>
      <c r="G356" s="1">
        <v>0</v>
      </c>
      <c r="H356" s="1" t="s">
        <v>56</v>
      </c>
      <c r="I356" s="1" t="s">
        <v>316</v>
      </c>
      <c r="J356" s="1" t="s">
        <v>319</v>
      </c>
      <c r="K356" s="1" t="s">
        <v>220</v>
      </c>
    </row>
    <row r="357" spans="1:11" x14ac:dyDescent="0.25">
      <c r="A357" s="1" t="s">
        <v>217</v>
      </c>
      <c r="B357" s="1">
        <v>150</v>
      </c>
      <c r="C357" s="1" t="s">
        <v>18</v>
      </c>
      <c r="D357" s="1">
        <v>1</v>
      </c>
      <c r="E357" s="1" t="s">
        <v>82</v>
      </c>
      <c r="F357" s="1">
        <v>15</v>
      </c>
      <c r="G357" s="1">
        <v>21</v>
      </c>
      <c r="H357" s="1" t="s">
        <v>56</v>
      </c>
      <c r="I357" s="1" t="s">
        <v>321</v>
      </c>
      <c r="J357" s="1" t="s">
        <v>323</v>
      </c>
      <c r="K357" s="1" t="s">
        <v>220</v>
      </c>
    </row>
    <row r="358" spans="1:11" x14ac:dyDescent="0.25">
      <c r="A358" s="1" t="s">
        <v>217</v>
      </c>
      <c r="B358" s="1">
        <v>151</v>
      </c>
      <c r="C358" s="1" t="s">
        <v>18</v>
      </c>
      <c r="D358" s="1">
        <v>2</v>
      </c>
      <c r="E358" s="1" t="s">
        <v>82</v>
      </c>
      <c r="F358" s="1">
        <v>1</v>
      </c>
      <c r="G358" s="1">
        <v>0</v>
      </c>
      <c r="H358" s="1" t="s">
        <v>56</v>
      </c>
      <c r="I358" s="1" t="s">
        <v>321</v>
      </c>
      <c r="J358" s="1" t="s">
        <v>323</v>
      </c>
      <c r="K358" s="1" t="s">
        <v>220</v>
      </c>
    </row>
    <row r="359" spans="1:11" x14ac:dyDescent="0.25">
      <c r="A359" s="1" t="s">
        <v>217</v>
      </c>
      <c r="B359" s="1">
        <v>153</v>
      </c>
      <c r="C359" s="1" t="s">
        <v>21</v>
      </c>
      <c r="D359" s="1">
        <v>1</v>
      </c>
      <c r="E359" s="1" t="s">
        <v>82</v>
      </c>
      <c r="F359" s="1">
        <v>21</v>
      </c>
      <c r="G359" s="1">
        <v>9</v>
      </c>
      <c r="H359" s="1" t="s">
        <v>56</v>
      </c>
      <c r="I359" s="1" t="s">
        <v>324</v>
      </c>
      <c r="J359" s="1" t="s">
        <v>325</v>
      </c>
      <c r="K359" s="1" t="s">
        <v>220</v>
      </c>
    </row>
    <row r="360" spans="1:11" x14ac:dyDescent="0.25">
      <c r="A360" s="1" t="s">
        <v>217</v>
      </c>
      <c r="B360" s="1">
        <v>154</v>
      </c>
      <c r="C360" s="1" t="s">
        <v>21</v>
      </c>
      <c r="D360" s="1">
        <v>2</v>
      </c>
      <c r="E360" s="1" t="s">
        <v>82</v>
      </c>
      <c r="F360" s="1">
        <v>1</v>
      </c>
      <c r="G360" s="1">
        <v>0</v>
      </c>
      <c r="H360" s="1" t="s">
        <v>56</v>
      </c>
      <c r="I360" s="1" t="s">
        <v>324</v>
      </c>
      <c r="J360" s="1" t="s">
        <v>325</v>
      </c>
      <c r="K360" s="1" t="s">
        <v>220</v>
      </c>
    </row>
    <row r="361" spans="1:11" x14ac:dyDescent="0.25">
      <c r="A361" s="1" t="s">
        <v>217</v>
      </c>
      <c r="B361" s="1">
        <v>156</v>
      </c>
      <c r="C361" s="1" t="s">
        <v>24</v>
      </c>
      <c r="D361" s="1">
        <v>1</v>
      </c>
      <c r="E361" s="1" t="s">
        <v>82</v>
      </c>
      <c r="F361" s="1">
        <v>21</v>
      </c>
      <c r="G361" s="1">
        <v>14</v>
      </c>
      <c r="H361" s="1" t="s">
        <v>56</v>
      </c>
      <c r="I361" s="1" t="s">
        <v>329</v>
      </c>
      <c r="J361" s="1" t="s">
        <v>330</v>
      </c>
      <c r="K361" s="1" t="s">
        <v>220</v>
      </c>
    </row>
    <row r="362" spans="1:11" x14ac:dyDescent="0.25">
      <c r="A362" s="1" t="s">
        <v>217</v>
      </c>
      <c r="B362" s="1">
        <v>157</v>
      </c>
      <c r="C362" s="1" t="s">
        <v>24</v>
      </c>
      <c r="D362" s="1">
        <v>2</v>
      </c>
      <c r="E362" s="1" t="s">
        <v>82</v>
      </c>
      <c r="F362" s="1">
        <v>1</v>
      </c>
      <c r="G362" s="1">
        <v>0</v>
      </c>
      <c r="H362" s="1" t="s">
        <v>56</v>
      </c>
      <c r="I362" s="1" t="s">
        <v>329</v>
      </c>
      <c r="J362" s="1" t="s">
        <v>330</v>
      </c>
      <c r="K362" s="1" t="s">
        <v>220</v>
      </c>
    </row>
    <row r="363" spans="1:11" x14ac:dyDescent="0.25">
      <c r="A363" s="1" t="s">
        <v>217</v>
      </c>
      <c r="B363" s="1">
        <v>159</v>
      </c>
      <c r="C363" s="1" t="s">
        <v>27</v>
      </c>
      <c r="D363" s="1">
        <v>1</v>
      </c>
      <c r="E363" s="1" t="s">
        <v>82</v>
      </c>
      <c r="F363" s="1">
        <v>21</v>
      </c>
      <c r="G363" s="1">
        <v>14</v>
      </c>
      <c r="H363" s="1" t="s">
        <v>56</v>
      </c>
      <c r="I363" s="1" t="s">
        <v>332</v>
      </c>
      <c r="J363" s="1" t="s">
        <v>333</v>
      </c>
      <c r="K363" s="1" t="s">
        <v>220</v>
      </c>
    </row>
    <row r="364" spans="1:11" x14ac:dyDescent="0.25">
      <c r="A364" s="1" t="s">
        <v>217</v>
      </c>
      <c r="B364" s="1">
        <v>160</v>
      </c>
      <c r="C364" s="1" t="s">
        <v>27</v>
      </c>
      <c r="D364" s="1">
        <v>2</v>
      </c>
      <c r="E364" s="1" t="s">
        <v>82</v>
      </c>
      <c r="F364" s="1">
        <v>0</v>
      </c>
      <c r="G364" s="1">
        <v>1</v>
      </c>
      <c r="H364" s="1" t="s">
        <v>56</v>
      </c>
      <c r="I364" s="1" t="s">
        <v>332</v>
      </c>
      <c r="J364" s="1" t="s">
        <v>333</v>
      </c>
      <c r="K364" s="1" t="s">
        <v>220</v>
      </c>
    </row>
    <row r="365" spans="1:11" x14ac:dyDescent="0.25">
      <c r="A365" s="1" t="s">
        <v>217</v>
      </c>
      <c r="B365" s="1">
        <v>165</v>
      </c>
      <c r="C365" s="1" t="s">
        <v>12</v>
      </c>
      <c r="D365" s="1">
        <v>1</v>
      </c>
      <c r="E365" s="1" t="s">
        <v>13</v>
      </c>
      <c r="F365" s="1">
        <v>12</v>
      </c>
      <c r="G365" s="1">
        <v>21</v>
      </c>
      <c r="H365" s="1" t="s">
        <v>44</v>
      </c>
      <c r="I365" s="1" t="s">
        <v>335</v>
      </c>
      <c r="J365" s="1" t="s">
        <v>317</v>
      </c>
      <c r="K365" s="1" t="s">
        <v>220</v>
      </c>
    </row>
    <row r="366" spans="1:11" x14ac:dyDescent="0.25">
      <c r="A366" s="1" t="s">
        <v>217</v>
      </c>
      <c r="B366" s="1">
        <v>166</v>
      </c>
      <c r="C366" s="1" t="s">
        <v>12</v>
      </c>
      <c r="D366" s="1">
        <v>2</v>
      </c>
      <c r="E366" s="1" t="s">
        <v>13</v>
      </c>
      <c r="F366" s="1">
        <v>0</v>
      </c>
      <c r="G366" s="1">
        <v>1</v>
      </c>
      <c r="H366" s="1" t="s">
        <v>44</v>
      </c>
      <c r="I366" s="1" t="s">
        <v>335</v>
      </c>
      <c r="J366" s="1" t="s">
        <v>317</v>
      </c>
      <c r="K366" s="1" t="s">
        <v>220</v>
      </c>
    </row>
    <row r="367" spans="1:11" x14ac:dyDescent="0.25">
      <c r="A367" s="1" t="s">
        <v>217</v>
      </c>
      <c r="B367" s="1">
        <v>168</v>
      </c>
      <c r="C367" s="1" t="s">
        <v>18</v>
      </c>
      <c r="D367" s="1">
        <v>1</v>
      </c>
      <c r="E367" s="1" t="s">
        <v>13</v>
      </c>
      <c r="F367" s="1">
        <v>21</v>
      </c>
      <c r="G367" s="1">
        <v>23</v>
      </c>
      <c r="H367" s="1" t="s">
        <v>44</v>
      </c>
      <c r="I367" s="1" t="s">
        <v>337</v>
      </c>
      <c r="J367" s="1" t="s">
        <v>322</v>
      </c>
      <c r="K367" s="1" t="s">
        <v>220</v>
      </c>
    </row>
    <row r="368" spans="1:11" x14ac:dyDescent="0.25">
      <c r="A368" s="1" t="s">
        <v>217</v>
      </c>
      <c r="B368" s="1">
        <v>169</v>
      </c>
      <c r="C368" s="1" t="s">
        <v>18</v>
      </c>
      <c r="D368" s="1">
        <v>2</v>
      </c>
      <c r="E368" s="1" t="s">
        <v>13</v>
      </c>
      <c r="F368" s="1">
        <v>0</v>
      </c>
      <c r="G368" s="1">
        <v>1</v>
      </c>
      <c r="H368" s="1" t="s">
        <v>44</v>
      </c>
      <c r="I368" s="1" t="s">
        <v>337</v>
      </c>
      <c r="J368" s="1" t="s">
        <v>322</v>
      </c>
      <c r="K368" s="1" t="s">
        <v>220</v>
      </c>
    </row>
    <row r="369" spans="1:11" x14ac:dyDescent="0.25">
      <c r="A369" s="1" t="s">
        <v>217</v>
      </c>
      <c r="B369" s="1">
        <v>171</v>
      </c>
      <c r="C369" s="1" t="s">
        <v>21</v>
      </c>
      <c r="D369" s="1">
        <v>1</v>
      </c>
      <c r="E369" s="1" t="s">
        <v>13</v>
      </c>
      <c r="F369" s="1">
        <v>19</v>
      </c>
      <c r="G369" s="1">
        <v>21</v>
      </c>
      <c r="H369" s="1" t="s">
        <v>44</v>
      </c>
      <c r="I369" s="1" t="s">
        <v>339</v>
      </c>
      <c r="J369" s="1" t="s">
        <v>327</v>
      </c>
      <c r="K369" s="1" t="s">
        <v>220</v>
      </c>
    </row>
    <row r="370" spans="1:11" x14ac:dyDescent="0.25">
      <c r="A370" s="1" t="s">
        <v>217</v>
      </c>
      <c r="B370" s="1">
        <v>172</v>
      </c>
      <c r="C370" s="1" t="s">
        <v>21</v>
      </c>
      <c r="D370" s="1">
        <v>2</v>
      </c>
      <c r="E370" s="1" t="s">
        <v>13</v>
      </c>
      <c r="F370" s="1">
        <v>0</v>
      </c>
      <c r="G370" s="1">
        <v>1</v>
      </c>
      <c r="H370" s="1" t="s">
        <v>44</v>
      </c>
      <c r="I370" s="1" t="s">
        <v>339</v>
      </c>
      <c r="J370" s="1" t="s">
        <v>327</v>
      </c>
      <c r="K370" s="1" t="s">
        <v>220</v>
      </c>
    </row>
    <row r="371" spans="1:11" x14ac:dyDescent="0.25">
      <c r="A371" s="1" t="s">
        <v>217</v>
      </c>
      <c r="B371" s="1">
        <v>174</v>
      </c>
      <c r="C371" s="1" t="s">
        <v>24</v>
      </c>
      <c r="D371" s="1">
        <v>1</v>
      </c>
      <c r="E371" s="1" t="s">
        <v>13</v>
      </c>
      <c r="F371" s="1">
        <v>18</v>
      </c>
      <c r="G371" s="1">
        <v>21</v>
      </c>
      <c r="H371" s="1" t="s">
        <v>44</v>
      </c>
      <c r="I371" s="1" t="s">
        <v>341</v>
      </c>
      <c r="J371" s="1" t="s">
        <v>331</v>
      </c>
      <c r="K371" s="1" t="s">
        <v>220</v>
      </c>
    </row>
    <row r="372" spans="1:11" x14ac:dyDescent="0.25">
      <c r="A372" s="1" t="s">
        <v>217</v>
      </c>
      <c r="B372" s="1">
        <v>175</v>
      </c>
      <c r="C372" s="1" t="s">
        <v>24</v>
      </c>
      <c r="D372" s="1">
        <v>2</v>
      </c>
      <c r="E372" s="1" t="s">
        <v>13</v>
      </c>
      <c r="F372" s="1">
        <v>0</v>
      </c>
      <c r="G372" s="1">
        <v>1</v>
      </c>
      <c r="H372" s="1" t="s">
        <v>44</v>
      </c>
      <c r="I372" s="1" t="s">
        <v>341</v>
      </c>
      <c r="J372" s="1" t="s">
        <v>331</v>
      </c>
      <c r="K372" s="1" t="s">
        <v>220</v>
      </c>
    </row>
    <row r="373" spans="1:11" x14ac:dyDescent="0.25">
      <c r="A373" s="1" t="s">
        <v>217</v>
      </c>
      <c r="B373" s="1">
        <v>177</v>
      </c>
      <c r="C373" s="1" t="s">
        <v>27</v>
      </c>
      <c r="D373" s="1">
        <v>1</v>
      </c>
      <c r="E373" s="1" t="s">
        <v>13</v>
      </c>
      <c r="F373" s="1">
        <v>21</v>
      </c>
      <c r="G373" s="1">
        <v>9</v>
      </c>
      <c r="H373" s="1" t="s">
        <v>44</v>
      </c>
      <c r="I373" s="1" t="s">
        <v>343</v>
      </c>
      <c r="J373" s="1" t="s">
        <v>334</v>
      </c>
      <c r="K373" s="1" t="s">
        <v>220</v>
      </c>
    </row>
    <row r="374" spans="1:11" x14ac:dyDescent="0.25">
      <c r="A374" s="1" t="s">
        <v>217</v>
      </c>
      <c r="B374" s="1">
        <v>178</v>
      </c>
      <c r="C374" s="1" t="s">
        <v>27</v>
      </c>
      <c r="D374" s="1">
        <v>2</v>
      </c>
      <c r="E374" s="1" t="s">
        <v>13</v>
      </c>
      <c r="F374" s="1">
        <v>1</v>
      </c>
      <c r="G374" s="1">
        <v>0</v>
      </c>
      <c r="H374" s="1" t="s">
        <v>44</v>
      </c>
      <c r="I374" s="1" t="s">
        <v>343</v>
      </c>
      <c r="J374" s="1" t="s">
        <v>334</v>
      </c>
      <c r="K374" s="1" t="s">
        <v>220</v>
      </c>
    </row>
    <row r="375" spans="1:11" x14ac:dyDescent="0.25">
      <c r="A375" s="1" t="s">
        <v>217</v>
      </c>
      <c r="B375" s="1">
        <v>183</v>
      </c>
      <c r="C375" s="1" t="s">
        <v>12</v>
      </c>
      <c r="D375" s="1">
        <v>1</v>
      </c>
      <c r="E375" s="1" t="s">
        <v>109</v>
      </c>
      <c r="F375" s="1">
        <v>21</v>
      </c>
      <c r="G375" s="1">
        <v>16</v>
      </c>
      <c r="H375" s="1" t="s">
        <v>134</v>
      </c>
      <c r="I375" s="1" t="s">
        <v>346</v>
      </c>
      <c r="J375" s="1" t="s">
        <v>318</v>
      </c>
      <c r="K375" s="1" t="s">
        <v>223</v>
      </c>
    </row>
    <row r="376" spans="1:11" x14ac:dyDescent="0.25">
      <c r="A376" s="1" t="s">
        <v>217</v>
      </c>
      <c r="B376" s="1">
        <v>184</v>
      </c>
      <c r="C376" s="1" t="s">
        <v>12</v>
      </c>
      <c r="D376" s="1">
        <v>2</v>
      </c>
      <c r="E376" s="1" t="s">
        <v>109</v>
      </c>
      <c r="F376" s="1">
        <v>1</v>
      </c>
      <c r="G376" s="1">
        <v>0</v>
      </c>
      <c r="H376" s="1" t="s">
        <v>134</v>
      </c>
      <c r="I376" s="1" t="s">
        <v>346</v>
      </c>
      <c r="J376" s="1" t="s">
        <v>318</v>
      </c>
      <c r="K376" s="1" t="s">
        <v>223</v>
      </c>
    </row>
    <row r="377" spans="1:11" x14ac:dyDescent="0.25">
      <c r="A377" s="1" t="s">
        <v>217</v>
      </c>
      <c r="B377" s="1">
        <v>186</v>
      </c>
      <c r="C377" s="1" t="s">
        <v>18</v>
      </c>
      <c r="D377" s="1">
        <v>1</v>
      </c>
      <c r="E377" s="1" t="s">
        <v>109</v>
      </c>
      <c r="F377" s="1">
        <v>23</v>
      </c>
      <c r="G377" s="1">
        <v>25</v>
      </c>
      <c r="H377" s="1" t="s">
        <v>134</v>
      </c>
      <c r="I377" s="1" t="s">
        <v>348</v>
      </c>
      <c r="J377" s="1" t="s">
        <v>320</v>
      </c>
      <c r="K377" s="1" t="s">
        <v>223</v>
      </c>
    </row>
    <row r="378" spans="1:11" x14ac:dyDescent="0.25">
      <c r="A378" s="1" t="s">
        <v>217</v>
      </c>
      <c r="B378" s="1">
        <v>187</v>
      </c>
      <c r="C378" s="1" t="s">
        <v>18</v>
      </c>
      <c r="D378" s="1">
        <v>2</v>
      </c>
      <c r="E378" s="1" t="s">
        <v>109</v>
      </c>
      <c r="F378" s="1">
        <v>0</v>
      </c>
      <c r="G378" s="1">
        <v>1</v>
      </c>
      <c r="H378" s="1" t="s">
        <v>134</v>
      </c>
      <c r="I378" s="1" t="s">
        <v>348</v>
      </c>
      <c r="J378" s="1" t="s">
        <v>320</v>
      </c>
      <c r="K378" s="1" t="s">
        <v>223</v>
      </c>
    </row>
    <row r="379" spans="1:11" x14ac:dyDescent="0.25">
      <c r="A379" s="1" t="s">
        <v>217</v>
      </c>
      <c r="B379" s="1">
        <v>189</v>
      </c>
      <c r="C379" s="1" t="s">
        <v>21</v>
      </c>
      <c r="D379" s="1">
        <v>1</v>
      </c>
      <c r="E379" s="1" t="s">
        <v>109</v>
      </c>
      <c r="F379" s="1">
        <v>21</v>
      </c>
      <c r="G379" s="1">
        <v>11</v>
      </c>
      <c r="H379" s="1" t="s">
        <v>134</v>
      </c>
      <c r="I379" s="1" t="s">
        <v>350</v>
      </c>
      <c r="J379" s="1" t="s">
        <v>326</v>
      </c>
      <c r="K379" s="1" t="s">
        <v>223</v>
      </c>
    </row>
    <row r="380" spans="1:11" x14ac:dyDescent="0.25">
      <c r="A380" s="1" t="s">
        <v>217</v>
      </c>
      <c r="B380" s="1">
        <v>190</v>
      </c>
      <c r="C380" s="1" t="s">
        <v>21</v>
      </c>
      <c r="D380" s="1">
        <v>2</v>
      </c>
      <c r="E380" s="1" t="s">
        <v>109</v>
      </c>
      <c r="F380" s="1">
        <v>1</v>
      </c>
      <c r="G380" s="1">
        <v>0</v>
      </c>
      <c r="H380" s="1" t="s">
        <v>134</v>
      </c>
      <c r="I380" s="1" t="s">
        <v>350</v>
      </c>
      <c r="J380" s="1" t="s">
        <v>326</v>
      </c>
      <c r="K380" s="1" t="s">
        <v>223</v>
      </c>
    </row>
    <row r="381" spans="1:11" x14ac:dyDescent="0.25">
      <c r="A381" s="1" t="s">
        <v>217</v>
      </c>
      <c r="B381" s="1">
        <v>192</v>
      </c>
      <c r="C381" s="1" t="s">
        <v>24</v>
      </c>
      <c r="D381" s="1">
        <v>1</v>
      </c>
      <c r="E381" s="1" t="s">
        <v>109</v>
      </c>
      <c r="F381" s="1">
        <v>21</v>
      </c>
      <c r="G381" s="1">
        <v>4</v>
      </c>
      <c r="H381" s="1" t="s">
        <v>134</v>
      </c>
      <c r="I381" s="1" t="s">
        <v>352</v>
      </c>
      <c r="J381" s="1" t="s">
        <v>328</v>
      </c>
      <c r="K381" s="1" t="s">
        <v>223</v>
      </c>
    </row>
    <row r="382" spans="1:11" x14ac:dyDescent="0.25">
      <c r="A382" s="1" t="s">
        <v>217</v>
      </c>
      <c r="B382" s="1">
        <v>193</v>
      </c>
      <c r="C382" s="1" t="s">
        <v>24</v>
      </c>
      <c r="D382" s="1">
        <v>2</v>
      </c>
      <c r="E382" s="1" t="s">
        <v>109</v>
      </c>
      <c r="F382" s="1">
        <v>1</v>
      </c>
      <c r="G382" s="1">
        <v>0</v>
      </c>
      <c r="H382" s="1" t="s">
        <v>134</v>
      </c>
      <c r="I382" s="1" t="s">
        <v>352</v>
      </c>
      <c r="J382" s="1" t="s">
        <v>328</v>
      </c>
      <c r="K382" s="1" t="s">
        <v>223</v>
      </c>
    </row>
    <row r="383" spans="1:11" x14ac:dyDescent="0.25">
      <c r="A383" s="1" t="s">
        <v>217</v>
      </c>
      <c r="B383" s="1">
        <v>195</v>
      </c>
      <c r="C383" s="1" t="s">
        <v>27</v>
      </c>
      <c r="D383" s="1">
        <v>1</v>
      </c>
      <c r="E383" s="1" t="s">
        <v>109</v>
      </c>
      <c r="F383" s="1">
        <v>1</v>
      </c>
      <c r="G383" s="1">
        <v>0</v>
      </c>
      <c r="H383" s="1" t="s">
        <v>134</v>
      </c>
      <c r="I383" s="1" t="s">
        <v>353</v>
      </c>
      <c r="J383" s="1"/>
      <c r="K383" s="1" t="s">
        <v>223</v>
      </c>
    </row>
    <row r="384" spans="1:11" x14ac:dyDescent="0.25">
      <c r="A384" s="1" t="s">
        <v>217</v>
      </c>
      <c r="B384" s="1">
        <v>196</v>
      </c>
      <c r="C384" s="1" t="s">
        <v>27</v>
      </c>
      <c r="D384" s="1">
        <v>2</v>
      </c>
      <c r="E384" s="1" t="s">
        <v>109</v>
      </c>
      <c r="F384" s="1">
        <v>1</v>
      </c>
      <c r="G384" s="1">
        <v>0</v>
      </c>
      <c r="H384" s="1" t="s">
        <v>134</v>
      </c>
      <c r="I384" s="1" t="s">
        <v>353</v>
      </c>
      <c r="J384" s="1"/>
      <c r="K384" s="1" t="s">
        <v>223</v>
      </c>
    </row>
    <row r="385" spans="1:11" x14ac:dyDescent="0.25">
      <c r="A385" s="1" t="s">
        <v>217</v>
      </c>
      <c r="B385" s="1">
        <v>201</v>
      </c>
      <c r="C385" s="1" t="s">
        <v>12</v>
      </c>
      <c r="D385" s="1">
        <v>1</v>
      </c>
      <c r="E385" s="1" t="s">
        <v>43</v>
      </c>
      <c r="F385" s="1">
        <v>21</v>
      </c>
      <c r="G385" s="1">
        <v>19</v>
      </c>
      <c r="H385" s="1" t="s">
        <v>83</v>
      </c>
      <c r="I385" s="1" t="s">
        <v>345</v>
      </c>
      <c r="J385" s="1" t="s">
        <v>336</v>
      </c>
      <c r="K385" s="1" t="s">
        <v>223</v>
      </c>
    </row>
    <row r="386" spans="1:11" x14ac:dyDescent="0.25">
      <c r="A386" s="1" t="s">
        <v>217</v>
      </c>
      <c r="B386" s="1">
        <v>202</v>
      </c>
      <c r="C386" s="1" t="s">
        <v>12</v>
      </c>
      <c r="D386" s="1">
        <v>2</v>
      </c>
      <c r="E386" s="1" t="s">
        <v>43</v>
      </c>
      <c r="F386" s="1">
        <v>1</v>
      </c>
      <c r="G386" s="1">
        <v>0</v>
      </c>
      <c r="H386" s="1" t="s">
        <v>83</v>
      </c>
      <c r="I386" s="1" t="s">
        <v>345</v>
      </c>
      <c r="J386" s="1" t="s">
        <v>336</v>
      </c>
      <c r="K386" s="1" t="s">
        <v>223</v>
      </c>
    </row>
    <row r="387" spans="1:11" x14ac:dyDescent="0.25">
      <c r="A387" s="1" t="s">
        <v>217</v>
      </c>
      <c r="B387" s="1">
        <v>204</v>
      </c>
      <c r="C387" s="1" t="s">
        <v>18</v>
      </c>
      <c r="D387" s="1">
        <v>1</v>
      </c>
      <c r="E387" s="1" t="s">
        <v>43</v>
      </c>
      <c r="F387" s="1">
        <v>25</v>
      </c>
      <c r="G387" s="1">
        <v>23</v>
      </c>
      <c r="H387" s="1" t="s">
        <v>83</v>
      </c>
      <c r="I387" s="1" t="s">
        <v>347</v>
      </c>
      <c r="J387" s="1" t="s">
        <v>338</v>
      </c>
      <c r="K387" s="1" t="s">
        <v>223</v>
      </c>
    </row>
    <row r="388" spans="1:11" x14ac:dyDescent="0.25">
      <c r="A388" s="1" t="s">
        <v>217</v>
      </c>
      <c r="B388" s="1">
        <v>205</v>
      </c>
      <c r="C388" s="1" t="s">
        <v>18</v>
      </c>
      <c r="D388" s="1">
        <v>2</v>
      </c>
      <c r="E388" s="1" t="s">
        <v>43</v>
      </c>
      <c r="F388" s="1">
        <v>1</v>
      </c>
      <c r="G388" s="1">
        <v>0</v>
      </c>
      <c r="H388" s="1" t="s">
        <v>83</v>
      </c>
      <c r="I388" s="1" t="s">
        <v>347</v>
      </c>
      <c r="J388" s="1" t="s">
        <v>338</v>
      </c>
      <c r="K388" s="1" t="s">
        <v>223</v>
      </c>
    </row>
    <row r="389" spans="1:11" x14ac:dyDescent="0.25">
      <c r="A389" s="1" t="s">
        <v>217</v>
      </c>
      <c r="B389" s="1">
        <v>207</v>
      </c>
      <c r="C389" s="1" t="s">
        <v>21</v>
      </c>
      <c r="D389" s="1">
        <v>1</v>
      </c>
      <c r="E389" s="1" t="s">
        <v>43</v>
      </c>
      <c r="F389" s="1">
        <v>21</v>
      </c>
      <c r="G389" s="1">
        <v>10</v>
      </c>
      <c r="H389" s="1" t="s">
        <v>83</v>
      </c>
      <c r="I389" s="1" t="s">
        <v>349</v>
      </c>
      <c r="J389" s="1" t="s">
        <v>340</v>
      </c>
      <c r="K389" s="1" t="s">
        <v>223</v>
      </c>
    </row>
    <row r="390" spans="1:11" x14ac:dyDescent="0.25">
      <c r="A390" s="1" t="s">
        <v>217</v>
      </c>
      <c r="B390" s="1">
        <v>208</v>
      </c>
      <c r="C390" s="1" t="s">
        <v>21</v>
      </c>
      <c r="D390" s="1">
        <v>2</v>
      </c>
      <c r="E390" s="1" t="s">
        <v>43</v>
      </c>
      <c r="F390" s="1">
        <v>1</v>
      </c>
      <c r="G390" s="1">
        <v>0</v>
      </c>
      <c r="H390" s="1" t="s">
        <v>83</v>
      </c>
      <c r="I390" s="1" t="s">
        <v>349</v>
      </c>
      <c r="J390" s="1" t="s">
        <v>340</v>
      </c>
      <c r="K390" s="1" t="s">
        <v>223</v>
      </c>
    </row>
    <row r="391" spans="1:11" x14ac:dyDescent="0.25">
      <c r="A391" s="1" t="s">
        <v>217</v>
      </c>
      <c r="B391" s="1">
        <v>210</v>
      </c>
      <c r="C391" s="1" t="s">
        <v>24</v>
      </c>
      <c r="D391" s="1">
        <v>1</v>
      </c>
      <c r="E391" s="1" t="s">
        <v>43</v>
      </c>
      <c r="F391" s="1">
        <v>21</v>
      </c>
      <c r="G391" s="1">
        <v>6</v>
      </c>
      <c r="H391" s="1" t="s">
        <v>83</v>
      </c>
      <c r="I391" s="1" t="s">
        <v>351</v>
      </c>
      <c r="J391" s="1" t="s">
        <v>342</v>
      </c>
      <c r="K391" s="1" t="s">
        <v>223</v>
      </c>
    </row>
    <row r="392" spans="1:11" x14ac:dyDescent="0.25">
      <c r="A392" s="1" t="s">
        <v>217</v>
      </c>
      <c r="B392" s="1">
        <v>211</v>
      </c>
      <c r="C392" s="1" t="s">
        <v>24</v>
      </c>
      <c r="D392" s="1">
        <v>2</v>
      </c>
      <c r="E392" s="1" t="s">
        <v>43</v>
      </c>
      <c r="F392" s="1">
        <v>1</v>
      </c>
      <c r="G392" s="1">
        <v>0</v>
      </c>
      <c r="H392" s="1" t="s">
        <v>83</v>
      </c>
      <c r="I392" s="1" t="s">
        <v>351</v>
      </c>
      <c r="J392" s="1" t="s">
        <v>342</v>
      </c>
      <c r="K392" s="1" t="s">
        <v>223</v>
      </c>
    </row>
    <row r="393" spans="1:11" x14ac:dyDescent="0.25">
      <c r="A393" s="1" t="s">
        <v>217</v>
      </c>
      <c r="B393" s="1">
        <v>213</v>
      </c>
      <c r="C393" s="1" t="s">
        <v>27</v>
      </c>
      <c r="D393" s="1">
        <v>1</v>
      </c>
      <c r="E393" s="1" t="s">
        <v>43</v>
      </c>
      <c r="F393" s="1">
        <v>0</v>
      </c>
      <c r="G393" s="1">
        <v>1</v>
      </c>
      <c r="H393" s="1" t="s">
        <v>83</v>
      </c>
      <c r="I393" s="1"/>
      <c r="J393" s="1" t="s">
        <v>344</v>
      </c>
      <c r="K393" s="1" t="s">
        <v>223</v>
      </c>
    </row>
    <row r="394" spans="1:11" x14ac:dyDescent="0.25">
      <c r="A394" s="1" t="s">
        <v>217</v>
      </c>
      <c r="B394" s="1">
        <v>214</v>
      </c>
      <c r="C394" s="1" t="s">
        <v>27</v>
      </c>
      <c r="D394" s="1">
        <v>2</v>
      </c>
      <c r="E394" s="1" t="s">
        <v>43</v>
      </c>
      <c r="F394" s="1">
        <v>0</v>
      </c>
      <c r="G394" s="1">
        <v>1</v>
      </c>
      <c r="H394" s="1" t="s">
        <v>83</v>
      </c>
      <c r="I394" s="1"/>
      <c r="J394" s="1" t="s">
        <v>344</v>
      </c>
      <c r="K394" s="1" t="s">
        <v>223</v>
      </c>
    </row>
    <row r="395" spans="1:11" x14ac:dyDescent="0.25">
      <c r="A395" s="1" t="s">
        <v>217</v>
      </c>
      <c r="B395" s="1">
        <v>39</v>
      </c>
      <c r="C395" s="1" t="s">
        <v>12</v>
      </c>
      <c r="D395" s="1">
        <v>1</v>
      </c>
      <c r="E395" s="1" t="s">
        <v>147</v>
      </c>
      <c r="F395" s="1">
        <v>21</v>
      </c>
      <c r="G395" s="1">
        <v>14</v>
      </c>
      <c r="H395" s="1" t="s">
        <v>30</v>
      </c>
      <c r="I395" s="1" t="s">
        <v>272</v>
      </c>
      <c r="J395" s="1" t="s">
        <v>233</v>
      </c>
      <c r="K395" s="1" t="s">
        <v>227</v>
      </c>
    </row>
    <row r="396" spans="1:11" x14ac:dyDescent="0.25">
      <c r="A396" s="1" t="s">
        <v>217</v>
      </c>
      <c r="B396" s="1">
        <v>40</v>
      </c>
      <c r="C396" s="1" t="s">
        <v>12</v>
      </c>
      <c r="D396" s="1">
        <v>2</v>
      </c>
      <c r="E396" s="1" t="s">
        <v>147</v>
      </c>
      <c r="F396" s="1">
        <v>1</v>
      </c>
      <c r="G396" s="1">
        <v>0</v>
      </c>
      <c r="H396" s="1" t="s">
        <v>30</v>
      </c>
      <c r="I396" s="1" t="s">
        <v>272</v>
      </c>
      <c r="J396" s="1" t="s">
        <v>233</v>
      </c>
      <c r="K396" s="1" t="s">
        <v>227</v>
      </c>
    </row>
    <row r="397" spans="1:11" x14ac:dyDescent="0.25">
      <c r="A397" s="1" t="s">
        <v>217</v>
      </c>
      <c r="B397" s="1">
        <v>42</v>
      </c>
      <c r="C397" s="1" t="s">
        <v>18</v>
      </c>
      <c r="D397" s="1">
        <v>1</v>
      </c>
      <c r="E397" s="1" t="s">
        <v>147</v>
      </c>
      <c r="F397" s="1">
        <v>19</v>
      </c>
      <c r="G397" s="1">
        <v>21</v>
      </c>
      <c r="H397" s="1" t="s">
        <v>30</v>
      </c>
      <c r="I397" s="1" t="s">
        <v>275</v>
      </c>
      <c r="J397" s="1" t="s">
        <v>238</v>
      </c>
      <c r="K397" s="1" t="s">
        <v>227</v>
      </c>
    </row>
    <row r="398" spans="1:11" x14ac:dyDescent="0.25">
      <c r="A398" s="1" t="s">
        <v>217</v>
      </c>
      <c r="B398" s="1">
        <v>43</v>
      </c>
      <c r="C398" s="1" t="s">
        <v>18</v>
      </c>
      <c r="D398" s="1">
        <v>2</v>
      </c>
      <c r="E398" s="1" t="s">
        <v>147</v>
      </c>
      <c r="F398" s="1">
        <v>0</v>
      </c>
      <c r="G398" s="1">
        <v>1</v>
      </c>
      <c r="H398" s="1" t="s">
        <v>30</v>
      </c>
      <c r="I398" s="1" t="s">
        <v>275</v>
      </c>
      <c r="J398" s="1" t="s">
        <v>238</v>
      </c>
      <c r="K398" s="1" t="s">
        <v>227</v>
      </c>
    </row>
    <row r="399" spans="1:11" x14ac:dyDescent="0.25">
      <c r="A399" s="1" t="s">
        <v>217</v>
      </c>
      <c r="B399" s="1">
        <v>45</v>
      </c>
      <c r="C399" s="1" t="s">
        <v>21</v>
      </c>
      <c r="D399" s="1">
        <v>1</v>
      </c>
      <c r="E399" s="1" t="s">
        <v>147</v>
      </c>
      <c r="F399" s="1">
        <v>15</v>
      </c>
      <c r="G399" s="1">
        <v>21</v>
      </c>
      <c r="H399" s="1" t="s">
        <v>30</v>
      </c>
      <c r="I399" s="1" t="s">
        <v>278</v>
      </c>
      <c r="J399" s="1" t="s">
        <v>243</v>
      </c>
      <c r="K399" s="1" t="s">
        <v>227</v>
      </c>
    </row>
    <row r="400" spans="1:11" x14ac:dyDescent="0.25">
      <c r="A400" s="1" t="s">
        <v>217</v>
      </c>
      <c r="B400" s="1">
        <v>46</v>
      </c>
      <c r="C400" s="1" t="s">
        <v>21</v>
      </c>
      <c r="D400" s="1">
        <v>2</v>
      </c>
      <c r="E400" s="1" t="s">
        <v>147</v>
      </c>
      <c r="F400" s="1">
        <v>0</v>
      </c>
      <c r="G400" s="1">
        <v>1</v>
      </c>
      <c r="H400" s="1" t="s">
        <v>30</v>
      </c>
      <c r="I400" s="1" t="s">
        <v>278</v>
      </c>
      <c r="J400" s="1" t="s">
        <v>243</v>
      </c>
      <c r="K400" s="1" t="s">
        <v>227</v>
      </c>
    </row>
    <row r="401" spans="1:11" x14ac:dyDescent="0.25">
      <c r="A401" s="1" t="s">
        <v>217</v>
      </c>
      <c r="B401" s="1">
        <v>48</v>
      </c>
      <c r="C401" s="1" t="s">
        <v>24</v>
      </c>
      <c r="D401" s="1">
        <v>1</v>
      </c>
      <c r="E401" s="1" t="s">
        <v>147</v>
      </c>
      <c r="F401" s="1">
        <v>17</v>
      </c>
      <c r="G401" s="1">
        <v>21</v>
      </c>
      <c r="H401" s="1" t="s">
        <v>30</v>
      </c>
      <c r="I401" s="1" t="s">
        <v>281</v>
      </c>
      <c r="J401" s="1" t="s">
        <v>248</v>
      </c>
      <c r="K401" s="1" t="s">
        <v>227</v>
      </c>
    </row>
    <row r="402" spans="1:11" x14ac:dyDescent="0.25">
      <c r="A402" s="1" t="s">
        <v>217</v>
      </c>
      <c r="B402" s="1">
        <v>49</v>
      </c>
      <c r="C402" s="1" t="s">
        <v>24</v>
      </c>
      <c r="D402" s="1">
        <v>2</v>
      </c>
      <c r="E402" s="1" t="s">
        <v>147</v>
      </c>
      <c r="F402" s="1">
        <v>0</v>
      </c>
      <c r="G402" s="1">
        <v>1</v>
      </c>
      <c r="H402" s="1" t="s">
        <v>30</v>
      </c>
      <c r="I402" s="1" t="s">
        <v>281</v>
      </c>
      <c r="J402" s="1" t="s">
        <v>248</v>
      </c>
      <c r="K402" s="1" t="s">
        <v>227</v>
      </c>
    </row>
    <row r="403" spans="1:11" x14ac:dyDescent="0.25">
      <c r="A403" s="1" t="s">
        <v>217</v>
      </c>
      <c r="B403" s="1">
        <v>51</v>
      </c>
      <c r="C403" s="1" t="s">
        <v>27</v>
      </c>
      <c r="D403" s="1">
        <v>1</v>
      </c>
      <c r="E403" s="1" t="s">
        <v>147</v>
      </c>
      <c r="F403" s="1">
        <v>21</v>
      </c>
      <c r="G403" s="1">
        <v>16</v>
      </c>
      <c r="H403" s="1" t="s">
        <v>30</v>
      </c>
      <c r="I403" s="1" t="s">
        <v>284</v>
      </c>
      <c r="J403" s="1" t="s">
        <v>253</v>
      </c>
      <c r="K403" s="1" t="s">
        <v>227</v>
      </c>
    </row>
    <row r="404" spans="1:11" x14ac:dyDescent="0.25">
      <c r="A404" s="1" t="s">
        <v>217</v>
      </c>
      <c r="B404" s="1">
        <v>52</v>
      </c>
      <c r="C404" s="1" t="s">
        <v>27</v>
      </c>
      <c r="D404" s="1">
        <v>2</v>
      </c>
      <c r="E404" s="1" t="s">
        <v>147</v>
      </c>
      <c r="F404" s="1">
        <v>1</v>
      </c>
      <c r="G404" s="1">
        <v>0</v>
      </c>
      <c r="H404" s="1" t="s">
        <v>30</v>
      </c>
      <c r="I404" s="1" t="s">
        <v>284</v>
      </c>
      <c r="J404" s="1" t="s">
        <v>253</v>
      </c>
      <c r="K404" s="1" t="s">
        <v>227</v>
      </c>
    </row>
    <row r="405" spans="1:11" x14ac:dyDescent="0.25">
      <c r="A405" s="1" t="s">
        <v>217</v>
      </c>
      <c r="B405" s="1">
        <v>57</v>
      </c>
      <c r="C405" s="1" t="s">
        <v>12</v>
      </c>
      <c r="D405" s="1">
        <v>1</v>
      </c>
      <c r="E405" s="1" t="s">
        <v>194</v>
      </c>
      <c r="F405" s="1">
        <v>25</v>
      </c>
      <c r="G405" s="1">
        <v>23</v>
      </c>
      <c r="H405" s="1" t="s">
        <v>155</v>
      </c>
      <c r="I405" s="1" t="s">
        <v>270</v>
      </c>
      <c r="J405" s="1" t="s">
        <v>257</v>
      </c>
      <c r="K405" s="1" t="s">
        <v>227</v>
      </c>
    </row>
    <row r="406" spans="1:11" x14ac:dyDescent="0.25">
      <c r="A406" s="1" t="s">
        <v>217</v>
      </c>
      <c r="B406" s="1">
        <v>58</v>
      </c>
      <c r="C406" s="1" t="s">
        <v>12</v>
      </c>
      <c r="D406" s="1">
        <v>2</v>
      </c>
      <c r="E406" s="1" t="s">
        <v>194</v>
      </c>
      <c r="F406" s="1">
        <v>1</v>
      </c>
      <c r="G406" s="1">
        <v>0</v>
      </c>
      <c r="H406" s="1" t="s">
        <v>155</v>
      </c>
      <c r="I406" s="1" t="s">
        <v>270</v>
      </c>
      <c r="J406" s="1" t="s">
        <v>257</v>
      </c>
      <c r="K406" s="1" t="s">
        <v>227</v>
      </c>
    </row>
    <row r="407" spans="1:11" x14ac:dyDescent="0.25">
      <c r="A407" s="1" t="s">
        <v>217</v>
      </c>
      <c r="B407" s="1">
        <v>60</v>
      </c>
      <c r="C407" s="1" t="s">
        <v>18</v>
      </c>
      <c r="D407" s="1">
        <v>1</v>
      </c>
      <c r="E407" s="1" t="s">
        <v>194</v>
      </c>
      <c r="F407" s="1">
        <v>21</v>
      </c>
      <c r="G407" s="1">
        <v>19</v>
      </c>
      <c r="H407" s="1" t="s">
        <v>155</v>
      </c>
      <c r="I407" s="1" t="s">
        <v>273</v>
      </c>
      <c r="J407" s="1" t="s">
        <v>260</v>
      </c>
      <c r="K407" s="1" t="s">
        <v>227</v>
      </c>
    </row>
    <row r="408" spans="1:11" x14ac:dyDescent="0.25">
      <c r="A408" s="1" t="s">
        <v>217</v>
      </c>
      <c r="B408" s="1">
        <v>61</v>
      </c>
      <c r="C408" s="1" t="s">
        <v>18</v>
      </c>
      <c r="D408" s="1">
        <v>2</v>
      </c>
      <c r="E408" s="1" t="s">
        <v>194</v>
      </c>
      <c r="F408" s="1">
        <v>1</v>
      </c>
      <c r="G408" s="1">
        <v>0</v>
      </c>
      <c r="H408" s="1" t="s">
        <v>155</v>
      </c>
      <c r="I408" s="1" t="s">
        <v>273</v>
      </c>
      <c r="J408" s="1" t="s">
        <v>260</v>
      </c>
      <c r="K408" s="1" t="s">
        <v>227</v>
      </c>
    </row>
    <row r="409" spans="1:11" x14ac:dyDescent="0.25">
      <c r="A409" s="1" t="s">
        <v>217</v>
      </c>
      <c r="B409" s="1">
        <v>63</v>
      </c>
      <c r="C409" s="1" t="s">
        <v>21</v>
      </c>
      <c r="D409" s="1">
        <v>1</v>
      </c>
      <c r="E409" s="1" t="s">
        <v>194</v>
      </c>
      <c r="F409" s="1">
        <v>21</v>
      </c>
      <c r="G409" s="1">
        <v>12</v>
      </c>
      <c r="H409" s="1" t="s">
        <v>155</v>
      </c>
      <c r="I409" s="1" t="s">
        <v>276</v>
      </c>
      <c r="J409" s="1" t="s">
        <v>263</v>
      </c>
      <c r="K409" s="1" t="s">
        <v>227</v>
      </c>
    </row>
    <row r="410" spans="1:11" x14ac:dyDescent="0.25">
      <c r="A410" s="1" t="s">
        <v>217</v>
      </c>
      <c r="B410" s="1">
        <v>64</v>
      </c>
      <c r="C410" s="1" t="s">
        <v>21</v>
      </c>
      <c r="D410" s="1">
        <v>2</v>
      </c>
      <c r="E410" s="1" t="s">
        <v>194</v>
      </c>
      <c r="F410" s="1">
        <v>1</v>
      </c>
      <c r="G410" s="1">
        <v>0</v>
      </c>
      <c r="H410" s="1" t="s">
        <v>155</v>
      </c>
      <c r="I410" s="1" t="s">
        <v>276</v>
      </c>
      <c r="J410" s="1" t="s">
        <v>263</v>
      </c>
      <c r="K410" s="1" t="s">
        <v>227</v>
      </c>
    </row>
    <row r="411" spans="1:11" x14ac:dyDescent="0.25">
      <c r="A411" s="1" t="s">
        <v>217</v>
      </c>
      <c r="B411" s="1">
        <v>66</v>
      </c>
      <c r="C411" s="1" t="s">
        <v>24</v>
      </c>
      <c r="D411" s="1">
        <v>1</v>
      </c>
      <c r="E411" s="1" t="s">
        <v>194</v>
      </c>
      <c r="F411" s="1">
        <v>21</v>
      </c>
      <c r="G411" s="1">
        <v>18</v>
      </c>
      <c r="H411" s="1" t="s">
        <v>155</v>
      </c>
      <c r="I411" s="1" t="s">
        <v>279</v>
      </c>
      <c r="J411" s="1" t="s">
        <v>266</v>
      </c>
      <c r="K411" s="1" t="s">
        <v>227</v>
      </c>
    </row>
    <row r="412" spans="1:11" x14ac:dyDescent="0.25">
      <c r="A412" s="1" t="s">
        <v>217</v>
      </c>
      <c r="B412" s="1">
        <v>67</v>
      </c>
      <c r="C412" s="1" t="s">
        <v>24</v>
      </c>
      <c r="D412" s="1">
        <v>2</v>
      </c>
      <c r="E412" s="1" t="s">
        <v>194</v>
      </c>
      <c r="F412" s="1">
        <v>1</v>
      </c>
      <c r="G412" s="1">
        <v>0</v>
      </c>
      <c r="H412" s="1" t="s">
        <v>155</v>
      </c>
      <c r="I412" s="1" t="s">
        <v>279</v>
      </c>
      <c r="J412" s="1" t="s">
        <v>266</v>
      </c>
      <c r="K412" s="1" t="s">
        <v>227</v>
      </c>
    </row>
    <row r="413" spans="1:11" x14ac:dyDescent="0.25">
      <c r="A413" s="1" t="s">
        <v>217</v>
      </c>
      <c r="B413" s="1">
        <v>69</v>
      </c>
      <c r="C413" s="1" t="s">
        <v>27</v>
      </c>
      <c r="D413" s="1">
        <v>1</v>
      </c>
      <c r="E413" s="1" t="s">
        <v>194</v>
      </c>
      <c r="F413" s="1">
        <v>21</v>
      </c>
      <c r="G413" s="1">
        <v>15</v>
      </c>
      <c r="H413" s="1" t="s">
        <v>155</v>
      </c>
      <c r="I413" s="1" t="s">
        <v>282</v>
      </c>
      <c r="J413" s="1" t="s">
        <v>268</v>
      </c>
      <c r="K413" s="1" t="s">
        <v>227</v>
      </c>
    </row>
    <row r="414" spans="1:11" x14ac:dyDescent="0.25">
      <c r="A414" s="1" t="s">
        <v>217</v>
      </c>
      <c r="B414" s="1">
        <v>70</v>
      </c>
      <c r="C414" s="1" t="s">
        <v>27</v>
      </c>
      <c r="D414" s="1">
        <v>2</v>
      </c>
      <c r="E414" s="1" t="s">
        <v>194</v>
      </c>
      <c r="F414" s="1">
        <v>1</v>
      </c>
      <c r="G414" s="1">
        <v>0</v>
      </c>
      <c r="H414" s="1" t="s">
        <v>155</v>
      </c>
      <c r="I414" s="1" t="s">
        <v>282</v>
      </c>
      <c r="J414" s="1" t="s">
        <v>268</v>
      </c>
      <c r="K414" s="1" t="s">
        <v>227</v>
      </c>
    </row>
    <row r="415" spans="1:11" x14ac:dyDescent="0.25">
      <c r="A415" s="1" t="s">
        <v>217</v>
      </c>
      <c r="B415" s="1">
        <v>75</v>
      </c>
      <c r="C415" s="1" t="s">
        <v>12</v>
      </c>
      <c r="D415" s="1">
        <v>1</v>
      </c>
      <c r="E415" s="1" t="s">
        <v>31</v>
      </c>
      <c r="F415" s="1">
        <v>0</v>
      </c>
      <c r="G415" s="1">
        <v>1</v>
      </c>
      <c r="H415" s="1" t="s">
        <v>181</v>
      </c>
      <c r="I415" s="1" t="s">
        <v>290</v>
      </c>
      <c r="J415" s="1" t="s">
        <v>291</v>
      </c>
      <c r="K415" s="1" t="s">
        <v>228</v>
      </c>
    </row>
    <row r="416" spans="1:11" x14ac:dyDescent="0.25">
      <c r="A416" s="1" t="s">
        <v>217</v>
      </c>
      <c r="B416" s="1">
        <v>76</v>
      </c>
      <c r="C416" s="1" t="s">
        <v>12</v>
      </c>
      <c r="D416" s="1">
        <v>2</v>
      </c>
      <c r="E416" s="1" t="s">
        <v>31</v>
      </c>
      <c r="F416" s="1">
        <v>0</v>
      </c>
      <c r="G416" s="1">
        <v>1</v>
      </c>
      <c r="H416" s="1" t="s">
        <v>181</v>
      </c>
      <c r="I416" s="1" t="s">
        <v>290</v>
      </c>
      <c r="J416" s="1" t="s">
        <v>291</v>
      </c>
      <c r="K416" s="1" t="s">
        <v>228</v>
      </c>
    </row>
    <row r="417" spans="1:11" x14ac:dyDescent="0.25">
      <c r="A417" s="1" t="s">
        <v>217</v>
      </c>
      <c r="B417" s="1">
        <v>78</v>
      </c>
      <c r="C417" s="1" t="s">
        <v>18</v>
      </c>
      <c r="D417" s="1">
        <v>1</v>
      </c>
      <c r="E417" s="1" t="s">
        <v>31</v>
      </c>
      <c r="F417" s="1">
        <v>0</v>
      </c>
      <c r="G417" s="1">
        <v>1</v>
      </c>
      <c r="H417" s="1" t="s">
        <v>181</v>
      </c>
      <c r="I417" s="1" t="s">
        <v>292</v>
      </c>
      <c r="J417" s="1" t="s">
        <v>293</v>
      </c>
      <c r="K417" s="1" t="s">
        <v>228</v>
      </c>
    </row>
    <row r="418" spans="1:11" x14ac:dyDescent="0.25">
      <c r="A418" s="1" t="s">
        <v>217</v>
      </c>
      <c r="B418" s="1">
        <v>79</v>
      </c>
      <c r="C418" s="1" t="s">
        <v>18</v>
      </c>
      <c r="D418" s="1">
        <v>2</v>
      </c>
      <c r="E418" s="1" t="s">
        <v>31</v>
      </c>
      <c r="F418" s="1">
        <v>0</v>
      </c>
      <c r="G418" s="1">
        <v>1</v>
      </c>
      <c r="H418" s="1" t="s">
        <v>181</v>
      </c>
      <c r="I418" s="1" t="s">
        <v>292</v>
      </c>
      <c r="J418" s="1" t="s">
        <v>293</v>
      </c>
      <c r="K418" s="1" t="s">
        <v>228</v>
      </c>
    </row>
    <row r="419" spans="1:11" x14ac:dyDescent="0.25">
      <c r="A419" s="1" t="s">
        <v>217</v>
      </c>
      <c r="B419" s="1">
        <v>81</v>
      </c>
      <c r="C419" s="1" t="s">
        <v>21</v>
      </c>
      <c r="D419" s="1">
        <v>1</v>
      </c>
      <c r="E419" s="1" t="s">
        <v>31</v>
      </c>
      <c r="F419" s="1">
        <v>0</v>
      </c>
      <c r="G419" s="1">
        <v>1</v>
      </c>
      <c r="H419" s="1" t="s">
        <v>181</v>
      </c>
      <c r="I419" s="1" t="s">
        <v>294</v>
      </c>
      <c r="J419" s="1" t="s">
        <v>295</v>
      </c>
      <c r="K419" s="1" t="s">
        <v>228</v>
      </c>
    </row>
    <row r="420" spans="1:11" x14ac:dyDescent="0.25">
      <c r="A420" s="1" t="s">
        <v>217</v>
      </c>
      <c r="B420" s="1">
        <v>82</v>
      </c>
      <c r="C420" s="1" t="s">
        <v>21</v>
      </c>
      <c r="D420" s="1">
        <v>2</v>
      </c>
      <c r="E420" s="1" t="s">
        <v>31</v>
      </c>
      <c r="F420" s="1">
        <v>0</v>
      </c>
      <c r="G420" s="1">
        <v>1</v>
      </c>
      <c r="H420" s="1" t="s">
        <v>181</v>
      </c>
      <c r="I420" s="1" t="s">
        <v>294</v>
      </c>
      <c r="J420" s="1" t="s">
        <v>295</v>
      </c>
      <c r="K420" s="1" t="s">
        <v>228</v>
      </c>
    </row>
    <row r="421" spans="1:11" x14ac:dyDescent="0.25">
      <c r="A421" s="1" t="s">
        <v>217</v>
      </c>
      <c r="B421" s="1">
        <v>84</v>
      </c>
      <c r="C421" s="1" t="s">
        <v>24</v>
      </c>
      <c r="D421" s="1">
        <v>1</v>
      </c>
      <c r="E421" s="1" t="s">
        <v>31</v>
      </c>
      <c r="F421" s="1">
        <v>1</v>
      </c>
      <c r="G421" s="1">
        <v>0</v>
      </c>
      <c r="H421" s="1" t="s">
        <v>181</v>
      </c>
      <c r="I421" s="1" t="s">
        <v>296</v>
      </c>
      <c r="J421" s="1" t="s">
        <v>297</v>
      </c>
      <c r="K421" s="1" t="s">
        <v>228</v>
      </c>
    </row>
    <row r="422" spans="1:11" x14ac:dyDescent="0.25">
      <c r="A422" s="1" t="s">
        <v>217</v>
      </c>
      <c r="B422" s="1">
        <v>85</v>
      </c>
      <c r="C422" s="1" t="s">
        <v>24</v>
      </c>
      <c r="D422" s="1">
        <v>2</v>
      </c>
      <c r="E422" s="1" t="s">
        <v>31</v>
      </c>
      <c r="F422" s="1">
        <v>1</v>
      </c>
      <c r="G422" s="1">
        <v>0</v>
      </c>
      <c r="H422" s="1" t="s">
        <v>181</v>
      </c>
      <c r="I422" s="1" t="s">
        <v>296</v>
      </c>
      <c r="J422" s="1" t="s">
        <v>297</v>
      </c>
      <c r="K422" s="1" t="s">
        <v>228</v>
      </c>
    </row>
    <row r="423" spans="1:11" x14ac:dyDescent="0.25">
      <c r="A423" s="1" t="s">
        <v>217</v>
      </c>
      <c r="B423" s="1">
        <v>87</v>
      </c>
      <c r="C423" s="1" t="s">
        <v>27</v>
      </c>
      <c r="D423" s="1">
        <v>1</v>
      </c>
      <c r="E423" s="1" t="s">
        <v>31</v>
      </c>
      <c r="F423" s="1">
        <v>1</v>
      </c>
      <c r="G423" s="1">
        <v>0</v>
      </c>
      <c r="H423" s="1" t="s">
        <v>181</v>
      </c>
      <c r="I423" s="1" t="s">
        <v>298</v>
      </c>
      <c r="J423" s="1" t="s">
        <v>299</v>
      </c>
      <c r="K423" s="1" t="s">
        <v>228</v>
      </c>
    </row>
    <row r="424" spans="1:11" x14ac:dyDescent="0.25">
      <c r="A424" s="1" t="s">
        <v>217</v>
      </c>
      <c r="B424" s="1">
        <v>88</v>
      </c>
      <c r="C424" s="1" t="s">
        <v>27</v>
      </c>
      <c r="D424" s="1">
        <v>2</v>
      </c>
      <c r="E424" s="1" t="s">
        <v>31</v>
      </c>
      <c r="F424" s="1">
        <v>1</v>
      </c>
      <c r="G424" s="1">
        <v>0</v>
      </c>
      <c r="H424" s="1" t="s">
        <v>181</v>
      </c>
      <c r="I424" s="1" t="s">
        <v>298</v>
      </c>
      <c r="J424" s="1" t="s">
        <v>299</v>
      </c>
      <c r="K424" s="1" t="s">
        <v>228</v>
      </c>
    </row>
    <row r="425" spans="1:11" x14ac:dyDescent="0.25">
      <c r="A425" s="1" t="s">
        <v>217</v>
      </c>
      <c r="B425" s="1">
        <v>93</v>
      </c>
      <c r="C425" s="1" t="s">
        <v>12</v>
      </c>
      <c r="D425" s="1">
        <v>1</v>
      </c>
      <c r="E425" s="1" t="s">
        <v>169</v>
      </c>
      <c r="F425" s="1">
        <v>21</v>
      </c>
      <c r="G425" s="1">
        <v>11</v>
      </c>
      <c r="H425" s="1" t="s">
        <v>182</v>
      </c>
      <c r="I425" s="1" t="s">
        <v>256</v>
      </c>
      <c r="J425" s="1" t="s">
        <v>271</v>
      </c>
      <c r="K425" s="1" t="s">
        <v>228</v>
      </c>
    </row>
    <row r="426" spans="1:11" x14ac:dyDescent="0.25">
      <c r="A426" s="1" t="s">
        <v>217</v>
      </c>
      <c r="B426" s="1">
        <v>94</v>
      </c>
      <c r="C426" s="1" t="s">
        <v>12</v>
      </c>
      <c r="D426" s="1">
        <v>2</v>
      </c>
      <c r="E426" s="1" t="s">
        <v>169</v>
      </c>
      <c r="F426" s="1">
        <v>1</v>
      </c>
      <c r="G426" s="1">
        <v>0</v>
      </c>
      <c r="H426" s="1" t="s">
        <v>182</v>
      </c>
      <c r="I426" s="1" t="s">
        <v>256</v>
      </c>
      <c r="J426" s="1" t="s">
        <v>271</v>
      </c>
      <c r="K426" s="1" t="s">
        <v>228</v>
      </c>
    </row>
    <row r="427" spans="1:11" x14ac:dyDescent="0.25">
      <c r="A427" s="1" t="s">
        <v>217</v>
      </c>
      <c r="B427" s="1">
        <v>96</v>
      </c>
      <c r="C427" s="1" t="s">
        <v>18</v>
      </c>
      <c r="D427" s="1">
        <v>1</v>
      </c>
      <c r="E427" s="1" t="s">
        <v>169</v>
      </c>
      <c r="F427" s="1">
        <v>20</v>
      </c>
      <c r="G427" s="1">
        <v>22</v>
      </c>
      <c r="H427" s="1" t="s">
        <v>182</v>
      </c>
      <c r="I427" s="1" t="s">
        <v>259</v>
      </c>
      <c r="J427" s="1" t="s">
        <v>274</v>
      </c>
      <c r="K427" s="1" t="s">
        <v>228</v>
      </c>
    </row>
    <row r="428" spans="1:11" x14ac:dyDescent="0.25">
      <c r="A428" s="1" t="s">
        <v>217</v>
      </c>
      <c r="B428" s="1">
        <v>97</v>
      </c>
      <c r="C428" s="1" t="s">
        <v>18</v>
      </c>
      <c r="D428" s="1">
        <v>2</v>
      </c>
      <c r="E428" s="1" t="s">
        <v>169</v>
      </c>
      <c r="F428" s="1">
        <v>0</v>
      </c>
      <c r="G428" s="1">
        <v>1</v>
      </c>
      <c r="H428" s="1" t="s">
        <v>182</v>
      </c>
      <c r="I428" s="1" t="s">
        <v>259</v>
      </c>
      <c r="J428" s="1" t="s">
        <v>274</v>
      </c>
      <c r="K428" s="1" t="s">
        <v>228</v>
      </c>
    </row>
    <row r="429" spans="1:11" x14ac:dyDescent="0.25">
      <c r="A429" s="1" t="s">
        <v>217</v>
      </c>
      <c r="B429" s="1">
        <v>99</v>
      </c>
      <c r="C429" s="1" t="s">
        <v>21</v>
      </c>
      <c r="D429" s="1">
        <v>1</v>
      </c>
      <c r="E429" s="1" t="s">
        <v>169</v>
      </c>
      <c r="F429" s="1">
        <v>12</v>
      </c>
      <c r="G429" s="1">
        <v>21</v>
      </c>
      <c r="H429" s="1" t="s">
        <v>182</v>
      </c>
      <c r="I429" s="1" t="s">
        <v>262</v>
      </c>
      <c r="J429" s="1" t="s">
        <v>277</v>
      </c>
      <c r="K429" s="1" t="s">
        <v>228</v>
      </c>
    </row>
    <row r="430" spans="1:11" x14ac:dyDescent="0.25">
      <c r="A430" s="1" t="s">
        <v>217</v>
      </c>
      <c r="B430" s="1">
        <v>100</v>
      </c>
      <c r="C430" s="1" t="s">
        <v>21</v>
      </c>
      <c r="D430" s="1">
        <v>2</v>
      </c>
      <c r="E430" s="1" t="s">
        <v>169</v>
      </c>
      <c r="F430" s="1">
        <v>0</v>
      </c>
      <c r="G430" s="1">
        <v>1</v>
      </c>
      <c r="H430" s="1" t="s">
        <v>182</v>
      </c>
      <c r="I430" s="1" t="s">
        <v>262</v>
      </c>
      <c r="J430" s="1" t="s">
        <v>277</v>
      </c>
      <c r="K430" s="1" t="s">
        <v>228</v>
      </c>
    </row>
    <row r="431" spans="1:11" x14ac:dyDescent="0.25">
      <c r="A431" s="1" t="s">
        <v>217</v>
      </c>
      <c r="B431" s="1">
        <v>102</v>
      </c>
      <c r="C431" s="1" t="s">
        <v>24</v>
      </c>
      <c r="D431" s="1">
        <v>1</v>
      </c>
      <c r="E431" s="1" t="s">
        <v>169</v>
      </c>
      <c r="F431" s="1">
        <v>10</v>
      </c>
      <c r="G431" s="1">
        <v>21</v>
      </c>
      <c r="H431" s="1" t="s">
        <v>182</v>
      </c>
      <c r="I431" s="1" t="s">
        <v>265</v>
      </c>
      <c r="J431" s="1" t="s">
        <v>280</v>
      </c>
      <c r="K431" s="1" t="s">
        <v>228</v>
      </c>
    </row>
    <row r="432" spans="1:11" x14ac:dyDescent="0.25">
      <c r="A432" s="1" t="s">
        <v>217</v>
      </c>
      <c r="B432" s="1">
        <v>103</v>
      </c>
      <c r="C432" s="1" t="s">
        <v>24</v>
      </c>
      <c r="D432" s="1">
        <v>2</v>
      </c>
      <c r="E432" s="1" t="s">
        <v>169</v>
      </c>
      <c r="F432" s="1">
        <v>0</v>
      </c>
      <c r="G432" s="1">
        <v>1</v>
      </c>
      <c r="H432" s="1" t="s">
        <v>182</v>
      </c>
      <c r="I432" s="1" t="s">
        <v>265</v>
      </c>
      <c r="J432" s="1" t="s">
        <v>280</v>
      </c>
      <c r="K432" s="1" t="s">
        <v>228</v>
      </c>
    </row>
    <row r="433" spans="1:11" x14ac:dyDescent="0.25">
      <c r="A433" s="1" t="s">
        <v>217</v>
      </c>
      <c r="B433" s="1">
        <v>105</v>
      </c>
      <c r="C433" s="1" t="s">
        <v>27</v>
      </c>
      <c r="D433" s="1">
        <v>1</v>
      </c>
      <c r="E433" s="1" t="s">
        <v>169</v>
      </c>
      <c r="F433" s="1">
        <v>17</v>
      </c>
      <c r="G433" s="1">
        <v>21</v>
      </c>
      <c r="H433" s="1" t="s">
        <v>182</v>
      </c>
      <c r="I433" s="1" t="s">
        <v>269</v>
      </c>
      <c r="J433" s="1" t="s">
        <v>283</v>
      </c>
      <c r="K433" s="1" t="s">
        <v>228</v>
      </c>
    </row>
    <row r="434" spans="1:11" x14ac:dyDescent="0.25">
      <c r="A434" s="1" t="s">
        <v>217</v>
      </c>
      <c r="B434" s="1">
        <v>106</v>
      </c>
      <c r="C434" s="1" t="s">
        <v>27</v>
      </c>
      <c r="D434" s="1">
        <v>2</v>
      </c>
      <c r="E434" s="1" t="s">
        <v>169</v>
      </c>
      <c r="F434" s="1">
        <v>0</v>
      </c>
      <c r="G434" s="1">
        <v>1</v>
      </c>
      <c r="H434" s="1" t="s">
        <v>182</v>
      </c>
      <c r="I434" s="1" t="s">
        <v>269</v>
      </c>
      <c r="J434" s="1" t="s">
        <v>283</v>
      </c>
      <c r="K434" s="1" t="s">
        <v>228</v>
      </c>
    </row>
    <row r="435" spans="1:11" x14ac:dyDescent="0.25">
      <c r="A435" s="1" t="s">
        <v>11</v>
      </c>
      <c r="B435" s="1">
        <v>93</v>
      </c>
      <c r="C435" s="1" t="s">
        <v>12</v>
      </c>
      <c r="D435" s="1">
        <v>1</v>
      </c>
      <c r="E435" s="1" t="s">
        <v>169</v>
      </c>
      <c r="F435" s="1">
        <v>1</v>
      </c>
      <c r="G435" s="1">
        <v>0</v>
      </c>
      <c r="H435" s="1" t="s">
        <v>31</v>
      </c>
      <c r="I435" s="1" t="s">
        <v>256</v>
      </c>
      <c r="J435" s="1" t="s">
        <v>290</v>
      </c>
      <c r="K435" s="1" t="s">
        <v>17</v>
      </c>
    </row>
    <row r="436" spans="1:11" x14ac:dyDescent="0.25">
      <c r="A436" s="1" t="s">
        <v>11</v>
      </c>
      <c r="B436" s="1">
        <v>94</v>
      </c>
      <c r="C436" s="1" t="s">
        <v>12</v>
      </c>
      <c r="D436" s="1">
        <v>2</v>
      </c>
      <c r="E436" s="1" t="s">
        <v>169</v>
      </c>
      <c r="F436" s="1">
        <v>1</v>
      </c>
      <c r="G436" s="1">
        <v>0</v>
      </c>
      <c r="H436" s="1" t="s">
        <v>31</v>
      </c>
      <c r="I436" s="1" t="s">
        <v>256</v>
      </c>
      <c r="J436" s="1" t="s">
        <v>290</v>
      </c>
      <c r="K436" s="1" t="s">
        <v>17</v>
      </c>
    </row>
    <row r="437" spans="1:11" x14ac:dyDescent="0.25">
      <c r="A437" s="1" t="s">
        <v>11</v>
      </c>
      <c r="B437" s="1">
        <v>96</v>
      </c>
      <c r="C437" s="1" t="s">
        <v>18</v>
      </c>
      <c r="D437" s="1">
        <v>1</v>
      </c>
      <c r="E437" s="1" t="s">
        <v>169</v>
      </c>
      <c r="F437" s="1">
        <v>1</v>
      </c>
      <c r="G437" s="1">
        <v>0</v>
      </c>
      <c r="H437" s="1" t="s">
        <v>31</v>
      </c>
      <c r="I437" s="1" t="s">
        <v>259</v>
      </c>
      <c r="J437" s="1" t="s">
        <v>292</v>
      </c>
      <c r="K437" s="1" t="s">
        <v>17</v>
      </c>
    </row>
    <row r="438" spans="1:11" x14ac:dyDescent="0.25">
      <c r="A438" s="1" t="s">
        <v>11</v>
      </c>
      <c r="B438" s="1">
        <v>97</v>
      </c>
      <c r="C438" s="1" t="s">
        <v>18</v>
      </c>
      <c r="D438" s="1">
        <v>2</v>
      </c>
      <c r="E438" s="1" t="s">
        <v>169</v>
      </c>
      <c r="F438" s="1">
        <v>1</v>
      </c>
      <c r="G438" s="1">
        <v>0</v>
      </c>
      <c r="H438" s="1" t="s">
        <v>31</v>
      </c>
      <c r="I438" s="1" t="s">
        <v>259</v>
      </c>
      <c r="J438" s="1" t="s">
        <v>292</v>
      </c>
      <c r="K438" s="1" t="s">
        <v>17</v>
      </c>
    </row>
    <row r="439" spans="1:11" x14ac:dyDescent="0.25">
      <c r="A439" s="1" t="s">
        <v>11</v>
      </c>
      <c r="B439" s="1">
        <v>99</v>
      </c>
      <c r="C439" s="1" t="s">
        <v>21</v>
      </c>
      <c r="D439" s="1">
        <v>1</v>
      </c>
      <c r="E439" s="1" t="s">
        <v>169</v>
      </c>
      <c r="F439" s="1">
        <v>1</v>
      </c>
      <c r="G439" s="1">
        <v>0</v>
      </c>
      <c r="H439" s="1" t="s">
        <v>31</v>
      </c>
      <c r="I439" s="1" t="s">
        <v>262</v>
      </c>
      <c r="J439" s="1" t="s">
        <v>294</v>
      </c>
      <c r="K439" s="1" t="s">
        <v>17</v>
      </c>
    </row>
    <row r="440" spans="1:11" x14ac:dyDescent="0.25">
      <c r="A440" s="1" t="s">
        <v>11</v>
      </c>
      <c r="B440" s="1">
        <v>100</v>
      </c>
      <c r="C440" s="1" t="s">
        <v>21</v>
      </c>
      <c r="D440" s="1">
        <v>2</v>
      </c>
      <c r="E440" s="1" t="s">
        <v>169</v>
      </c>
      <c r="F440" s="1">
        <v>1</v>
      </c>
      <c r="G440" s="1">
        <v>0</v>
      </c>
      <c r="H440" s="1" t="s">
        <v>31</v>
      </c>
      <c r="I440" s="1" t="s">
        <v>262</v>
      </c>
      <c r="J440" s="1" t="s">
        <v>294</v>
      </c>
      <c r="K440" s="1" t="s">
        <v>17</v>
      </c>
    </row>
    <row r="441" spans="1:11" x14ac:dyDescent="0.25">
      <c r="A441" s="1" t="s">
        <v>11</v>
      </c>
      <c r="B441" s="1">
        <v>102</v>
      </c>
      <c r="C441" s="1" t="s">
        <v>24</v>
      </c>
      <c r="D441" s="1">
        <v>1</v>
      </c>
      <c r="E441" s="1" t="s">
        <v>169</v>
      </c>
      <c r="F441" s="1">
        <v>0</v>
      </c>
      <c r="G441" s="1">
        <v>1</v>
      </c>
      <c r="H441" s="1" t="s">
        <v>31</v>
      </c>
      <c r="I441" s="1" t="s">
        <v>265</v>
      </c>
      <c r="J441" s="1" t="s">
        <v>296</v>
      </c>
      <c r="K441" s="1" t="s">
        <v>17</v>
      </c>
    </row>
    <row r="442" spans="1:11" x14ac:dyDescent="0.25">
      <c r="A442" s="1" t="s">
        <v>11</v>
      </c>
      <c r="B442" s="1">
        <v>103</v>
      </c>
      <c r="C442" s="1" t="s">
        <v>24</v>
      </c>
      <c r="D442" s="1">
        <v>2</v>
      </c>
      <c r="E442" s="1" t="s">
        <v>169</v>
      </c>
      <c r="F442" s="1">
        <v>0</v>
      </c>
      <c r="G442" s="1">
        <v>1</v>
      </c>
      <c r="H442" s="1" t="s">
        <v>31</v>
      </c>
      <c r="I442" s="1" t="s">
        <v>265</v>
      </c>
      <c r="J442" s="1" t="s">
        <v>296</v>
      </c>
      <c r="K442" s="1" t="s">
        <v>17</v>
      </c>
    </row>
    <row r="443" spans="1:11" x14ac:dyDescent="0.25">
      <c r="A443" s="1" t="s">
        <v>11</v>
      </c>
      <c r="B443" s="1">
        <v>105</v>
      </c>
      <c r="C443" s="1" t="s">
        <v>27</v>
      </c>
      <c r="D443" s="1">
        <v>1</v>
      </c>
      <c r="E443" s="1" t="s">
        <v>169</v>
      </c>
      <c r="F443" s="1">
        <v>0</v>
      </c>
      <c r="G443" s="1">
        <v>1</v>
      </c>
      <c r="H443" s="1" t="s">
        <v>31</v>
      </c>
      <c r="I443" s="1" t="s">
        <v>269</v>
      </c>
      <c r="J443" s="1" t="s">
        <v>298</v>
      </c>
      <c r="K443" s="1" t="s">
        <v>17</v>
      </c>
    </row>
    <row r="444" spans="1:11" x14ac:dyDescent="0.25">
      <c r="A444" s="1" t="s">
        <v>11</v>
      </c>
      <c r="B444" s="1">
        <v>106</v>
      </c>
      <c r="C444" s="1" t="s">
        <v>27</v>
      </c>
      <c r="D444" s="1">
        <v>2</v>
      </c>
      <c r="E444" s="1" t="s">
        <v>169</v>
      </c>
      <c r="F444" s="1">
        <v>0</v>
      </c>
      <c r="G444" s="1">
        <v>1</v>
      </c>
      <c r="H444" s="1" t="s">
        <v>31</v>
      </c>
      <c r="I444" s="1" t="s">
        <v>269</v>
      </c>
      <c r="J444" s="1" t="s">
        <v>298</v>
      </c>
      <c r="K444" s="1" t="s">
        <v>17</v>
      </c>
    </row>
    <row r="445" spans="1:11" x14ac:dyDescent="0.25">
      <c r="A445" s="1" t="s">
        <v>11</v>
      </c>
      <c r="B445" s="1">
        <v>111</v>
      </c>
      <c r="C445" s="1" t="s">
        <v>12</v>
      </c>
      <c r="D445" s="1">
        <v>1</v>
      </c>
      <c r="E445" s="1" t="s">
        <v>95</v>
      </c>
      <c r="F445" s="1">
        <v>24</v>
      </c>
      <c r="G445" s="1">
        <v>25</v>
      </c>
      <c r="H445" s="1" t="s">
        <v>57</v>
      </c>
      <c r="I445" s="1" t="s">
        <v>285</v>
      </c>
      <c r="J445" s="1" t="s">
        <v>301</v>
      </c>
      <c r="K445" s="1" t="s">
        <v>34</v>
      </c>
    </row>
    <row r="446" spans="1:11" x14ac:dyDescent="0.25">
      <c r="A446" s="1" t="s">
        <v>11</v>
      </c>
      <c r="B446" s="1">
        <v>112</v>
      </c>
      <c r="C446" s="1" t="s">
        <v>12</v>
      </c>
      <c r="D446" s="1">
        <v>2</v>
      </c>
      <c r="E446" s="1" t="s">
        <v>95</v>
      </c>
      <c r="F446" s="1">
        <v>0</v>
      </c>
      <c r="G446" s="1">
        <v>1</v>
      </c>
      <c r="H446" s="1" t="s">
        <v>57</v>
      </c>
      <c r="I446" s="1" t="s">
        <v>285</v>
      </c>
      <c r="J446" s="1" t="s">
        <v>301</v>
      </c>
      <c r="K446" s="1" t="s">
        <v>34</v>
      </c>
    </row>
    <row r="447" spans="1:11" x14ac:dyDescent="0.25">
      <c r="A447" s="1" t="s">
        <v>11</v>
      </c>
      <c r="B447" s="1">
        <v>114</v>
      </c>
      <c r="C447" s="1" t="s">
        <v>18</v>
      </c>
      <c r="D447" s="1">
        <v>1</v>
      </c>
      <c r="E447" s="1" t="s">
        <v>95</v>
      </c>
      <c r="F447" s="1">
        <v>14</v>
      </c>
      <c r="G447" s="1">
        <v>21</v>
      </c>
      <c r="H447" s="1" t="s">
        <v>57</v>
      </c>
      <c r="I447" s="1" t="s">
        <v>286</v>
      </c>
      <c r="J447" s="1" t="s">
        <v>303</v>
      </c>
      <c r="K447" s="1" t="s">
        <v>34</v>
      </c>
    </row>
    <row r="448" spans="1:11" x14ac:dyDescent="0.25">
      <c r="A448" s="1" t="s">
        <v>11</v>
      </c>
      <c r="B448" s="1">
        <v>115</v>
      </c>
      <c r="C448" s="1" t="s">
        <v>18</v>
      </c>
      <c r="D448" s="1">
        <v>2</v>
      </c>
      <c r="E448" s="1" t="s">
        <v>95</v>
      </c>
      <c r="F448" s="1">
        <v>0</v>
      </c>
      <c r="G448" s="1">
        <v>1</v>
      </c>
      <c r="H448" s="1" t="s">
        <v>57</v>
      </c>
      <c r="I448" s="1" t="s">
        <v>286</v>
      </c>
      <c r="J448" s="1" t="s">
        <v>303</v>
      </c>
      <c r="K448" s="1" t="s">
        <v>34</v>
      </c>
    </row>
    <row r="449" spans="1:11" x14ac:dyDescent="0.25">
      <c r="A449" s="1" t="s">
        <v>11</v>
      </c>
      <c r="B449" s="1">
        <v>117</v>
      </c>
      <c r="C449" s="1" t="s">
        <v>21</v>
      </c>
      <c r="D449" s="1">
        <v>1</v>
      </c>
      <c r="E449" s="1" t="s">
        <v>95</v>
      </c>
      <c r="F449" s="1">
        <v>18</v>
      </c>
      <c r="G449" s="1">
        <v>21</v>
      </c>
      <c r="H449" s="1" t="s">
        <v>57</v>
      </c>
      <c r="I449" s="1" t="s">
        <v>287</v>
      </c>
      <c r="J449" s="1" t="s">
        <v>305</v>
      </c>
      <c r="K449" s="1" t="s">
        <v>34</v>
      </c>
    </row>
    <row r="450" spans="1:11" x14ac:dyDescent="0.25">
      <c r="A450" s="1" t="s">
        <v>11</v>
      </c>
      <c r="B450" s="1">
        <v>118</v>
      </c>
      <c r="C450" s="1" t="s">
        <v>21</v>
      </c>
      <c r="D450" s="1">
        <v>2</v>
      </c>
      <c r="E450" s="1" t="s">
        <v>95</v>
      </c>
      <c r="F450" s="1">
        <v>0</v>
      </c>
      <c r="G450" s="1">
        <v>1</v>
      </c>
      <c r="H450" s="1" t="s">
        <v>57</v>
      </c>
      <c r="I450" s="1" t="s">
        <v>287</v>
      </c>
      <c r="J450" s="1" t="s">
        <v>305</v>
      </c>
      <c r="K450" s="1" t="s">
        <v>34</v>
      </c>
    </row>
    <row r="451" spans="1:11" x14ac:dyDescent="0.25">
      <c r="A451" s="1" t="s">
        <v>11</v>
      </c>
      <c r="B451" s="1">
        <v>120</v>
      </c>
      <c r="C451" s="1" t="s">
        <v>24</v>
      </c>
      <c r="D451" s="1">
        <v>1</v>
      </c>
      <c r="E451" s="1" t="s">
        <v>95</v>
      </c>
      <c r="F451" s="1">
        <v>18</v>
      </c>
      <c r="G451" s="1">
        <v>21</v>
      </c>
      <c r="H451" s="1" t="s">
        <v>57</v>
      </c>
      <c r="I451" s="1" t="s">
        <v>288</v>
      </c>
      <c r="J451" s="1" t="s">
        <v>307</v>
      </c>
      <c r="K451" s="1" t="s">
        <v>34</v>
      </c>
    </row>
    <row r="452" spans="1:11" x14ac:dyDescent="0.25">
      <c r="A452" s="1" t="s">
        <v>11</v>
      </c>
      <c r="B452" s="1">
        <v>121</v>
      </c>
      <c r="C452" s="1" t="s">
        <v>24</v>
      </c>
      <c r="D452" s="1">
        <v>2</v>
      </c>
      <c r="E452" s="1" t="s">
        <v>95</v>
      </c>
      <c r="F452" s="1">
        <v>0</v>
      </c>
      <c r="G452" s="1">
        <v>1</v>
      </c>
      <c r="H452" s="1" t="s">
        <v>57</v>
      </c>
      <c r="I452" s="1" t="s">
        <v>288</v>
      </c>
      <c r="J452" s="1" t="s">
        <v>307</v>
      </c>
      <c r="K452" s="1" t="s">
        <v>34</v>
      </c>
    </row>
    <row r="453" spans="1:11" x14ac:dyDescent="0.25">
      <c r="A453" s="1" t="s">
        <v>11</v>
      </c>
      <c r="B453" s="1">
        <v>123</v>
      </c>
      <c r="C453" s="1" t="s">
        <v>27</v>
      </c>
      <c r="D453" s="1">
        <v>1</v>
      </c>
      <c r="E453" s="1" t="s">
        <v>95</v>
      </c>
      <c r="F453" s="1">
        <v>22</v>
      </c>
      <c r="G453" s="1">
        <v>20</v>
      </c>
      <c r="H453" s="1" t="s">
        <v>57</v>
      </c>
      <c r="I453" s="1" t="s">
        <v>289</v>
      </c>
      <c r="J453" s="1" t="s">
        <v>309</v>
      </c>
      <c r="K453" s="1" t="s">
        <v>34</v>
      </c>
    </row>
    <row r="454" spans="1:11" x14ac:dyDescent="0.25">
      <c r="A454" s="1" t="s">
        <v>11</v>
      </c>
      <c r="B454" s="1">
        <v>124</v>
      </c>
      <c r="C454" s="1" t="s">
        <v>27</v>
      </c>
      <c r="D454" s="1">
        <v>2</v>
      </c>
      <c r="E454" s="1" t="s">
        <v>95</v>
      </c>
      <c r="F454" s="1">
        <v>1</v>
      </c>
      <c r="G454" s="1">
        <v>0</v>
      </c>
      <c r="H454" s="1" t="s">
        <v>57</v>
      </c>
      <c r="I454" s="1" t="s">
        <v>289</v>
      </c>
      <c r="J454" s="1" t="s">
        <v>309</v>
      </c>
      <c r="K454" s="1" t="s">
        <v>34</v>
      </c>
    </row>
    <row r="455" spans="1:11" x14ac:dyDescent="0.25">
      <c r="A455" s="1" t="s">
        <v>11</v>
      </c>
      <c r="B455" s="1">
        <v>129</v>
      </c>
      <c r="C455" s="1" t="s">
        <v>12</v>
      </c>
      <c r="D455" s="1">
        <v>1</v>
      </c>
      <c r="E455" s="1" t="s">
        <v>14</v>
      </c>
      <c r="F455" s="1">
        <v>0</v>
      </c>
      <c r="G455" s="1">
        <v>1</v>
      </c>
      <c r="H455" s="1" t="s">
        <v>96</v>
      </c>
      <c r="I455" s="1" t="s">
        <v>300</v>
      </c>
      <c r="J455" s="1" t="s">
        <v>231</v>
      </c>
      <c r="K455" s="1" t="s">
        <v>47</v>
      </c>
    </row>
    <row r="456" spans="1:11" x14ac:dyDescent="0.25">
      <c r="A456" s="1" t="s">
        <v>11</v>
      </c>
      <c r="B456" s="1">
        <v>130</v>
      </c>
      <c r="C456" s="1" t="s">
        <v>12</v>
      </c>
      <c r="D456" s="1">
        <v>2</v>
      </c>
      <c r="E456" s="1" t="s">
        <v>14</v>
      </c>
      <c r="F456" s="1">
        <v>0</v>
      </c>
      <c r="G456" s="1">
        <v>1</v>
      </c>
      <c r="H456" s="1" t="s">
        <v>96</v>
      </c>
      <c r="I456" s="1" t="s">
        <v>300</v>
      </c>
      <c r="J456" s="1" t="s">
        <v>231</v>
      </c>
      <c r="K456" s="1" t="s">
        <v>47</v>
      </c>
    </row>
    <row r="457" spans="1:11" x14ac:dyDescent="0.25">
      <c r="A457" s="1" t="s">
        <v>11</v>
      </c>
      <c r="B457" s="1">
        <v>132</v>
      </c>
      <c r="C457" s="1" t="s">
        <v>18</v>
      </c>
      <c r="D457" s="1">
        <v>1</v>
      </c>
      <c r="E457" s="1" t="s">
        <v>14</v>
      </c>
      <c r="F457" s="1">
        <v>0</v>
      </c>
      <c r="G457" s="1">
        <v>1</v>
      </c>
      <c r="H457" s="1" t="s">
        <v>96</v>
      </c>
      <c r="I457" s="1" t="s">
        <v>302</v>
      </c>
      <c r="J457" s="1" t="s">
        <v>236</v>
      </c>
      <c r="K457" s="1" t="s">
        <v>47</v>
      </c>
    </row>
    <row r="458" spans="1:11" x14ac:dyDescent="0.25">
      <c r="A458" s="1" t="s">
        <v>11</v>
      </c>
      <c r="B458" s="1">
        <v>133</v>
      </c>
      <c r="C458" s="1" t="s">
        <v>18</v>
      </c>
      <c r="D458" s="1">
        <v>2</v>
      </c>
      <c r="E458" s="1" t="s">
        <v>14</v>
      </c>
      <c r="F458" s="1">
        <v>0</v>
      </c>
      <c r="G458" s="1">
        <v>1</v>
      </c>
      <c r="H458" s="1" t="s">
        <v>96</v>
      </c>
      <c r="I458" s="1" t="s">
        <v>302</v>
      </c>
      <c r="J458" s="1" t="s">
        <v>236</v>
      </c>
      <c r="K458" s="1" t="s">
        <v>47</v>
      </c>
    </row>
    <row r="459" spans="1:11" x14ac:dyDescent="0.25">
      <c r="A459" s="1" t="s">
        <v>11</v>
      </c>
      <c r="B459" s="1">
        <v>147</v>
      </c>
      <c r="C459" s="1" t="s">
        <v>12</v>
      </c>
      <c r="D459" s="1">
        <v>1</v>
      </c>
      <c r="E459" s="1" t="s">
        <v>82</v>
      </c>
      <c r="F459" s="1">
        <v>0</v>
      </c>
      <c r="G459" s="1">
        <v>1</v>
      </c>
      <c r="H459" s="1" t="s">
        <v>44</v>
      </c>
      <c r="I459" s="1" t="s">
        <v>316</v>
      </c>
      <c r="J459" s="1" t="s">
        <v>317</v>
      </c>
      <c r="K459" s="1" t="s">
        <v>60</v>
      </c>
    </row>
    <row r="460" spans="1:11" x14ac:dyDescent="0.25">
      <c r="A460" s="1" t="s">
        <v>11</v>
      </c>
      <c r="B460" s="1">
        <v>148</v>
      </c>
      <c r="C460" s="1" t="s">
        <v>12</v>
      </c>
      <c r="D460" s="1">
        <v>2</v>
      </c>
      <c r="E460" s="1" t="s">
        <v>82</v>
      </c>
      <c r="F460" s="1">
        <v>0</v>
      </c>
      <c r="G460" s="1">
        <v>1</v>
      </c>
      <c r="H460" s="1" t="s">
        <v>44</v>
      </c>
      <c r="I460" s="1" t="s">
        <v>316</v>
      </c>
      <c r="J460" s="1" t="s">
        <v>317</v>
      </c>
      <c r="K460" s="1" t="s">
        <v>60</v>
      </c>
    </row>
    <row r="461" spans="1:11" x14ac:dyDescent="0.25">
      <c r="A461" s="1" t="s">
        <v>11</v>
      </c>
      <c r="B461" s="1">
        <v>150</v>
      </c>
      <c r="C461" s="1" t="s">
        <v>18</v>
      </c>
      <c r="D461" s="1">
        <v>1</v>
      </c>
      <c r="E461" s="1" t="s">
        <v>82</v>
      </c>
      <c r="F461" s="1">
        <v>22</v>
      </c>
      <c r="G461" s="1">
        <v>20</v>
      </c>
      <c r="H461" s="1" t="s">
        <v>44</v>
      </c>
      <c r="I461" s="1" t="s">
        <v>321</v>
      </c>
      <c r="J461" s="1" t="s">
        <v>322</v>
      </c>
      <c r="K461" s="1" t="s">
        <v>60</v>
      </c>
    </row>
    <row r="462" spans="1:11" x14ac:dyDescent="0.25">
      <c r="A462" s="1" t="s">
        <v>11</v>
      </c>
      <c r="B462" s="1">
        <v>151</v>
      </c>
      <c r="C462" s="1" t="s">
        <v>18</v>
      </c>
      <c r="D462" s="1">
        <v>2</v>
      </c>
      <c r="E462" s="1" t="s">
        <v>82</v>
      </c>
      <c r="F462" s="1">
        <v>1</v>
      </c>
      <c r="G462" s="1">
        <v>0</v>
      </c>
      <c r="H462" s="1" t="s">
        <v>44</v>
      </c>
      <c r="I462" s="1" t="s">
        <v>321</v>
      </c>
      <c r="J462" s="1" t="s">
        <v>322</v>
      </c>
      <c r="K462" s="1" t="s">
        <v>60</v>
      </c>
    </row>
    <row r="463" spans="1:11" x14ac:dyDescent="0.25">
      <c r="A463" s="1" t="s">
        <v>11</v>
      </c>
      <c r="B463" s="1">
        <v>153</v>
      </c>
      <c r="C463" s="1" t="s">
        <v>21</v>
      </c>
      <c r="D463" s="1">
        <v>1</v>
      </c>
      <c r="E463" s="1" t="s">
        <v>82</v>
      </c>
      <c r="F463" s="1">
        <v>21</v>
      </c>
      <c r="G463" s="1">
        <v>14</v>
      </c>
      <c r="H463" s="1" t="s">
        <v>44</v>
      </c>
      <c r="I463" s="1" t="s">
        <v>324</v>
      </c>
      <c r="J463" s="1" t="s">
        <v>327</v>
      </c>
      <c r="K463" s="1" t="s">
        <v>60</v>
      </c>
    </row>
    <row r="464" spans="1:11" x14ac:dyDescent="0.25">
      <c r="A464" s="1" t="s">
        <v>11</v>
      </c>
      <c r="B464" s="1">
        <v>154</v>
      </c>
      <c r="C464" s="1" t="s">
        <v>21</v>
      </c>
      <c r="D464" s="1">
        <v>2</v>
      </c>
      <c r="E464" s="1" t="s">
        <v>82</v>
      </c>
      <c r="F464" s="1">
        <v>1</v>
      </c>
      <c r="G464" s="1">
        <v>0</v>
      </c>
      <c r="H464" s="1" t="s">
        <v>44</v>
      </c>
      <c r="I464" s="1" t="s">
        <v>324</v>
      </c>
      <c r="J464" s="1" t="s">
        <v>327</v>
      </c>
      <c r="K464" s="1" t="s">
        <v>60</v>
      </c>
    </row>
    <row r="465" spans="1:11" x14ac:dyDescent="0.25">
      <c r="A465" s="1" t="s">
        <v>11</v>
      </c>
      <c r="B465" s="1">
        <v>156</v>
      </c>
      <c r="C465" s="1" t="s">
        <v>24</v>
      </c>
      <c r="D465" s="1">
        <v>1</v>
      </c>
      <c r="E465" s="1" t="s">
        <v>82</v>
      </c>
      <c r="F465" s="1">
        <v>19</v>
      </c>
      <c r="G465" s="1">
        <v>21</v>
      </c>
      <c r="H465" s="1" t="s">
        <v>44</v>
      </c>
      <c r="I465" s="1" t="s">
        <v>329</v>
      </c>
      <c r="J465" s="1" t="s">
        <v>331</v>
      </c>
      <c r="K465" s="1" t="s">
        <v>60</v>
      </c>
    </row>
    <row r="466" spans="1:11" x14ac:dyDescent="0.25">
      <c r="A466" s="1" t="s">
        <v>11</v>
      </c>
      <c r="B466" s="1">
        <v>157</v>
      </c>
      <c r="C466" s="1" t="s">
        <v>24</v>
      </c>
      <c r="D466" s="1">
        <v>2</v>
      </c>
      <c r="E466" s="1" t="s">
        <v>82</v>
      </c>
      <c r="F466" s="1">
        <v>0</v>
      </c>
      <c r="G466" s="1">
        <v>1</v>
      </c>
      <c r="H466" s="1" t="s">
        <v>44</v>
      </c>
      <c r="I466" s="1" t="s">
        <v>329</v>
      </c>
      <c r="J466" s="1" t="s">
        <v>331</v>
      </c>
      <c r="K466" s="1" t="s">
        <v>60</v>
      </c>
    </row>
    <row r="467" spans="1:11" x14ac:dyDescent="0.25">
      <c r="A467" s="1" t="s">
        <v>11</v>
      </c>
      <c r="B467" s="1">
        <v>159</v>
      </c>
      <c r="C467" s="1" t="s">
        <v>27</v>
      </c>
      <c r="D467" s="1">
        <v>1</v>
      </c>
      <c r="E467" s="1" t="s">
        <v>82</v>
      </c>
      <c r="F467" s="1">
        <v>21</v>
      </c>
      <c r="G467" s="1">
        <v>15</v>
      </c>
      <c r="H467" s="1" t="s">
        <v>44</v>
      </c>
      <c r="I467" s="1" t="s">
        <v>332</v>
      </c>
      <c r="J467" s="1" t="s">
        <v>334</v>
      </c>
      <c r="K467" s="1" t="s">
        <v>60</v>
      </c>
    </row>
    <row r="468" spans="1:11" x14ac:dyDescent="0.25">
      <c r="A468" s="1" t="s">
        <v>11</v>
      </c>
      <c r="B468" s="1">
        <v>160</v>
      </c>
      <c r="C468" s="1" t="s">
        <v>27</v>
      </c>
      <c r="D468" s="1">
        <v>2</v>
      </c>
      <c r="E468" s="1" t="s">
        <v>82</v>
      </c>
      <c r="F468" s="1">
        <v>1</v>
      </c>
      <c r="G468" s="1">
        <v>0</v>
      </c>
      <c r="H468" s="1" t="s">
        <v>44</v>
      </c>
      <c r="I468" s="1" t="s">
        <v>332</v>
      </c>
      <c r="J468" s="1" t="s">
        <v>334</v>
      </c>
      <c r="K468" s="1" t="s">
        <v>60</v>
      </c>
    </row>
    <row r="469" spans="1:11" x14ac:dyDescent="0.25">
      <c r="A469" s="1" t="s">
        <v>11</v>
      </c>
      <c r="B469" s="1">
        <v>165</v>
      </c>
      <c r="C469" s="1" t="s">
        <v>12</v>
      </c>
      <c r="D469" s="1">
        <v>1</v>
      </c>
      <c r="E469" s="1" t="s">
        <v>13</v>
      </c>
      <c r="F469" s="1">
        <v>0</v>
      </c>
      <c r="G469" s="1">
        <v>1</v>
      </c>
      <c r="H469" s="1" t="s">
        <v>56</v>
      </c>
      <c r="I469" s="1" t="s">
        <v>335</v>
      </c>
      <c r="J469" s="1" t="s">
        <v>319</v>
      </c>
      <c r="K469" s="1" t="s">
        <v>73</v>
      </c>
    </row>
    <row r="470" spans="1:11" x14ac:dyDescent="0.25">
      <c r="A470" s="1" t="s">
        <v>11</v>
      </c>
      <c r="B470" s="1">
        <v>166</v>
      </c>
      <c r="C470" s="1" t="s">
        <v>12</v>
      </c>
      <c r="D470" s="1">
        <v>2</v>
      </c>
      <c r="E470" s="1" t="s">
        <v>13</v>
      </c>
      <c r="F470" s="1">
        <v>0</v>
      </c>
      <c r="G470" s="1">
        <v>1</v>
      </c>
      <c r="H470" s="1" t="s">
        <v>56</v>
      </c>
      <c r="I470" s="1" t="s">
        <v>335</v>
      </c>
      <c r="J470" s="1" t="s">
        <v>319</v>
      </c>
      <c r="K470" s="1" t="s">
        <v>73</v>
      </c>
    </row>
    <row r="471" spans="1:11" x14ac:dyDescent="0.25">
      <c r="A471" s="1" t="s">
        <v>11</v>
      </c>
      <c r="B471" s="1">
        <v>168</v>
      </c>
      <c r="C471" s="1" t="s">
        <v>18</v>
      </c>
      <c r="D471" s="1">
        <v>1</v>
      </c>
      <c r="E471" s="1" t="s">
        <v>13</v>
      </c>
      <c r="F471" s="1">
        <v>0</v>
      </c>
      <c r="G471" s="1">
        <v>1</v>
      </c>
      <c r="H471" s="1" t="s">
        <v>56</v>
      </c>
      <c r="I471" s="1" t="s">
        <v>337</v>
      </c>
      <c r="J471" s="1" t="s">
        <v>323</v>
      </c>
      <c r="K471" s="1" t="s">
        <v>73</v>
      </c>
    </row>
    <row r="472" spans="1:11" x14ac:dyDescent="0.25">
      <c r="A472" s="1" t="s">
        <v>11</v>
      </c>
      <c r="B472" s="1">
        <v>169</v>
      </c>
      <c r="C472" s="1" t="s">
        <v>18</v>
      </c>
      <c r="D472" s="1">
        <v>2</v>
      </c>
      <c r="E472" s="1" t="s">
        <v>13</v>
      </c>
      <c r="F472" s="1">
        <v>0</v>
      </c>
      <c r="G472" s="1">
        <v>1</v>
      </c>
      <c r="H472" s="1" t="s">
        <v>56</v>
      </c>
      <c r="I472" s="1" t="s">
        <v>337</v>
      </c>
      <c r="J472" s="1" t="s">
        <v>323</v>
      </c>
      <c r="K472" s="1" t="s">
        <v>73</v>
      </c>
    </row>
    <row r="473" spans="1:11" x14ac:dyDescent="0.25">
      <c r="A473" s="1" t="s">
        <v>11</v>
      </c>
      <c r="B473" s="1">
        <v>171</v>
      </c>
      <c r="C473" s="1" t="s">
        <v>21</v>
      </c>
      <c r="D473" s="1">
        <v>1</v>
      </c>
      <c r="E473" s="1" t="s">
        <v>13</v>
      </c>
      <c r="F473" s="1">
        <v>0</v>
      </c>
      <c r="G473" s="1">
        <v>1</v>
      </c>
      <c r="H473" s="1" t="s">
        <v>56</v>
      </c>
      <c r="I473" s="1" t="s">
        <v>339</v>
      </c>
      <c r="J473" s="1" t="s">
        <v>325</v>
      </c>
      <c r="K473" s="1" t="s">
        <v>73</v>
      </c>
    </row>
    <row r="474" spans="1:11" x14ac:dyDescent="0.25">
      <c r="A474" s="1" t="s">
        <v>11</v>
      </c>
      <c r="B474" s="1">
        <v>172</v>
      </c>
      <c r="C474" s="1" t="s">
        <v>21</v>
      </c>
      <c r="D474" s="1">
        <v>2</v>
      </c>
      <c r="E474" s="1" t="s">
        <v>13</v>
      </c>
      <c r="F474" s="1">
        <v>0</v>
      </c>
      <c r="G474" s="1">
        <v>1</v>
      </c>
      <c r="H474" s="1" t="s">
        <v>56</v>
      </c>
      <c r="I474" s="1" t="s">
        <v>339</v>
      </c>
      <c r="J474" s="1" t="s">
        <v>325</v>
      </c>
      <c r="K474" s="1" t="s">
        <v>73</v>
      </c>
    </row>
    <row r="475" spans="1:11" x14ac:dyDescent="0.25">
      <c r="A475" s="1" t="s">
        <v>11</v>
      </c>
      <c r="B475" s="1">
        <v>174</v>
      </c>
      <c r="C475" s="1" t="s">
        <v>24</v>
      </c>
      <c r="D475" s="1">
        <v>1</v>
      </c>
      <c r="E475" s="1" t="s">
        <v>13</v>
      </c>
      <c r="F475" s="1">
        <v>0</v>
      </c>
      <c r="G475" s="1">
        <v>1</v>
      </c>
      <c r="H475" s="1" t="s">
        <v>56</v>
      </c>
      <c r="I475" s="1" t="s">
        <v>341</v>
      </c>
      <c r="J475" s="1" t="s">
        <v>330</v>
      </c>
      <c r="K475" s="1" t="s">
        <v>73</v>
      </c>
    </row>
    <row r="476" spans="1:11" x14ac:dyDescent="0.25">
      <c r="A476" s="1" t="s">
        <v>11</v>
      </c>
      <c r="B476" s="1">
        <v>175</v>
      </c>
      <c r="C476" s="1" t="s">
        <v>24</v>
      </c>
      <c r="D476" s="1">
        <v>2</v>
      </c>
      <c r="E476" s="1" t="s">
        <v>13</v>
      </c>
      <c r="F476" s="1">
        <v>0</v>
      </c>
      <c r="G476" s="1">
        <v>1</v>
      </c>
      <c r="H476" s="1" t="s">
        <v>56</v>
      </c>
      <c r="I476" s="1" t="s">
        <v>341</v>
      </c>
      <c r="J476" s="1" t="s">
        <v>330</v>
      </c>
      <c r="K476" s="1" t="s">
        <v>73</v>
      </c>
    </row>
    <row r="477" spans="1:11" x14ac:dyDescent="0.25">
      <c r="A477" s="1" t="s">
        <v>11</v>
      </c>
      <c r="B477" s="1">
        <v>177</v>
      </c>
      <c r="C477" s="1" t="s">
        <v>27</v>
      </c>
      <c r="D477" s="1">
        <v>1</v>
      </c>
      <c r="E477" s="1" t="s">
        <v>13</v>
      </c>
      <c r="F477" s="1">
        <v>1</v>
      </c>
      <c r="G477" s="1">
        <v>0</v>
      </c>
      <c r="H477" s="1" t="s">
        <v>56</v>
      </c>
      <c r="I477" s="1" t="s">
        <v>343</v>
      </c>
      <c r="J477" s="1" t="s">
        <v>333</v>
      </c>
      <c r="K477" s="1" t="s">
        <v>73</v>
      </c>
    </row>
    <row r="478" spans="1:11" x14ac:dyDescent="0.25">
      <c r="A478" s="1" t="s">
        <v>11</v>
      </c>
      <c r="B478" s="1">
        <v>178</v>
      </c>
      <c r="C478" s="1" t="s">
        <v>27</v>
      </c>
      <c r="D478" s="1">
        <v>2</v>
      </c>
      <c r="E478" s="1" t="s">
        <v>13</v>
      </c>
      <c r="F478" s="1">
        <v>1</v>
      </c>
      <c r="G478" s="1">
        <v>0</v>
      </c>
      <c r="H478" s="1" t="s">
        <v>56</v>
      </c>
      <c r="I478" s="1" t="s">
        <v>343</v>
      </c>
      <c r="J478" s="1" t="s">
        <v>333</v>
      </c>
      <c r="K478" s="1" t="s">
        <v>73</v>
      </c>
    </row>
    <row r="479" spans="1:11" x14ac:dyDescent="0.25">
      <c r="A479" s="1" t="s">
        <v>11</v>
      </c>
      <c r="B479" s="1">
        <v>183</v>
      </c>
      <c r="C479" s="1" t="s">
        <v>12</v>
      </c>
      <c r="D479" s="1">
        <v>1</v>
      </c>
      <c r="E479" s="1" t="s">
        <v>109</v>
      </c>
      <c r="F479" s="1">
        <v>21</v>
      </c>
      <c r="G479" s="1">
        <v>17</v>
      </c>
      <c r="H479" s="1" t="s">
        <v>43</v>
      </c>
      <c r="I479" s="1" t="s">
        <v>346</v>
      </c>
      <c r="J479" s="1" t="s">
        <v>345</v>
      </c>
      <c r="K479" s="1" t="s">
        <v>86</v>
      </c>
    </row>
    <row r="480" spans="1:11" x14ac:dyDescent="0.25">
      <c r="A480" s="1" t="s">
        <v>11</v>
      </c>
      <c r="B480" s="1">
        <v>184</v>
      </c>
      <c r="C480" s="1" t="s">
        <v>12</v>
      </c>
      <c r="D480" s="1">
        <v>2</v>
      </c>
      <c r="E480" s="1" t="s">
        <v>109</v>
      </c>
      <c r="F480" s="1">
        <v>1</v>
      </c>
      <c r="G480" s="1">
        <v>0</v>
      </c>
      <c r="H480" s="1" t="s">
        <v>43</v>
      </c>
      <c r="I480" s="1" t="s">
        <v>346</v>
      </c>
      <c r="J480" s="1" t="s">
        <v>345</v>
      </c>
      <c r="K480" s="1" t="s">
        <v>86</v>
      </c>
    </row>
    <row r="481" spans="1:11" x14ac:dyDescent="0.25">
      <c r="A481" s="1" t="s">
        <v>11</v>
      </c>
      <c r="B481" s="1">
        <v>186</v>
      </c>
      <c r="C481" s="1" t="s">
        <v>18</v>
      </c>
      <c r="D481" s="1">
        <v>1</v>
      </c>
      <c r="E481" s="1" t="s">
        <v>109</v>
      </c>
      <c r="F481" s="1">
        <v>17</v>
      </c>
      <c r="G481" s="1">
        <v>21</v>
      </c>
      <c r="H481" s="1" t="s">
        <v>43</v>
      </c>
      <c r="I481" s="1" t="s">
        <v>348</v>
      </c>
      <c r="J481" s="1" t="s">
        <v>347</v>
      </c>
      <c r="K481" s="1" t="s">
        <v>86</v>
      </c>
    </row>
    <row r="482" spans="1:11" x14ac:dyDescent="0.25">
      <c r="A482" s="1" t="s">
        <v>11</v>
      </c>
      <c r="B482" s="1">
        <v>187</v>
      </c>
      <c r="C482" s="1" t="s">
        <v>18</v>
      </c>
      <c r="D482" s="1">
        <v>2</v>
      </c>
      <c r="E482" s="1" t="s">
        <v>109</v>
      </c>
      <c r="F482" s="1">
        <v>0</v>
      </c>
      <c r="G482" s="1">
        <v>1</v>
      </c>
      <c r="H482" s="1" t="s">
        <v>43</v>
      </c>
      <c r="I482" s="1" t="s">
        <v>348</v>
      </c>
      <c r="J482" s="1" t="s">
        <v>347</v>
      </c>
      <c r="K482" s="1" t="s">
        <v>86</v>
      </c>
    </row>
    <row r="483" spans="1:11" x14ac:dyDescent="0.25">
      <c r="A483" s="1" t="s">
        <v>11</v>
      </c>
      <c r="B483" s="1">
        <v>189</v>
      </c>
      <c r="C483" s="1" t="s">
        <v>21</v>
      </c>
      <c r="D483" s="1">
        <v>1</v>
      </c>
      <c r="E483" s="1" t="s">
        <v>109</v>
      </c>
      <c r="F483" s="1">
        <v>21</v>
      </c>
      <c r="G483" s="1">
        <v>18</v>
      </c>
      <c r="H483" s="1" t="s">
        <v>43</v>
      </c>
      <c r="I483" s="1" t="s">
        <v>350</v>
      </c>
      <c r="J483" s="1" t="s">
        <v>349</v>
      </c>
      <c r="K483" s="1" t="s">
        <v>86</v>
      </c>
    </row>
    <row r="484" spans="1:11" x14ac:dyDescent="0.25">
      <c r="A484" s="1" t="s">
        <v>11</v>
      </c>
      <c r="B484" s="1">
        <v>190</v>
      </c>
      <c r="C484" s="1" t="s">
        <v>21</v>
      </c>
      <c r="D484" s="1">
        <v>2</v>
      </c>
      <c r="E484" s="1" t="s">
        <v>109</v>
      </c>
      <c r="F484" s="1">
        <v>1</v>
      </c>
      <c r="G484" s="1">
        <v>0</v>
      </c>
      <c r="H484" s="1" t="s">
        <v>43</v>
      </c>
      <c r="I484" s="1" t="s">
        <v>350</v>
      </c>
      <c r="J484" s="1" t="s">
        <v>349</v>
      </c>
      <c r="K484" s="1" t="s">
        <v>86</v>
      </c>
    </row>
    <row r="485" spans="1:11" x14ac:dyDescent="0.25">
      <c r="A485" s="1" t="s">
        <v>11</v>
      </c>
      <c r="B485" s="1">
        <v>192</v>
      </c>
      <c r="C485" s="1" t="s">
        <v>24</v>
      </c>
      <c r="D485" s="1">
        <v>1</v>
      </c>
      <c r="E485" s="1" t="s">
        <v>109</v>
      </c>
      <c r="F485" s="1">
        <v>17</v>
      </c>
      <c r="G485" s="1">
        <v>21</v>
      </c>
      <c r="H485" s="1" t="s">
        <v>43</v>
      </c>
      <c r="I485" s="1" t="s">
        <v>352</v>
      </c>
      <c r="J485" s="1" t="s">
        <v>351</v>
      </c>
      <c r="K485" s="1" t="s">
        <v>86</v>
      </c>
    </row>
    <row r="486" spans="1:11" x14ac:dyDescent="0.25">
      <c r="A486" s="1" t="s">
        <v>11</v>
      </c>
      <c r="B486" s="1">
        <v>193</v>
      </c>
      <c r="C486" s="1" t="s">
        <v>24</v>
      </c>
      <c r="D486" s="1">
        <v>2</v>
      </c>
      <c r="E486" s="1" t="s">
        <v>109</v>
      </c>
      <c r="F486" s="1">
        <v>0</v>
      </c>
      <c r="G486" s="1">
        <v>1</v>
      </c>
      <c r="H486" s="1" t="s">
        <v>43</v>
      </c>
      <c r="I486" s="1" t="s">
        <v>352</v>
      </c>
      <c r="J486" s="1" t="s">
        <v>351</v>
      </c>
      <c r="K486" s="1" t="s">
        <v>86</v>
      </c>
    </row>
    <row r="487" spans="1:11" x14ac:dyDescent="0.25">
      <c r="A487" s="1" t="s">
        <v>11</v>
      </c>
      <c r="B487" s="1">
        <v>195</v>
      </c>
      <c r="C487" s="1" t="s">
        <v>27</v>
      </c>
      <c r="D487" s="1">
        <v>1</v>
      </c>
      <c r="E487" s="1" t="s">
        <v>109</v>
      </c>
      <c r="F487" s="1">
        <v>1</v>
      </c>
      <c r="G487" s="1">
        <v>0</v>
      </c>
      <c r="H487" s="1" t="s">
        <v>43</v>
      </c>
      <c r="I487" s="1" t="s">
        <v>353</v>
      </c>
      <c r="J487" s="1"/>
      <c r="K487" s="1" t="s">
        <v>86</v>
      </c>
    </row>
    <row r="488" spans="1:11" x14ac:dyDescent="0.25">
      <c r="A488" s="1" t="s">
        <v>11</v>
      </c>
      <c r="B488" s="1">
        <v>196</v>
      </c>
      <c r="C488" s="1" t="s">
        <v>27</v>
      </c>
      <c r="D488" s="1">
        <v>2</v>
      </c>
      <c r="E488" s="1" t="s">
        <v>109</v>
      </c>
      <c r="F488" s="1">
        <v>1</v>
      </c>
      <c r="G488" s="1">
        <v>0</v>
      </c>
      <c r="H488" s="1" t="s">
        <v>43</v>
      </c>
      <c r="I488" s="1" t="s">
        <v>353</v>
      </c>
      <c r="J488" s="1"/>
      <c r="K488" s="1" t="s">
        <v>86</v>
      </c>
    </row>
    <row r="489" spans="1:11" x14ac:dyDescent="0.25">
      <c r="A489" s="1" t="s">
        <v>11</v>
      </c>
      <c r="B489" s="1">
        <v>201</v>
      </c>
      <c r="C489" s="1" t="s">
        <v>12</v>
      </c>
      <c r="D489" s="1">
        <v>1</v>
      </c>
      <c r="E489" s="1" t="s">
        <v>83</v>
      </c>
      <c r="F489" s="1">
        <v>21</v>
      </c>
      <c r="G489" s="1">
        <v>10</v>
      </c>
      <c r="H489" s="1" t="s">
        <v>134</v>
      </c>
      <c r="I489" s="1" t="s">
        <v>336</v>
      </c>
      <c r="J489" s="1" t="s">
        <v>318</v>
      </c>
      <c r="K489" s="1" t="s">
        <v>99</v>
      </c>
    </row>
    <row r="490" spans="1:11" x14ac:dyDescent="0.25">
      <c r="A490" s="1" t="s">
        <v>11</v>
      </c>
      <c r="B490" s="1">
        <v>202</v>
      </c>
      <c r="C490" s="1" t="s">
        <v>12</v>
      </c>
      <c r="D490" s="1">
        <v>2</v>
      </c>
      <c r="E490" s="1" t="s">
        <v>83</v>
      </c>
      <c r="F490" s="1">
        <v>1</v>
      </c>
      <c r="G490" s="1">
        <v>0</v>
      </c>
      <c r="H490" s="1" t="s">
        <v>134</v>
      </c>
      <c r="I490" s="1" t="s">
        <v>336</v>
      </c>
      <c r="J490" s="1" t="s">
        <v>318</v>
      </c>
      <c r="K490" s="1" t="s">
        <v>99</v>
      </c>
    </row>
    <row r="491" spans="1:11" x14ac:dyDescent="0.25">
      <c r="A491" s="1" t="s">
        <v>11</v>
      </c>
      <c r="B491" s="1">
        <v>204</v>
      </c>
      <c r="C491" s="1" t="s">
        <v>18</v>
      </c>
      <c r="D491" s="1">
        <v>1</v>
      </c>
      <c r="E491" s="1" t="s">
        <v>83</v>
      </c>
      <c r="F491" s="1">
        <v>21</v>
      </c>
      <c r="G491" s="1">
        <v>19</v>
      </c>
      <c r="H491" s="1" t="s">
        <v>134</v>
      </c>
      <c r="I491" s="1" t="s">
        <v>338</v>
      </c>
      <c r="J491" s="1" t="s">
        <v>320</v>
      </c>
      <c r="K491" s="1" t="s">
        <v>99</v>
      </c>
    </row>
    <row r="492" spans="1:11" x14ac:dyDescent="0.25">
      <c r="A492" s="1" t="s">
        <v>11</v>
      </c>
      <c r="B492" s="1">
        <v>205</v>
      </c>
      <c r="C492" s="1" t="s">
        <v>18</v>
      </c>
      <c r="D492" s="1">
        <v>2</v>
      </c>
      <c r="E492" s="1" t="s">
        <v>83</v>
      </c>
      <c r="F492" s="1">
        <v>1</v>
      </c>
      <c r="G492" s="1">
        <v>0</v>
      </c>
      <c r="H492" s="1" t="s">
        <v>134</v>
      </c>
      <c r="I492" s="1" t="s">
        <v>338</v>
      </c>
      <c r="J492" s="1" t="s">
        <v>320</v>
      </c>
      <c r="K492" s="1" t="s">
        <v>99</v>
      </c>
    </row>
    <row r="493" spans="1:11" x14ac:dyDescent="0.25">
      <c r="A493" s="1" t="s">
        <v>11</v>
      </c>
      <c r="B493" s="1">
        <v>207</v>
      </c>
      <c r="C493" s="1" t="s">
        <v>21</v>
      </c>
      <c r="D493" s="1">
        <v>1</v>
      </c>
      <c r="E493" s="1" t="s">
        <v>83</v>
      </c>
      <c r="F493" s="1">
        <v>9</v>
      </c>
      <c r="G493" s="1">
        <v>21</v>
      </c>
      <c r="H493" s="1" t="s">
        <v>134</v>
      </c>
      <c r="I493" s="1" t="s">
        <v>340</v>
      </c>
      <c r="J493" s="1" t="s">
        <v>326</v>
      </c>
      <c r="K493" s="1" t="s">
        <v>99</v>
      </c>
    </row>
    <row r="494" spans="1:11" x14ac:dyDescent="0.25">
      <c r="A494" s="1" t="s">
        <v>11</v>
      </c>
      <c r="B494" s="1">
        <v>208</v>
      </c>
      <c r="C494" s="1" t="s">
        <v>21</v>
      </c>
      <c r="D494" s="1">
        <v>2</v>
      </c>
      <c r="E494" s="1" t="s">
        <v>83</v>
      </c>
      <c r="F494" s="1">
        <v>0</v>
      </c>
      <c r="G494" s="1">
        <v>1</v>
      </c>
      <c r="H494" s="1" t="s">
        <v>134</v>
      </c>
      <c r="I494" s="1" t="s">
        <v>340</v>
      </c>
      <c r="J494" s="1" t="s">
        <v>326</v>
      </c>
      <c r="K494" s="1" t="s">
        <v>99</v>
      </c>
    </row>
    <row r="495" spans="1:11" x14ac:dyDescent="0.25">
      <c r="A495" s="1" t="s">
        <v>11</v>
      </c>
      <c r="B495" s="1">
        <v>210</v>
      </c>
      <c r="C495" s="1" t="s">
        <v>24</v>
      </c>
      <c r="D495" s="1">
        <v>1</v>
      </c>
      <c r="E495" s="1" t="s">
        <v>83</v>
      </c>
      <c r="F495" s="1">
        <v>21</v>
      </c>
      <c r="G495" s="1">
        <v>6</v>
      </c>
      <c r="H495" s="1" t="s">
        <v>134</v>
      </c>
      <c r="I495" s="1" t="s">
        <v>342</v>
      </c>
      <c r="J495" s="1" t="s">
        <v>328</v>
      </c>
      <c r="K495" s="1" t="s">
        <v>99</v>
      </c>
    </row>
    <row r="496" spans="1:11" x14ac:dyDescent="0.25">
      <c r="A496" s="1" t="s">
        <v>11</v>
      </c>
      <c r="B496" s="1">
        <v>211</v>
      </c>
      <c r="C496" s="1" t="s">
        <v>24</v>
      </c>
      <c r="D496" s="1">
        <v>2</v>
      </c>
      <c r="E496" s="1" t="s">
        <v>83</v>
      </c>
      <c r="F496" s="1">
        <v>1</v>
      </c>
      <c r="G496" s="1">
        <v>0</v>
      </c>
      <c r="H496" s="1" t="s">
        <v>134</v>
      </c>
      <c r="I496" s="1" t="s">
        <v>342</v>
      </c>
      <c r="J496" s="1" t="s">
        <v>328</v>
      </c>
      <c r="K496" s="1" t="s">
        <v>99</v>
      </c>
    </row>
    <row r="497" spans="1:11" x14ac:dyDescent="0.25">
      <c r="A497" s="1" t="s">
        <v>11</v>
      </c>
      <c r="B497" s="1">
        <v>213</v>
      </c>
      <c r="C497" s="1" t="s">
        <v>27</v>
      </c>
      <c r="D497" s="1">
        <v>1</v>
      </c>
      <c r="E497" s="1" t="s">
        <v>83</v>
      </c>
      <c r="F497" s="1">
        <v>1</v>
      </c>
      <c r="G497" s="1">
        <v>0</v>
      </c>
      <c r="H497" s="1" t="s">
        <v>134</v>
      </c>
      <c r="I497" s="1" t="s">
        <v>344</v>
      </c>
      <c r="J497" s="1"/>
      <c r="K497" s="1" t="s">
        <v>99</v>
      </c>
    </row>
    <row r="498" spans="1:11" x14ac:dyDescent="0.25">
      <c r="A498" s="1" t="s">
        <v>11</v>
      </c>
      <c r="B498" s="1">
        <v>214</v>
      </c>
      <c r="C498" s="1" t="s">
        <v>27</v>
      </c>
      <c r="D498" s="1">
        <v>2</v>
      </c>
      <c r="E498" s="1" t="s">
        <v>83</v>
      </c>
      <c r="F498" s="1">
        <v>1</v>
      </c>
      <c r="G498" s="1">
        <v>0</v>
      </c>
      <c r="H498" s="1" t="s">
        <v>134</v>
      </c>
      <c r="I498" s="1" t="s">
        <v>344</v>
      </c>
      <c r="J498" s="1"/>
      <c r="K498" s="1" t="s">
        <v>99</v>
      </c>
    </row>
    <row r="499" spans="1:11" x14ac:dyDescent="0.25">
      <c r="A499" s="1" t="s">
        <v>11</v>
      </c>
      <c r="B499" s="1">
        <v>219</v>
      </c>
      <c r="C499" s="1" t="s">
        <v>12</v>
      </c>
      <c r="D499" s="1">
        <v>1</v>
      </c>
      <c r="E499" s="1" t="s">
        <v>108</v>
      </c>
      <c r="F499" s="1">
        <v>0</v>
      </c>
      <c r="G499" s="1">
        <v>1</v>
      </c>
      <c r="H499" s="1" t="s">
        <v>69</v>
      </c>
      <c r="I499" s="1" t="s">
        <v>313</v>
      </c>
      <c r="J499" s="1" t="s">
        <v>310</v>
      </c>
      <c r="K499" s="1" t="s">
        <v>112</v>
      </c>
    </row>
    <row r="500" spans="1:11" x14ac:dyDescent="0.25">
      <c r="A500" s="1" t="s">
        <v>11</v>
      </c>
      <c r="B500" s="1">
        <v>220</v>
      </c>
      <c r="C500" s="1" t="s">
        <v>12</v>
      </c>
      <c r="D500" s="1">
        <v>2</v>
      </c>
      <c r="E500" s="1" t="s">
        <v>108</v>
      </c>
      <c r="F500" s="1">
        <v>0</v>
      </c>
      <c r="G500" s="1">
        <v>1</v>
      </c>
      <c r="H500" s="1" t="s">
        <v>69</v>
      </c>
      <c r="I500" s="1" t="s">
        <v>313</v>
      </c>
      <c r="J500" s="1" t="s">
        <v>310</v>
      </c>
      <c r="K500" s="1" t="s">
        <v>112</v>
      </c>
    </row>
    <row r="501" spans="1:11" x14ac:dyDescent="0.25">
      <c r="A501" s="1" t="s">
        <v>11</v>
      </c>
      <c r="B501" s="1">
        <v>222</v>
      </c>
      <c r="C501" s="1" t="s">
        <v>18</v>
      </c>
      <c r="D501" s="1">
        <v>1</v>
      </c>
      <c r="E501" s="1" t="s">
        <v>108</v>
      </c>
      <c r="F501" s="1">
        <v>0</v>
      </c>
      <c r="G501" s="1">
        <v>1</v>
      </c>
      <c r="H501" s="1" t="s">
        <v>69</v>
      </c>
      <c r="I501" s="1" t="s">
        <v>314</v>
      </c>
      <c r="J501" s="1" t="s">
        <v>311</v>
      </c>
      <c r="K501" s="1" t="s">
        <v>112</v>
      </c>
    </row>
    <row r="502" spans="1:11" x14ac:dyDescent="0.25">
      <c r="A502" s="1" t="s">
        <v>11</v>
      </c>
      <c r="B502" s="1">
        <v>223</v>
      </c>
      <c r="C502" s="1" t="s">
        <v>18</v>
      </c>
      <c r="D502" s="1">
        <v>2</v>
      </c>
      <c r="E502" s="1" t="s">
        <v>108</v>
      </c>
      <c r="F502" s="1">
        <v>0</v>
      </c>
      <c r="G502" s="1">
        <v>1</v>
      </c>
      <c r="H502" s="1" t="s">
        <v>69</v>
      </c>
      <c r="I502" s="1" t="s">
        <v>314</v>
      </c>
      <c r="J502" s="1" t="s">
        <v>311</v>
      </c>
      <c r="K502" s="1" t="s">
        <v>112</v>
      </c>
    </row>
    <row r="503" spans="1:11" x14ac:dyDescent="0.25">
      <c r="A503" s="1" t="s">
        <v>11</v>
      </c>
      <c r="B503" s="1">
        <v>225</v>
      </c>
      <c r="C503" s="1" t="s">
        <v>21</v>
      </c>
      <c r="D503" s="1">
        <v>1</v>
      </c>
      <c r="E503" s="1" t="s">
        <v>108</v>
      </c>
      <c r="F503" s="1">
        <v>1</v>
      </c>
      <c r="G503" s="1">
        <v>0</v>
      </c>
      <c r="H503" s="1" t="s">
        <v>69</v>
      </c>
      <c r="I503" s="1" t="s">
        <v>315</v>
      </c>
      <c r="J503" s="1" t="s">
        <v>312</v>
      </c>
      <c r="K503" s="1" t="s">
        <v>112</v>
      </c>
    </row>
    <row r="504" spans="1:11" x14ac:dyDescent="0.25">
      <c r="A504" s="1" t="s">
        <v>11</v>
      </c>
      <c r="B504" s="1">
        <v>226</v>
      </c>
      <c r="C504" s="1" t="s">
        <v>21</v>
      </c>
      <c r="D504" s="1">
        <v>2</v>
      </c>
      <c r="E504" s="1" t="s">
        <v>108</v>
      </c>
      <c r="F504" s="1">
        <v>1</v>
      </c>
      <c r="G504" s="1">
        <v>0</v>
      </c>
      <c r="H504" s="1" t="s">
        <v>69</v>
      </c>
      <c r="I504" s="1" t="s">
        <v>315</v>
      </c>
      <c r="J504" s="1" t="s">
        <v>312</v>
      </c>
      <c r="K504" s="1" t="s">
        <v>112</v>
      </c>
    </row>
    <row r="505" spans="1:11" x14ac:dyDescent="0.25">
      <c r="A505" s="1" t="s">
        <v>11</v>
      </c>
      <c r="B505" s="1">
        <v>39</v>
      </c>
      <c r="C505" s="1" t="s">
        <v>12</v>
      </c>
      <c r="D505" s="1">
        <v>1</v>
      </c>
      <c r="E505" s="1" t="s">
        <v>30</v>
      </c>
      <c r="F505" s="1">
        <v>21</v>
      </c>
      <c r="G505" s="1">
        <v>16</v>
      </c>
      <c r="H505" s="1" t="s">
        <v>194</v>
      </c>
      <c r="I505" s="1" t="s">
        <v>233</v>
      </c>
      <c r="J505" s="1" t="s">
        <v>270</v>
      </c>
      <c r="K505" s="1" t="s">
        <v>159</v>
      </c>
    </row>
    <row r="506" spans="1:11" x14ac:dyDescent="0.25">
      <c r="A506" s="1" t="s">
        <v>11</v>
      </c>
      <c r="B506" s="1">
        <v>40</v>
      </c>
      <c r="C506" s="1" t="s">
        <v>12</v>
      </c>
      <c r="D506" s="1">
        <v>2</v>
      </c>
      <c r="E506" s="1" t="s">
        <v>30</v>
      </c>
      <c r="F506" s="1">
        <v>1</v>
      </c>
      <c r="G506" s="1">
        <v>0</v>
      </c>
      <c r="H506" s="1" t="s">
        <v>194</v>
      </c>
      <c r="I506" s="1" t="s">
        <v>233</v>
      </c>
      <c r="J506" s="1" t="s">
        <v>270</v>
      </c>
      <c r="K506" s="1" t="s">
        <v>159</v>
      </c>
    </row>
    <row r="507" spans="1:11" x14ac:dyDescent="0.25">
      <c r="A507" s="1" t="s">
        <v>11</v>
      </c>
      <c r="B507" s="1">
        <v>42</v>
      </c>
      <c r="C507" s="1" t="s">
        <v>18</v>
      </c>
      <c r="D507" s="1">
        <v>1</v>
      </c>
      <c r="E507" s="1" t="s">
        <v>30</v>
      </c>
      <c r="F507" s="1">
        <v>16</v>
      </c>
      <c r="G507" s="1">
        <v>21</v>
      </c>
      <c r="H507" s="1" t="s">
        <v>194</v>
      </c>
      <c r="I507" s="1" t="s">
        <v>238</v>
      </c>
      <c r="J507" s="1" t="s">
        <v>273</v>
      </c>
      <c r="K507" s="1" t="s">
        <v>159</v>
      </c>
    </row>
    <row r="508" spans="1:11" x14ac:dyDescent="0.25">
      <c r="A508" s="1" t="s">
        <v>11</v>
      </c>
      <c r="B508" s="1">
        <v>43</v>
      </c>
      <c r="C508" s="1" t="s">
        <v>18</v>
      </c>
      <c r="D508" s="1">
        <v>2</v>
      </c>
      <c r="E508" s="1" t="s">
        <v>30</v>
      </c>
      <c r="F508" s="1">
        <v>0</v>
      </c>
      <c r="G508" s="1">
        <v>1</v>
      </c>
      <c r="H508" s="1" t="s">
        <v>194</v>
      </c>
      <c r="I508" s="1" t="s">
        <v>238</v>
      </c>
      <c r="J508" s="1" t="s">
        <v>273</v>
      </c>
      <c r="K508" s="1" t="s">
        <v>159</v>
      </c>
    </row>
    <row r="509" spans="1:11" x14ac:dyDescent="0.25">
      <c r="A509" s="1" t="s">
        <v>11</v>
      </c>
      <c r="B509" s="1">
        <v>45</v>
      </c>
      <c r="C509" s="1" t="s">
        <v>21</v>
      </c>
      <c r="D509" s="1">
        <v>1</v>
      </c>
      <c r="E509" s="1" t="s">
        <v>30</v>
      </c>
      <c r="F509" s="1">
        <v>15</v>
      </c>
      <c r="G509" s="1">
        <v>21</v>
      </c>
      <c r="H509" s="1" t="s">
        <v>194</v>
      </c>
      <c r="I509" s="1" t="s">
        <v>243</v>
      </c>
      <c r="J509" s="1" t="s">
        <v>276</v>
      </c>
      <c r="K509" s="1" t="s">
        <v>159</v>
      </c>
    </row>
    <row r="510" spans="1:11" x14ac:dyDescent="0.25">
      <c r="A510" s="1" t="s">
        <v>11</v>
      </c>
      <c r="B510" s="1">
        <v>46</v>
      </c>
      <c r="C510" s="1" t="s">
        <v>21</v>
      </c>
      <c r="D510" s="1">
        <v>2</v>
      </c>
      <c r="E510" s="1" t="s">
        <v>30</v>
      </c>
      <c r="F510" s="1">
        <v>0</v>
      </c>
      <c r="G510" s="1">
        <v>1</v>
      </c>
      <c r="H510" s="1" t="s">
        <v>194</v>
      </c>
      <c r="I510" s="1" t="s">
        <v>243</v>
      </c>
      <c r="J510" s="1" t="s">
        <v>276</v>
      </c>
      <c r="K510" s="1" t="s">
        <v>159</v>
      </c>
    </row>
    <row r="511" spans="1:11" x14ac:dyDescent="0.25">
      <c r="A511" s="1" t="s">
        <v>11</v>
      </c>
      <c r="B511" s="1">
        <v>48</v>
      </c>
      <c r="C511" s="1" t="s">
        <v>24</v>
      </c>
      <c r="D511" s="1">
        <v>1</v>
      </c>
      <c r="E511" s="1" t="s">
        <v>30</v>
      </c>
      <c r="F511" s="1">
        <v>13</v>
      </c>
      <c r="G511" s="1">
        <v>21</v>
      </c>
      <c r="H511" s="1" t="s">
        <v>194</v>
      </c>
      <c r="I511" s="1" t="s">
        <v>248</v>
      </c>
      <c r="J511" s="1" t="s">
        <v>279</v>
      </c>
      <c r="K511" s="1" t="s">
        <v>159</v>
      </c>
    </row>
    <row r="512" spans="1:11" x14ac:dyDescent="0.25">
      <c r="A512" s="1" t="s">
        <v>11</v>
      </c>
      <c r="B512" s="1">
        <v>49</v>
      </c>
      <c r="C512" s="1" t="s">
        <v>24</v>
      </c>
      <c r="D512" s="1">
        <v>2</v>
      </c>
      <c r="E512" s="1" t="s">
        <v>30</v>
      </c>
      <c r="F512" s="1">
        <v>0</v>
      </c>
      <c r="G512" s="1">
        <v>1</v>
      </c>
      <c r="H512" s="1" t="s">
        <v>194</v>
      </c>
      <c r="I512" s="1" t="s">
        <v>248</v>
      </c>
      <c r="J512" s="1" t="s">
        <v>279</v>
      </c>
      <c r="K512" s="1" t="s">
        <v>159</v>
      </c>
    </row>
    <row r="513" spans="1:11" x14ac:dyDescent="0.25">
      <c r="A513" s="1" t="s">
        <v>11</v>
      </c>
      <c r="B513" s="1">
        <v>51</v>
      </c>
      <c r="C513" s="1" t="s">
        <v>27</v>
      </c>
      <c r="D513" s="1">
        <v>1</v>
      </c>
      <c r="E513" s="1" t="s">
        <v>30</v>
      </c>
      <c r="F513" s="1">
        <v>13</v>
      </c>
      <c r="G513" s="1">
        <v>21</v>
      </c>
      <c r="H513" s="1" t="s">
        <v>194</v>
      </c>
      <c r="I513" s="1" t="s">
        <v>253</v>
      </c>
      <c r="J513" s="1" t="s">
        <v>282</v>
      </c>
      <c r="K513" s="1" t="s">
        <v>159</v>
      </c>
    </row>
    <row r="514" spans="1:11" x14ac:dyDescent="0.25">
      <c r="A514" s="1" t="s">
        <v>11</v>
      </c>
      <c r="B514" s="1">
        <v>52</v>
      </c>
      <c r="C514" s="1" t="s">
        <v>27</v>
      </c>
      <c r="D514" s="1">
        <v>2</v>
      </c>
      <c r="E514" s="1" t="s">
        <v>30</v>
      </c>
      <c r="F514" s="1">
        <v>0</v>
      </c>
      <c r="G514" s="1">
        <v>1</v>
      </c>
      <c r="H514" s="1" t="s">
        <v>194</v>
      </c>
      <c r="I514" s="1" t="s">
        <v>253</v>
      </c>
      <c r="J514" s="1" t="s">
        <v>282</v>
      </c>
      <c r="K514" s="1" t="s">
        <v>159</v>
      </c>
    </row>
    <row r="515" spans="1:11" x14ac:dyDescent="0.25">
      <c r="A515" s="1" t="s">
        <v>11</v>
      </c>
      <c r="B515" s="1">
        <v>57</v>
      </c>
      <c r="C515" s="1" t="s">
        <v>12</v>
      </c>
      <c r="D515" s="1">
        <v>1</v>
      </c>
      <c r="E515" s="1" t="s">
        <v>155</v>
      </c>
      <c r="F515" s="1">
        <v>21</v>
      </c>
      <c r="G515" s="1">
        <v>17</v>
      </c>
      <c r="H515" s="1" t="s">
        <v>147</v>
      </c>
      <c r="I515" s="1" t="s">
        <v>257</v>
      </c>
      <c r="J515" s="1" t="s">
        <v>272</v>
      </c>
      <c r="K515" s="1" t="s">
        <v>172</v>
      </c>
    </row>
    <row r="516" spans="1:11" x14ac:dyDescent="0.25">
      <c r="A516" s="1" t="s">
        <v>11</v>
      </c>
      <c r="B516" s="1">
        <v>58</v>
      </c>
      <c r="C516" s="1" t="s">
        <v>12</v>
      </c>
      <c r="D516" s="1">
        <v>2</v>
      </c>
      <c r="E516" s="1" t="s">
        <v>155</v>
      </c>
      <c r="F516" s="1">
        <v>1</v>
      </c>
      <c r="G516" s="1">
        <v>0</v>
      </c>
      <c r="H516" s="1" t="s">
        <v>147</v>
      </c>
      <c r="I516" s="1" t="s">
        <v>257</v>
      </c>
      <c r="J516" s="1" t="s">
        <v>272</v>
      </c>
      <c r="K516" s="1" t="s">
        <v>172</v>
      </c>
    </row>
    <row r="517" spans="1:11" x14ac:dyDescent="0.25">
      <c r="A517" s="1" t="s">
        <v>11</v>
      </c>
      <c r="B517" s="1">
        <v>60</v>
      </c>
      <c r="C517" s="1" t="s">
        <v>18</v>
      </c>
      <c r="D517" s="1">
        <v>1</v>
      </c>
      <c r="E517" s="1" t="s">
        <v>155</v>
      </c>
      <c r="F517" s="1">
        <v>19</v>
      </c>
      <c r="G517" s="1">
        <v>21</v>
      </c>
      <c r="H517" s="1" t="s">
        <v>147</v>
      </c>
      <c r="I517" s="1" t="s">
        <v>260</v>
      </c>
      <c r="J517" s="1" t="s">
        <v>275</v>
      </c>
      <c r="K517" s="1" t="s">
        <v>172</v>
      </c>
    </row>
    <row r="518" spans="1:11" x14ac:dyDescent="0.25">
      <c r="A518" s="1" t="s">
        <v>11</v>
      </c>
      <c r="B518" s="1">
        <v>61</v>
      </c>
      <c r="C518" s="1" t="s">
        <v>18</v>
      </c>
      <c r="D518" s="1">
        <v>2</v>
      </c>
      <c r="E518" s="1" t="s">
        <v>155</v>
      </c>
      <c r="F518" s="1">
        <v>0</v>
      </c>
      <c r="G518" s="1">
        <v>1</v>
      </c>
      <c r="H518" s="1" t="s">
        <v>147</v>
      </c>
      <c r="I518" s="1" t="s">
        <v>260</v>
      </c>
      <c r="J518" s="1" t="s">
        <v>275</v>
      </c>
      <c r="K518" s="1" t="s">
        <v>172</v>
      </c>
    </row>
    <row r="519" spans="1:11" x14ac:dyDescent="0.25">
      <c r="A519" s="1" t="s">
        <v>11</v>
      </c>
      <c r="B519" s="1">
        <v>63</v>
      </c>
      <c r="C519" s="1" t="s">
        <v>21</v>
      </c>
      <c r="D519" s="1">
        <v>1</v>
      </c>
      <c r="E519" s="1" t="s">
        <v>155</v>
      </c>
      <c r="F519" s="1">
        <v>21</v>
      </c>
      <c r="G519" s="1">
        <v>19</v>
      </c>
      <c r="H519" s="1" t="s">
        <v>147</v>
      </c>
      <c r="I519" s="1" t="s">
        <v>263</v>
      </c>
      <c r="J519" s="1" t="s">
        <v>278</v>
      </c>
      <c r="K519" s="1" t="s">
        <v>172</v>
      </c>
    </row>
    <row r="520" spans="1:11" x14ac:dyDescent="0.25">
      <c r="A520" s="1" t="s">
        <v>11</v>
      </c>
      <c r="B520" s="1">
        <v>64</v>
      </c>
      <c r="C520" s="1" t="s">
        <v>21</v>
      </c>
      <c r="D520" s="1">
        <v>2</v>
      </c>
      <c r="E520" s="1" t="s">
        <v>155</v>
      </c>
      <c r="F520" s="1">
        <v>1</v>
      </c>
      <c r="G520" s="1">
        <v>0</v>
      </c>
      <c r="H520" s="1" t="s">
        <v>147</v>
      </c>
      <c r="I520" s="1" t="s">
        <v>263</v>
      </c>
      <c r="J520" s="1" t="s">
        <v>278</v>
      </c>
      <c r="K520" s="1" t="s">
        <v>172</v>
      </c>
    </row>
    <row r="521" spans="1:11" x14ac:dyDescent="0.25">
      <c r="A521" s="1" t="s">
        <v>11</v>
      </c>
      <c r="B521" s="1">
        <v>66</v>
      </c>
      <c r="C521" s="1" t="s">
        <v>24</v>
      </c>
      <c r="D521" s="1">
        <v>1</v>
      </c>
      <c r="E521" s="1" t="s">
        <v>155</v>
      </c>
      <c r="F521" s="1">
        <v>21</v>
      </c>
      <c r="G521" s="1">
        <v>19</v>
      </c>
      <c r="H521" s="1" t="s">
        <v>147</v>
      </c>
      <c r="I521" s="1" t="s">
        <v>266</v>
      </c>
      <c r="J521" s="1" t="s">
        <v>281</v>
      </c>
      <c r="K521" s="1" t="s">
        <v>172</v>
      </c>
    </row>
    <row r="522" spans="1:11" x14ac:dyDescent="0.25">
      <c r="A522" s="1" t="s">
        <v>11</v>
      </c>
      <c r="B522" s="1">
        <v>67</v>
      </c>
      <c r="C522" s="1" t="s">
        <v>24</v>
      </c>
      <c r="D522" s="1">
        <v>2</v>
      </c>
      <c r="E522" s="1" t="s">
        <v>155</v>
      </c>
      <c r="F522" s="1">
        <v>1</v>
      </c>
      <c r="G522" s="1">
        <v>0</v>
      </c>
      <c r="H522" s="1" t="s">
        <v>147</v>
      </c>
      <c r="I522" s="1" t="s">
        <v>266</v>
      </c>
      <c r="J522" s="1" t="s">
        <v>281</v>
      </c>
      <c r="K522" s="1" t="s">
        <v>172</v>
      </c>
    </row>
    <row r="523" spans="1:11" x14ac:dyDescent="0.25">
      <c r="A523" s="1" t="s">
        <v>11</v>
      </c>
      <c r="B523" s="1">
        <v>69</v>
      </c>
      <c r="C523" s="1" t="s">
        <v>27</v>
      </c>
      <c r="D523" s="1">
        <v>1</v>
      </c>
      <c r="E523" s="1" t="s">
        <v>155</v>
      </c>
      <c r="F523" s="1">
        <v>20</v>
      </c>
      <c r="G523" s="1">
        <v>22</v>
      </c>
      <c r="H523" s="1" t="s">
        <v>147</v>
      </c>
      <c r="I523" s="1" t="s">
        <v>268</v>
      </c>
      <c r="J523" s="1" t="s">
        <v>284</v>
      </c>
      <c r="K523" s="1" t="s">
        <v>172</v>
      </c>
    </row>
    <row r="524" spans="1:11" x14ac:dyDescent="0.25">
      <c r="A524" s="1" t="s">
        <v>11</v>
      </c>
      <c r="B524" s="1">
        <v>70</v>
      </c>
      <c r="C524" s="1" t="s">
        <v>27</v>
      </c>
      <c r="D524" s="1">
        <v>2</v>
      </c>
      <c r="E524" s="1" t="s">
        <v>155</v>
      </c>
      <c r="F524" s="1">
        <v>0</v>
      </c>
      <c r="G524" s="1">
        <v>1</v>
      </c>
      <c r="H524" s="1" t="s">
        <v>147</v>
      </c>
      <c r="I524" s="1" t="s">
        <v>268</v>
      </c>
      <c r="J524" s="1" t="s">
        <v>284</v>
      </c>
      <c r="K524" s="1" t="s">
        <v>172</v>
      </c>
    </row>
    <row r="525" spans="1:11" x14ac:dyDescent="0.25">
      <c r="A525" s="1" t="s">
        <v>11</v>
      </c>
      <c r="B525" s="1">
        <v>75</v>
      </c>
      <c r="C525" s="1" t="s">
        <v>12</v>
      </c>
      <c r="D525" s="1">
        <v>1</v>
      </c>
      <c r="E525" s="1" t="s">
        <v>181</v>
      </c>
      <c r="F525" s="1">
        <v>1</v>
      </c>
      <c r="G525" s="1">
        <v>0</v>
      </c>
      <c r="H525" s="1" t="s">
        <v>182</v>
      </c>
      <c r="I525" s="1" t="s">
        <v>291</v>
      </c>
      <c r="J525" s="1" t="s">
        <v>271</v>
      </c>
      <c r="K525" s="1" t="s">
        <v>185</v>
      </c>
    </row>
    <row r="526" spans="1:11" x14ac:dyDescent="0.25">
      <c r="A526" s="1" t="s">
        <v>11</v>
      </c>
      <c r="B526" s="1">
        <v>76</v>
      </c>
      <c r="C526" s="1" t="s">
        <v>12</v>
      </c>
      <c r="D526" s="1">
        <v>2</v>
      </c>
      <c r="E526" s="1" t="s">
        <v>181</v>
      </c>
      <c r="F526" s="1">
        <v>1</v>
      </c>
      <c r="G526" s="1">
        <v>0</v>
      </c>
      <c r="H526" s="1" t="s">
        <v>182</v>
      </c>
      <c r="I526" s="1" t="s">
        <v>291</v>
      </c>
      <c r="J526" s="1" t="s">
        <v>271</v>
      </c>
      <c r="K526" s="1" t="s">
        <v>185</v>
      </c>
    </row>
    <row r="527" spans="1:11" x14ac:dyDescent="0.25">
      <c r="A527" s="1" t="s">
        <v>11</v>
      </c>
      <c r="B527" s="1">
        <v>78</v>
      </c>
      <c r="C527" s="1" t="s">
        <v>18</v>
      </c>
      <c r="D527" s="1">
        <v>1</v>
      </c>
      <c r="E527" s="1" t="s">
        <v>181</v>
      </c>
      <c r="F527" s="1">
        <v>1</v>
      </c>
      <c r="G527" s="1">
        <v>0</v>
      </c>
      <c r="H527" s="1" t="s">
        <v>182</v>
      </c>
      <c r="I527" s="1" t="s">
        <v>293</v>
      </c>
      <c r="J527" s="1" t="s">
        <v>274</v>
      </c>
      <c r="K527" s="1" t="s">
        <v>185</v>
      </c>
    </row>
    <row r="528" spans="1:11" x14ac:dyDescent="0.25">
      <c r="A528" s="1" t="s">
        <v>11</v>
      </c>
      <c r="B528" s="1">
        <v>79</v>
      </c>
      <c r="C528" s="1" t="s">
        <v>18</v>
      </c>
      <c r="D528" s="1">
        <v>2</v>
      </c>
      <c r="E528" s="1" t="s">
        <v>181</v>
      </c>
      <c r="F528" s="1">
        <v>1</v>
      </c>
      <c r="G528" s="1">
        <v>0</v>
      </c>
      <c r="H528" s="1" t="s">
        <v>182</v>
      </c>
      <c r="I528" s="1" t="s">
        <v>293</v>
      </c>
      <c r="J528" s="1" t="s">
        <v>274</v>
      </c>
      <c r="K528" s="1" t="s">
        <v>185</v>
      </c>
    </row>
    <row r="529" spans="1:11" x14ac:dyDescent="0.25">
      <c r="A529" s="1" t="s">
        <v>11</v>
      </c>
      <c r="B529" s="1">
        <v>81</v>
      </c>
      <c r="C529" s="1" t="s">
        <v>21</v>
      </c>
      <c r="D529" s="1">
        <v>1</v>
      </c>
      <c r="E529" s="1" t="s">
        <v>181</v>
      </c>
      <c r="F529" s="1">
        <v>1</v>
      </c>
      <c r="G529" s="1">
        <v>0</v>
      </c>
      <c r="H529" s="1" t="s">
        <v>182</v>
      </c>
      <c r="I529" s="1" t="s">
        <v>295</v>
      </c>
      <c r="J529" s="1" t="s">
        <v>277</v>
      </c>
      <c r="K529" s="1" t="s">
        <v>185</v>
      </c>
    </row>
    <row r="530" spans="1:11" x14ac:dyDescent="0.25">
      <c r="A530" s="1" t="s">
        <v>11</v>
      </c>
      <c r="B530" s="1">
        <v>82</v>
      </c>
      <c r="C530" s="1" t="s">
        <v>21</v>
      </c>
      <c r="D530" s="1">
        <v>2</v>
      </c>
      <c r="E530" s="1" t="s">
        <v>181</v>
      </c>
      <c r="F530" s="1">
        <v>1</v>
      </c>
      <c r="G530" s="1">
        <v>0</v>
      </c>
      <c r="H530" s="1" t="s">
        <v>182</v>
      </c>
      <c r="I530" s="1" t="s">
        <v>295</v>
      </c>
      <c r="J530" s="1" t="s">
        <v>277</v>
      </c>
      <c r="K530" s="1" t="s">
        <v>185</v>
      </c>
    </row>
    <row r="531" spans="1:11" x14ac:dyDescent="0.25">
      <c r="A531" s="1" t="s">
        <v>11</v>
      </c>
      <c r="B531" s="1">
        <v>84</v>
      </c>
      <c r="C531" s="1" t="s">
        <v>24</v>
      </c>
      <c r="D531" s="1">
        <v>1</v>
      </c>
      <c r="E531" s="1" t="s">
        <v>181</v>
      </c>
      <c r="F531" s="1">
        <v>0</v>
      </c>
      <c r="G531" s="1">
        <v>1</v>
      </c>
      <c r="H531" s="1" t="s">
        <v>182</v>
      </c>
      <c r="I531" s="1" t="s">
        <v>297</v>
      </c>
      <c r="J531" s="1" t="s">
        <v>280</v>
      </c>
      <c r="K531" s="1" t="s">
        <v>185</v>
      </c>
    </row>
    <row r="532" spans="1:11" x14ac:dyDescent="0.25">
      <c r="A532" s="1" t="s">
        <v>11</v>
      </c>
      <c r="B532" s="1">
        <v>85</v>
      </c>
      <c r="C532" s="1" t="s">
        <v>24</v>
      </c>
      <c r="D532" s="1">
        <v>2</v>
      </c>
      <c r="E532" s="1" t="s">
        <v>181</v>
      </c>
      <c r="F532" s="1">
        <v>0</v>
      </c>
      <c r="G532" s="1">
        <v>1</v>
      </c>
      <c r="H532" s="1" t="s">
        <v>182</v>
      </c>
      <c r="I532" s="1" t="s">
        <v>297</v>
      </c>
      <c r="J532" s="1" t="s">
        <v>280</v>
      </c>
      <c r="K532" s="1" t="s">
        <v>185</v>
      </c>
    </row>
    <row r="533" spans="1:11" x14ac:dyDescent="0.25">
      <c r="A533" s="1" t="s">
        <v>11</v>
      </c>
      <c r="B533" s="1">
        <v>87</v>
      </c>
      <c r="C533" s="1" t="s">
        <v>27</v>
      </c>
      <c r="D533" s="1">
        <v>1</v>
      </c>
      <c r="E533" s="1" t="s">
        <v>181</v>
      </c>
      <c r="F533" s="1">
        <v>0</v>
      </c>
      <c r="G533" s="1">
        <v>1</v>
      </c>
      <c r="H533" s="1" t="s">
        <v>182</v>
      </c>
      <c r="I533" s="1" t="s">
        <v>299</v>
      </c>
      <c r="J533" s="1" t="s">
        <v>283</v>
      </c>
      <c r="K533" s="1" t="s">
        <v>185</v>
      </c>
    </row>
    <row r="534" spans="1:11" x14ac:dyDescent="0.25">
      <c r="A534" s="1" t="s">
        <v>11</v>
      </c>
      <c r="B534" s="1">
        <v>88</v>
      </c>
      <c r="C534" s="1" t="s">
        <v>27</v>
      </c>
      <c r="D534" s="1">
        <v>2</v>
      </c>
      <c r="E534" s="1" t="s">
        <v>181</v>
      </c>
      <c r="F534" s="1">
        <v>0</v>
      </c>
      <c r="G534" s="1">
        <v>1</v>
      </c>
      <c r="H534" s="1" t="s">
        <v>182</v>
      </c>
      <c r="I534" s="1" t="s">
        <v>299</v>
      </c>
      <c r="J534" s="1" t="s">
        <v>283</v>
      </c>
      <c r="K534" s="1" t="s">
        <v>185</v>
      </c>
    </row>
    <row r="535" spans="1:11" x14ac:dyDescent="0.25">
      <c r="A535" s="1" t="s">
        <v>11</v>
      </c>
      <c r="B535" s="1">
        <v>3</v>
      </c>
      <c r="C535" s="1" t="s">
        <v>12</v>
      </c>
      <c r="D535" s="1">
        <v>1</v>
      </c>
      <c r="E535" s="1" t="s">
        <v>195</v>
      </c>
      <c r="F535" s="1">
        <v>19</v>
      </c>
      <c r="G535" s="1">
        <v>21</v>
      </c>
      <c r="H535" s="1" t="s">
        <v>146</v>
      </c>
      <c r="I535" s="1" t="s">
        <v>230</v>
      </c>
      <c r="J535" s="1" t="s">
        <v>234</v>
      </c>
      <c r="K535" s="1" t="s">
        <v>198</v>
      </c>
    </row>
    <row r="536" spans="1:11" x14ac:dyDescent="0.25">
      <c r="A536" s="1" t="s">
        <v>11</v>
      </c>
      <c r="B536" s="1">
        <v>4</v>
      </c>
      <c r="C536" s="1" t="s">
        <v>12</v>
      </c>
      <c r="D536" s="1">
        <v>2</v>
      </c>
      <c r="E536" s="1" t="s">
        <v>195</v>
      </c>
      <c r="F536" s="1">
        <v>21</v>
      </c>
      <c r="G536" s="1">
        <v>16</v>
      </c>
      <c r="H536" s="1" t="s">
        <v>146</v>
      </c>
      <c r="I536" s="1" t="s">
        <v>230</v>
      </c>
      <c r="J536" s="1" t="s">
        <v>234</v>
      </c>
      <c r="K536" s="1" t="s">
        <v>198</v>
      </c>
    </row>
    <row r="537" spans="1:11" x14ac:dyDescent="0.25">
      <c r="A537" s="1" t="s">
        <v>11</v>
      </c>
      <c r="B537" s="1">
        <v>5</v>
      </c>
      <c r="C537" s="1" t="s">
        <v>12</v>
      </c>
      <c r="D537" s="1">
        <v>3</v>
      </c>
      <c r="E537" s="1" t="s">
        <v>195</v>
      </c>
      <c r="F537" s="1">
        <v>21</v>
      </c>
      <c r="G537" s="1">
        <v>23</v>
      </c>
      <c r="H537" s="1" t="s">
        <v>146</v>
      </c>
      <c r="I537" s="1" t="s">
        <v>230</v>
      </c>
      <c r="J537" s="1" t="s">
        <v>234</v>
      </c>
      <c r="K537" s="1" t="s">
        <v>198</v>
      </c>
    </row>
    <row r="538" spans="1:11" x14ac:dyDescent="0.25">
      <c r="A538" s="1" t="s">
        <v>11</v>
      </c>
      <c r="B538" s="1">
        <v>6</v>
      </c>
      <c r="C538" s="1" t="s">
        <v>18</v>
      </c>
      <c r="D538" s="1">
        <v>1</v>
      </c>
      <c r="E538" s="1" t="s">
        <v>195</v>
      </c>
      <c r="F538" s="1">
        <v>21</v>
      </c>
      <c r="G538" s="1">
        <v>18</v>
      </c>
      <c r="H538" s="1" t="s">
        <v>146</v>
      </c>
      <c r="I538" s="1" t="s">
        <v>235</v>
      </c>
      <c r="J538" s="1" t="s">
        <v>239</v>
      </c>
      <c r="K538" s="1" t="s">
        <v>198</v>
      </c>
    </row>
    <row r="539" spans="1:11" x14ac:dyDescent="0.25">
      <c r="A539" s="1" t="s">
        <v>11</v>
      </c>
      <c r="B539" s="1">
        <v>7</v>
      </c>
      <c r="C539" s="1" t="s">
        <v>18</v>
      </c>
      <c r="D539" s="1">
        <v>2</v>
      </c>
      <c r="E539" s="1" t="s">
        <v>195</v>
      </c>
      <c r="F539" s="1">
        <v>19</v>
      </c>
      <c r="G539" s="1">
        <v>21</v>
      </c>
      <c r="H539" s="1" t="s">
        <v>146</v>
      </c>
      <c r="I539" s="1" t="s">
        <v>235</v>
      </c>
      <c r="J539" s="1" t="s">
        <v>239</v>
      </c>
      <c r="K539" s="1" t="s">
        <v>198</v>
      </c>
    </row>
    <row r="540" spans="1:11" x14ac:dyDescent="0.25">
      <c r="A540" s="1" t="s">
        <v>11</v>
      </c>
      <c r="B540" s="1">
        <v>8</v>
      </c>
      <c r="C540" s="1" t="s">
        <v>18</v>
      </c>
      <c r="D540" s="1">
        <v>3</v>
      </c>
      <c r="E540" s="1" t="s">
        <v>195</v>
      </c>
      <c r="F540" s="1">
        <v>22</v>
      </c>
      <c r="G540" s="1">
        <v>20</v>
      </c>
      <c r="H540" s="1" t="s">
        <v>146</v>
      </c>
      <c r="I540" s="1" t="s">
        <v>235</v>
      </c>
      <c r="J540" s="1" t="s">
        <v>239</v>
      </c>
      <c r="K540" s="1" t="s">
        <v>198</v>
      </c>
    </row>
    <row r="541" spans="1:11" x14ac:dyDescent="0.25">
      <c r="A541" s="1" t="s">
        <v>11</v>
      </c>
      <c r="B541" s="1">
        <v>9</v>
      </c>
      <c r="C541" s="1" t="s">
        <v>21</v>
      </c>
      <c r="D541" s="1">
        <v>1</v>
      </c>
      <c r="E541" s="1" t="s">
        <v>195</v>
      </c>
      <c r="F541" s="1">
        <v>21</v>
      </c>
      <c r="G541" s="1">
        <v>16</v>
      </c>
      <c r="H541" s="1" t="s">
        <v>146</v>
      </c>
      <c r="I541" s="1" t="s">
        <v>240</v>
      </c>
      <c r="J541" s="1" t="s">
        <v>244</v>
      </c>
      <c r="K541" s="1" t="s">
        <v>198</v>
      </c>
    </row>
    <row r="542" spans="1:11" x14ac:dyDescent="0.25">
      <c r="A542" s="1" t="s">
        <v>11</v>
      </c>
      <c r="B542" s="1">
        <v>10</v>
      </c>
      <c r="C542" s="1" t="s">
        <v>21</v>
      </c>
      <c r="D542" s="1">
        <v>2</v>
      </c>
      <c r="E542" s="1" t="s">
        <v>195</v>
      </c>
      <c r="F542" s="1">
        <v>29</v>
      </c>
      <c r="G542" s="1">
        <v>27</v>
      </c>
      <c r="H542" s="1" t="s">
        <v>146</v>
      </c>
      <c r="I542" s="1" t="s">
        <v>240</v>
      </c>
      <c r="J542" s="1" t="s">
        <v>244</v>
      </c>
      <c r="K542" s="1" t="s">
        <v>198</v>
      </c>
    </row>
    <row r="543" spans="1:11" x14ac:dyDescent="0.25">
      <c r="A543" s="1" t="s">
        <v>11</v>
      </c>
      <c r="B543" s="1">
        <v>12</v>
      </c>
      <c r="C543" s="1" t="s">
        <v>24</v>
      </c>
      <c r="D543" s="1">
        <v>1</v>
      </c>
      <c r="E543" s="1" t="s">
        <v>195</v>
      </c>
      <c r="F543" s="1">
        <v>21</v>
      </c>
      <c r="G543" s="1">
        <v>19</v>
      </c>
      <c r="H543" s="1" t="s">
        <v>146</v>
      </c>
      <c r="I543" s="1" t="s">
        <v>245</v>
      </c>
      <c r="J543" s="1" t="s">
        <v>249</v>
      </c>
      <c r="K543" s="1" t="s">
        <v>198</v>
      </c>
    </row>
    <row r="544" spans="1:11" x14ac:dyDescent="0.25">
      <c r="A544" s="1" t="s">
        <v>11</v>
      </c>
      <c r="B544" s="1">
        <v>13</v>
      </c>
      <c r="C544" s="1" t="s">
        <v>24</v>
      </c>
      <c r="D544" s="1">
        <v>2</v>
      </c>
      <c r="E544" s="1" t="s">
        <v>195</v>
      </c>
      <c r="F544" s="1">
        <v>21</v>
      </c>
      <c r="G544" s="1">
        <v>19</v>
      </c>
      <c r="H544" s="1" t="s">
        <v>146</v>
      </c>
      <c r="I544" s="1" t="s">
        <v>245</v>
      </c>
      <c r="J544" s="1" t="s">
        <v>249</v>
      </c>
      <c r="K544" s="1" t="s">
        <v>198</v>
      </c>
    </row>
    <row r="545" spans="1:11" x14ac:dyDescent="0.25">
      <c r="A545" s="1" t="s">
        <v>11</v>
      </c>
      <c r="B545" s="1">
        <v>15</v>
      </c>
      <c r="C545" s="1" t="s">
        <v>27</v>
      </c>
      <c r="D545" s="1">
        <v>1</v>
      </c>
      <c r="E545" s="1" t="s">
        <v>195</v>
      </c>
      <c r="F545" s="1">
        <v>21</v>
      </c>
      <c r="G545" s="1">
        <v>19</v>
      </c>
      <c r="H545" s="1" t="s">
        <v>146</v>
      </c>
      <c r="I545" s="1" t="s">
        <v>250</v>
      </c>
      <c r="J545" s="1" t="s">
        <v>254</v>
      </c>
      <c r="K545" s="1" t="s">
        <v>198</v>
      </c>
    </row>
    <row r="546" spans="1:11" x14ac:dyDescent="0.25">
      <c r="A546" s="1" t="s">
        <v>11</v>
      </c>
      <c r="B546" s="1">
        <v>16</v>
      </c>
      <c r="C546" s="1" t="s">
        <v>27</v>
      </c>
      <c r="D546" s="1">
        <v>2</v>
      </c>
      <c r="E546" s="1" t="s">
        <v>195</v>
      </c>
      <c r="F546" s="1">
        <v>22</v>
      </c>
      <c r="G546" s="1">
        <v>20</v>
      </c>
      <c r="H546" s="1" t="s">
        <v>146</v>
      </c>
      <c r="I546" s="1" t="s">
        <v>250</v>
      </c>
      <c r="J546" s="1" t="s">
        <v>254</v>
      </c>
      <c r="K546" s="1" t="s">
        <v>198</v>
      </c>
    </row>
  </sheetData>
  <autoFilter ref="A1:K546" xr:uid="{00000000-0001-0000-0000-000000000000}">
    <sortState xmlns:xlrd2="http://schemas.microsoft.com/office/spreadsheetml/2017/richdata2" ref="A2:K546">
      <sortCondition ref="A1:A546"/>
    </sortState>
  </autoFilter>
  <sortState xmlns:xlrd2="http://schemas.microsoft.com/office/spreadsheetml/2017/richdata2" ref="A2:K1203">
    <sortCondition descending="1" ref="A1:A12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719"/>
  <sheetViews>
    <sheetView zoomScale="83" workbookViewId="0">
      <selection activeCell="A2" sqref="A1:K719"/>
    </sheetView>
  </sheetViews>
  <sheetFormatPr defaultColWidth="12.6640625" defaultRowHeight="15.75" customHeight="1" x14ac:dyDescent="0.25"/>
  <cols>
    <col min="9" max="9" width="25.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213</v>
      </c>
      <c r="B2" s="1">
        <v>39</v>
      </c>
      <c r="C2" s="1" t="s">
        <v>12</v>
      </c>
      <c r="D2" s="1">
        <v>1</v>
      </c>
      <c r="E2" s="1" t="s">
        <v>146</v>
      </c>
      <c r="F2" s="1">
        <v>15</v>
      </c>
      <c r="G2" s="1">
        <v>8</v>
      </c>
      <c r="H2" s="1" t="s">
        <v>135</v>
      </c>
      <c r="I2" s="1" t="s">
        <v>148</v>
      </c>
      <c r="J2" s="1" t="s">
        <v>137</v>
      </c>
      <c r="K2" s="1" t="s">
        <v>214</v>
      </c>
    </row>
    <row r="3" spans="1:11" x14ac:dyDescent="0.25">
      <c r="A3" s="1" t="s">
        <v>213</v>
      </c>
      <c r="B3" s="1">
        <v>40</v>
      </c>
      <c r="C3" s="1" t="s">
        <v>12</v>
      </c>
      <c r="D3" s="1">
        <v>2</v>
      </c>
      <c r="E3" s="1" t="s">
        <v>146</v>
      </c>
      <c r="F3" s="1">
        <v>15</v>
      </c>
      <c r="G3" s="1">
        <v>7</v>
      </c>
      <c r="H3" s="1" t="s">
        <v>135</v>
      </c>
      <c r="I3" s="1" t="s">
        <v>148</v>
      </c>
      <c r="J3" s="1" t="s">
        <v>137</v>
      </c>
      <c r="K3" s="1" t="s">
        <v>214</v>
      </c>
    </row>
    <row r="4" spans="1:11" x14ac:dyDescent="0.25">
      <c r="A4" s="1" t="s">
        <v>213</v>
      </c>
      <c r="B4" s="1">
        <v>42</v>
      </c>
      <c r="C4" s="1" t="s">
        <v>18</v>
      </c>
      <c r="D4" s="1">
        <v>1</v>
      </c>
      <c r="E4" s="1" t="s">
        <v>146</v>
      </c>
      <c r="F4" s="1">
        <v>15</v>
      </c>
      <c r="G4" s="1">
        <v>4</v>
      </c>
      <c r="H4" s="1" t="s">
        <v>135</v>
      </c>
      <c r="I4" s="1" t="s">
        <v>151</v>
      </c>
      <c r="J4" s="1" t="s">
        <v>140</v>
      </c>
      <c r="K4" s="1" t="s">
        <v>214</v>
      </c>
    </row>
    <row r="5" spans="1:11" x14ac:dyDescent="0.25">
      <c r="A5" s="1" t="s">
        <v>213</v>
      </c>
      <c r="B5" s="1">
        <v>43</v>
      </c>
      <c r="C5" s="1" t="s">
        <v>18</v>
      </c>
      <c r="D5" s="1">
        <v>2</v>
      </c>
      <c r="E5" s="1" t="s">
        <v>146</v>
      </c>
      <c r="F5" s="1">
        <v>15</v>
      </c>
      <c r="G5" s="1">
        <v>7</v>
      </c>
      <c r="H5" s="1" t="s">
        <v>135</v>
      </c>
      <c r="I5" s="1" t="s">
        <v>151</v>
      </c>
      <c r="J5" s="1" t="s">
        <v>140</v>
      </c>
      <c r="K5" s="1" t="s">
        <v>214</v>
      </c>
    </row>
    <row r="6" spans="1:11" x14ac:dyDescent="0.25">
      <c r="A6" s="1" t="s">
        <v>213</v>
      </c>
      <c r="B6" s="1">
        <v>45</v>
      </c>
      <c r="C6" s="1" t="s">
        <v>21</v>
      </c>
      <c r="D6" s="1">
        <v>1</v>
      </c>
      <c r="E6" s="1" t="s">
        <v>146</v>
      </c>
      <c r="F6" s="1">
        <v>15</v>
      </c>
      <c r="G6" s="1">
        <v>12</v>
      </c>
      <c r="H6" s="1" t="s">
        <v>135</v>
      </c>
      <c r="I6" s="1" t="s">
        <v>153</v>
      </c>
      <c r="J6" s="1" t="s">
        <v>142</v>
      </c>
      <c r="K6" s="1" t="s">
        <v>214</v>
      </c>
    </row>
    <row r="7" spans="1:11" x14ac:dyDescent="0.25">
      <c r="A7" s="1" t="s">
        <v>213</v>
      </c>
      <c r="B7" s="1">
        <v>46</v>
      </c>
      <c r="C7" s="1" t="s">
        <v>21</v>
      </c>
      <c r="D7" s="1">
        <v>2</v>
      </c>
      <c r="E7" s="1" t="s">
        <v>146</v>
      </c>
      <c r="F7" s="1">
        <v>15</v>
      </c>
      <c r="G7" s="1">
        <v>7</v>
      </c>
      <c r="H7" s="1" t="s">
        <v>135</v>
      </c>
      <c r="I7" s="1" t="s">
        <v>153</v>
      </c>
      <c r="J7" s="1" t="s">
        <v>142</v>
      </c>
      <c r="K7" s="1" t="s">
        <v>214</v>
      </c>
    </row>
    <row r="8" spans="1:11" x14ac:dyDescent="0.25">
      <c r="A8" s="1" t="s">
        <v>213</v>
      </c>
      <c r="B8" s="1">
        <v>48</v>
      </c>
      <c r="C8" s="1" t="s">
        <v>24</v>
      </c>
      <c r="D8" s="1">
        <v>1</v>
      </c>
      <c r="E8" s="1" t="s">
        <v>146</v>
      </c>
      <c r="F8" s="1">
        <v>15</v>
      </c>
      <c r="G8" s="1">
        <v>2</v>
      </c>
      <c r="H8" s="1" t="s">
        <v>135</v>
      </c>
      <c r="I8" s="1" t="s">
        <v>209</v>
      </c>
      <c r="J8" s="1" t="s">
        <v>144</v>
      </c>
      <c r="K8" s="1" t="s">
        <v>214</v>
      </c>
    </row>
    <row r="9" spans="1:11" x14ac:dyDescent="0.25">
      <c r="A9" s="1" t="s">
        <v>213</v>
      </c>
      <c r="B9" s="1">
        <v>49</v>
      </c>
      <c r="C9" s="1" t="s">
        <v>24</v>
      </c>
      <c r="D9" s="1">
        <v>2</v>
      </c>
      <c r="E9" s="1" t="s">
        <v>146</v>
      </c>
      <c r="F9" s="1">
        <v>15</v>
      </c>
      <c r="G9" s="1">
        <v>1</v>
      </c>
      <c r="H9" s="1" t="s">
        <v>135</v>
      </c>
      <c r="I9" s="1" t="s">
        <v>209</v>
      </c>
      <c r="J9" s="1" t="s">
        <v>144</v>
      </c>
      <c r="K9" s="1" t="s">
        <v>214</v>
      </c>
    </row>
    <row r="10" spans="1:11" x14ac:dyDescent="0.25">
      <c r="A10" s="1" t="s">
        <v>213</v>
      </c>
      <c r="B10" s="1">
        <v>57</v>
      </c>
      <c r="C10" s="1" t="s">
        <v>12</v>
      </c>
      <c r="D10" s="1">
        <v>1</v>
      </c>
      <c r="E10" s="1" t="s">
        <v>147</v>
      </c>
      <c r="F10" s="1">
        <v>15</v>
      </c>
      <c r="G10" s="1">
        <v>4</v>
      </c>
      <c r="H10" s="1" t="s">
        <v>134</v>
      </c>
      <c r="I10" s="1" t="s">
        <v>149</v>
      </c>
      <c r="J10" s="1" t="s">
        <v>136</v>
      </c>
      <c r="K10" s="1" t="s">
        <v>214</v>
      </c>
    </row>
    <row r="11" spans="1:11" x14ac:dyDescent="0.25">
      <c r="A11" s="1" t="s">
        <v>213</v>
      </c>
      <c r="B11" s="1">
        <v>58</v>
      </c>
      <c r="C11" s="1" t="s">
        <v>12</v>
      </c>
      <c r="D11" s="1">
        <v>2</v>
      </c>
      <c r="E11" s="1" t="s">
        <v>147</v>
      </c>
      <c r="F11" s="1">
        <v>15</v>
      </c>
      <c r="G11" s="1">
        <v>5</v>
      </c>
      <c r="H11" s="1" t="s">
        <v>134</v>
      </c>
      <c r="I11" s="1" t="s">
        <v>149</v>
      </c>
      <c r="J11" s="1" t="s">
        <v>136</v>
      </c>
      <c r="K11" s="1" t="s">
        <v>214</v>
      </c>
    </row>
    <row r="12" spans="1:11" x14ac:dyDescent="0.25">
      <c r="A12" s="1" t="s">
        <v>213</v>
      </c>
      <c r="B12" s="1">
        <v>66</v>
      </c>
      <c r="C12" s="1" t="s">
        <v>24</v>
      </c>
      <c r="D12" s="1">
        <v>1</v>
      </c>
      <c r="E12" s="1" t="s">
        <v>147</v>
      </c>
      <c r="F12" s="1">
        <v>15</v>
      </c>
      <c r="G12" s="1">
        <v>6</v>
      </c>
      <c r="H12" s="1" t="s">
        <v>134</v>
      </c>
      <c r="I12" s="1" t="s">
        <v>211</v>
      </c>
      <c r="J12" s="1" t="s">
        <v>143</v>
      </c>
      <c r="K12" s="1" t="s">
        <v>214</v>
      </c>
    </row>
    <row r="13" spans="1:11" x14ac:dyDescent="0.25">
      <c r="A13" s="1" t="s">
        <v>213</v>
      </c>
      <c r="B13" s="1">
        <v>67</v>
      </c>
      <c r="C13" s="1" t="s">
        <v>24</v>
      </c>
      <c r="D13" s="1">
        <v>2</v>
      </c>
      <c r="E13" s="1" t="s">
        <v>147</v>
      </c>
      <c r="F13" s="1">
        <v>15</v>
      </c>
      <c r="G13" s="1">
        <v>3</v>
      </c>
      <c r="H13" s="1" t="s">
        <v>134</v>
      </c>
      <c r="I13" s="1" t="s">
        <v>211</v>
      </c>
      <c r="J13" s="1" t="s">
        <v>143</v>
      </c>
      <c r="K13" s="1" t="s">
        <v>214</v>
      </c>
    </row>
    <row r="14" spans="1:11" x14ac:dyDescent="0.25">
      <c r="A14" s="1" t="s">
        <v>213</v>
      </c>
      <c r="B14" s="1">
        <v>69</v>
      </c>
      <c r="C14" s="1" t="s">
        <v>27</v>
      </c>
      <c r="D14" s="1">
        <v>1</v>
      </c>
      <c r="E14" s="1" t="s">
        <v>147</v>
      </c>
      <c r="F14" s="1">
        <v>15</v>
      </c>
      <c r="G14" s="1">
        <v>7</v>
      </c>
      <c r="H14" s="1" t="s">
        <v>134</v>
      </c>
      <c r="I14" s="1" t="s">
        <v>212</v>
      </c>
      <c r="J14" s="1" t="s">
        <v>145</v>
      </c>
      <c r="K14" s="1" t="s">
        <v>214</v>
      </c>
    </row>
    <row r="15" spans="1:11" x14ac:dyDescent="0.25">
      <c r="A15" s="1" t="s">
        <v>213</v>
      </c>
      <c r="B15" s="1">
        <v>70</v>
      </c>
      <c r="C15" s="1" t="s">
        <v>27</v>
      </c>
      <c r="D15" s="1">
        <v>2</v>
      </c>
      <c r="E15" s="1" t="s">
        <v>147</v>
      </c>
      <c r="F15" s="1">
        <v>15</v>
      </c>
      <c r="G15" s="1">
        <v>5</v>
      </c>
      <c r="H15" s="1" t="s">
        <v>134</v>
      </c>
      <c r="I15" s="1" t="s">
        <v>212</v>
      </c>
      <c r="J15" s="1" t="s">
        <v>145</v>
      </c>
      <c r="K15" s="1" t="s">
        <v>214</v>
      </c>
    </row>
    <row r="16" spans="1:11" x14ac:dyDescent="0.25">
      <c r="A16" s="1" t="s">
        <v>213</v>
      </c>
      <c r="B16" s="1">
        <v>75</v>
      </c>
      <c r="C16" s="1" t="s">
        <v>12</v>
      </c>
      <c r="D16" s="1">
        <v>1</v>
      </c>
      <c r="E16" s="1" t="s">
        <v>155</v>
      </c>
      <c r="F16" s="1">
        <v>15</v>
      </c>
      <c r="G16" s="1">
        <v>6</v>
      </c>
      <c r="H16" s="1" t="s">
        <v>122</v>
      </c>
      <c r="I16" s="1" t="s">
        <v>157</v>
      </c>
      <c r="J16" s="1" t="s">
        <v>124</v>
      </c>
      <c r="K16" s="1" t="s">
        <v>214</v>
      </c>
    </row>
    <row r="17" spans="1:11" x14ac:dyDescent="0.25">
      <c r="A17" s="1" t="s">
        <v>213</v>
      </c>
      <c r="B17" s="1">
        <v>76</v>
      </c>
      <c r="C17" s="1" t="s">
        <v>12</v>
      </c>
      <c r="D17" s="1">
        <v>2</v>
      </c>
      <c r="E17" s="1" t="s">
        <v>155</v>
      </c>
      <c r="F17" s="1">
        <v>15</v>
      </c>
      <c r="G17" s="1">
        <v>6</v>
      </c>
      <c r="H17" s="1" t="s">
        <v>122</v>
      </c>
      <c r="I17" s="1" t="s">
        <v>157</v>
      </c>
      <c r="J17" s="1" t="s">
        <v>124</v>
      </c>
      <c r="K17" s="1" t="s">
        <v>214</v>
      </c>
    </row>
    <row r="18" spans="1:11" x14ac:dyDescent="0.25">
      <c r="A18" s="1" t="s">
        <v>213</v>
      </c>
      <c r="B18" s="1">
        <v>78</v>
      </c>
      <c r="C18" s="1" t="s">
        <v>18</v>
      </c>
      <c r="D18" s="1">
        <v>1</v>
      </c>
      <c r="E18" s="1" t="s">
        <v>155</v>
      </c>
      <c r="F18" s="1">
        <v>15</v>
      </c>
      <c r="G18" s="1">
        <v>10</v>
      </c>
      <c r="H18" s="1" t="s">
        <v>122</v>
      </c>
      <c r="I18" s="1" t="s">
        <v>160</v>
      </c>
      <c r="J18" s="1" t="s">
        <v>127</v>
      </c>
      <c r="K18" s="1" t="s">
        <v>214</v>
      </c>
    </row>
    <row r="19" spans="1:11" x14ac:dyDescent="0.25">
      <c r="A19" s="1" t="s">
        <v>213</v>
      </c>
      <c r="B19" s="1">
        <v>81</v>
      </c>
      <c r="C19" s="1" t="s">
        <v>21</v>
      </c>
      <c r="D19" s="1">
        <v>1</v>
      </c>
      <c r="E19" s="1" t="s">
        <v>155</v>
      </c>
      <c r="F19" s="1">
        <v>15</v>
      </c>
      <c r="G19" s="1">
        <v>6</v>
      </c>
      <c r="H19" s="1" t="s">
        <v>122</v>
      </c>
      <c r="I19" s="1" t="s">
        <v>162</v>
      </c>
      <c r="J19" s="1" t="s">
        <v>129</v>
      </c>
      <c r="K19" s="1" t="s">
        <v>214</v>
      </c>
    </row>
    <row r="20" spans="1:11" x14ac:dyDescent="0.25">
      <c r="A20" s="1" t="s">
        <v>213</v>
      </c>
      <c r="B20" s="1">
        <v>84</v>
      </c>
      <c r="C20" s="1" t="s">
        <v>24</v>
      </c>
      <c r="D20" s="1">
        <v>1</v>
      </c>
      <c r="E20" s="1" t="s">
        <v>155</v>
      </c>
      <c r="F20" s="1">
        <v>15</v>
      </c>
      <c r="G20" s="1">
        <v>5</v>
      </c>
      <c r="H20" s="1" t="s">
        <v>122</v>
      </c>
      <c r="I20" s="1" t="s">
        <v>164</v>
      </c>
      <c r="J20" s="1" t="s">
        <v>131</v>
      </c>
      <c r="K20" s="1" t="s">
        <v>214</v>
      </c>
    </row>
    <row r="21" spans="1:11" x14ac:dyDescent="0.25">
      <c r="A21" s="1" t="s">
        <v>213</v>
      </c>
      <c r="B21" s="1">
        <v>85</v>
      </c>
      <c r="C21" s="1" t="s">
        <v>24</v>
      </c>
      <c r="D21" s="1">
        <v>2</v>
      </c>
      <c r="E21" s="1" t="s">
        <v>155</v>
      </c>
      <c r="F21" s="1">
        <v>15</v>
      </c>
      <c r="G21" s="1">
        <v>4</v>
      </c>
      <c r="H21" s="1" t="s">
        <v>122</v>
      </c>
      <c r="I21" s="1" t="s">
        <v>164</v>
      </c>
      <c r="J21" s="1" t="s">
        <v>131</v>
      </c>
      <c r="K21" s="1" t="s">
        <v>214</v>
      </c>
    </row>
    <row r="22" spans="1:11" x14ac:dyDescent="0.25">
      <c r="A22" s="1" t="s">
        <v>213</v>
      </c>
      <c r="B22" s="1">
        <v>87</v>
      </c>
      <c r="C22" s="1" t="s">
        <v>27</v>
      </c>
      <c r="D22" s="1">
        <v>1</v>
      </c>
      <c r="E22" s="1" t="s">
        <v>155</v>
      </c>
      <c r="F22" s="1">
        <v>15</v>
      </c>
      <c r="G22" s="1">
        <v>6</v>
      </c>
      <c r="H22" s="1" t="s">
        <v>122</v>
      </c>
      <c r="I22" s="1" t="s">
        <v>166</v>
      </c>
      <c r="J22" s="1" t="s">
        <v>133</v>
      </c>
      <c r="K22" s="1" t="s">
        <v>214</v>
      </c>
    </row>
    <row r="23" spans="1:11" x14ac:dyDescent="0.25">
      <c r="A23" s="1" t="s">
        <v>213</v>
      </c>
      <c r="B23" s="1">
        <v>88</v>
      </c>
      <c r="C23" s="1" t="s">
        <v>27</v>
      </c>
      <c r="D23" s="1">
        <v>2</v>
      </c>
      <c r="E23" s="1" t="s">
        <v>155</v>
      </c>
      <c r="F23" s="1">
        <v>15</v>
      </c>
      <c r="G23" s="1">
        <v>8</v>
      </c>
      <c r="H23" s="1" t="s">
        <v>122</v>
      </c>
      <c r="I23" s="1" t="s">
        <v>166</v>
      </c>
      <c r="J23" s="1" t="s">
        <v>133</v>
      </c>
      <c r="K23" s="1" t="s">
        <v>214</v>
      </c>
    </row>
    <row r="24" spans="1:11" x14ac:dyDescent="0.25">
      <c r="A24" s="1" t="s">
        <v>213</v>
      </c>
      <c r="B24" s="1">
        <v>93</v>
      </c>
      <c r="C24" s="1" t="s">
        <v>12</v>
      </c>
      <c r="D24" s="1">
        <v>1</v>
      </c>
      <c r="E24" s="1" t="s">
        <v>156</v>
      </c>
      <c r="F24" s="1">
        <v>15</v>
      </c>
      <c r="G24" s="1">
        <v>9</v>
      </c>
      <c r="H24" s="1" t="s">
        <v>109</v>
      </c>
      <c r="I24" s="1" t="s">
        <v>158</v>
      </c>
      <c r="J24" s="1" t="s">
        <v>111</v>
      </c>
      <c r="K24" s="1" t="s">
        <v>214</v>
      </c>
    </row>
    <row r="25" spans="1:11" x14ac:dyDescent="0.25">
      <c r="A25" s="1" t="s">
        <v>213</v>
      </c>
      <c r="B25" s="1">
        <v>94</v>
      </c>
      <c r="C25" s="1" t="s">
        <v>12</v>
      </c>
      <c r="D25" s="1">
        <v>2</v>
      </c>
      <c r="E25" s="1" t="s">
        <v>156</v>
      </c>
      <c r="F25" s="1">
        <v>15</v>
      </c>
      <c r="G25" s="1">
        <v>8</v>
      </c>
      <c r="H25" s="1" t="s">
        <v>109</v>
      </c>
      <c r="I25" s="1" t="s">
        <v>158</v>
      </c>
      <c r="J25" s="1" t="s">
        <v>111</v>
      </c>
      <c r="K25" s="1" t="s">
        <v>214</v>
      </c>
    </row>
    <row r="26" spans="1:11" x14ac:dyDescent="0.25">
      <c r="A26" s="1" t="s">
        <v>213</v>
      </c>
      <c r="B26" s="1">
        <v>96</v>
      </c>
      <c r="C26" s="1" t="s">
        <v>18</v>
      </c>
      <c r="D26" s="1">
        <v>1</v>
      </c>
      <c r="E26" s="1" t="s">
        <v>156</v>
      </c>
      <c r="F26" s="1">
        <v>19</v>
      </c>
      <c r="G26" s="1">
        <v>17</v>
      </c>
      <c r="H26" s="1" t="s">
        <v>109</v>
      </c>
      <c r="I26" s="1" t="s">
        <v>161</v>
      </c>
      <c r="J26" s="1" t="s">
        <v>114</v>
      </c>
      <c r="K26" s="1" t="s">
        <v>214</v>
      </c>
    </row>
    <row r="27" spans="1:11" x14ac:dyDescent="0.25">
      <c r="A27" s="1" t="s">
        <v>213</v>
      </c>
      <c r="B27" s="1">
        <v>97</v>
      </c>
      <c r="C27" s="1" t="s">
        <v>18</v>
      </c>
      <c r="D27" s="1">
        <v>2</v>
      </c>
      <c r="E27" s="1" t="s">
        <v>156</v>
      </c>
      <c r="F27" s="1">
        <v>9</v>
      </c>
      <c r="G27" s="1">
        <v>6</v>
      </c>
      <c r="H27" s="1" t="s">
        <v>109</v>
      </c>
      <c r="I27" s="1" t="s">
        <v>161</v>
      </c>
      <c r="J27" s="1" t="s">
        <v>114</v>
      </c>
      <c r="K27" s="1" t="s">
        <v>214</v>
      </c>
    </row>
    <row r="28" spans="1:11" x14ac:dyDescent="0.25">
      <c r="A28" s="1" t="s">
        <v>213</v>
      </c>
      <c r="B28" s="1">
        <v>99</v>
      </c>
      <c r="C28" s="1" t="s">
        <v>21</v>
      </c>
      <c r="D28" s="1">
        <v>1</v>
      </c>
      <c r="E28" s="1" t="s">
        <v>156</v>
      </c>
      <c r="F28" s="1">
        <v>15</v>
      </c>
      <c r="G28" s="1">
        <v>6</v>
      </c>
      <c r="H28" s="1" t="s">
        <v>109</v>
      </c>
      <c r="I28" s="1" t="s">
        <v>163</v>
      </c>
      <c r="J28" s="1" t="s">
        <v>116</v>
      </c>
      <c r="K28" s="1" t="s">
        <v>214</v>
      </c>
    </row>
    <row r="29" spans="1:11" x14ac:dyDescent="0.25">
      <c r="A29" s="1" t="s">
        <v>213</v>
      </c>
      <c r="B29" s="1">
        <v>100</v>
      </c>
      <c r="C29" s="1" t="s">
        <v>21</v>
      </c>
      <c r="D29" s="1">
        <v>2</v>
      </c>
      <c r="E29" s="1" t="s">
        <v>156</v>
      </c>
      <c r="F29" s="1">
        <v>15</v>
      </c>
      <c r="G29" s="1">
        <v>9</v>
      </c>
      <c r="H29" s="1" t="s">
        <v>109</v>
      </c>
      <c r="I29" s="1" t="s">
        <v>163</v>
      </c>
      <c r="J29" s="1" t="s">
        <v>116</v>
      </c>
      <c r="K29" s="1" t="s">
        <v>214</v>
      </c>
    </row>
    <row r="30" spans="1:11" x14ac:dyDescent="0.25">
      <c r="A30" s="1" t="s">
        <v>213</v>
      </c>
      <c r="B30" s="1">
        <v>102</v>
      </c>
      <c r="C30" s="1" t="s">
        <v>24</v>
      </c>
      <c r="D30" s="1">
        <v>1</v>
      </c>
      <c r="E30" s="1" t="s">
        <v>156</v>
      </c>
      <c r="F30" s="1">
        <v>15</v>
      </c>
      <c r="G30" s="1">
        <v>6</v>
      </c>
      <c r="H30" s="1" t="s">
        <v>109</v>
      </c>
      <c r="I30" s="1" t="s">
        <v>165</v>
      </c>
      <c r="J30" s="1" t="s">
        <v>118</v>
      </c>
      <c r="K30" s="1" t="s">
        <v>214</v>
      </c>
    </row>
    <row r="31" spans="1:11" x14ac:dyDescent="0.25">
      <c r="A31" s="1" t="s">
        <v>213</v>
      </c>
      <c r="B31" s="1">
        <v>103</v>
      </c>
      <c r="C31" s="1" t="s">
        <v>24</v>
      </c>
      <c r="D31" s="1">
        <v>2</v>
      </c>
      <c r="E31" s="1" t="s">
        <v>156</v>
      </c>
      <c r="F31" s="1">
        <v>15</v>
      </c>
      <c r="G31" s="1">
        <v>10</v>
      </c>
      <c r="H31" s="1" t="s">
        <v>109</v>
      </c>
      <c r="I31" s="1" t="s">
        <v>165</v>
      </c>
      <c r="J31" s="1" t="s">
        <v>118</v>
      </c>
      <c r="K31" s="1" t="s">
        <v>214</v>
      </c>
    </row>
    <row r="32" spans="1:11" x14ac:dyDescent="0.25">
      <c r="A32" s="1" t="s">
        <v>213</v>
      </c>
      <c r="B32" s="1">
        <v>105</v>
      </c>
      <c r="C32" s="1" t="s">
        <v>27</v>
      </c>
      <c r="D32" s="1">
        <v>1</v>
      </c>
      <c r="E32" s="1" t="s">
        <v>156</v>
      </c>
      <c r="F32" s="1">
        <v>15</v>
      </c>
      <c r="G32" s="1">
        <v>9</v>
      </c>
      <c r="H32" s="1" t="s">
        <v>109</v>
      </c>
      <c r="I32" s="1" t="s">
        <v>167</v>
      </c>
      <c r="J32" s="1" t="s">
        <v>120</v>
      </c>
      <c r="K32" s="1" t="s">
        <v>214</v>
      </c>
    </row>
    <row r="33" spans="1:11" x14ac:dyDescent="0.25">
      <c r="A33" s="1" t="s">
        <v>213</v>
      </c>
      <c r="B33" s="1">
        <v>106</v>
      </c>
      <c r="C33" s="1" t="s">
        <v>27</v>
      </c>
      <c r="D33" s="1">
        <v>2</v>
      </c>
      <c r="E33" s="1" t="s">
        <v>156</v>
      </c>
      <c r="F33" s="1">
        <v>9</v>
      </c>
      <c r="G33" s="1">
        <v>6</v>
      </c>
      <c r="H33" s="1" t="s">
        <v>109</v>
      </c>
      <c r="I33" s="1" t="s">
        <v>167</v>
      </c>
      <c r="J33" s="1" t="s">
        <v>120</v>
      </c>
      <c r="K33" s="1" t="s">
        <v>214</v>
      </c>
    </row>
    <row r="34" spans="1:11" x14ac:dyDescent="0.25">
      <c r="A34" s="1" t="s">
        <v>213</v>
      </c>
      <c r="B34" s="1">
        <v>111</v>
      </c>
      <c r="C34" s="1" t="s">
        <v>12</v>
      </c>
      <c r="D34" s="1">
        <v>1</v>
      </c>
      <c r="E34" s="1" t="s">
        <v>168</v>
      </c>
      <c r="F34" s="1">
        <v>1</v>
      </c>
      <c r="G34" s="1">
        <v>0</v>
      </c>
      <c r="H34" s="1" t="s">
        <v>121</v>
      </c>
      <c r="I34" s="1" t="s">
        <v>170</v>
      </c>
      <c r="J34" s="1" t="s">
        <v>123</v>
      </c>
      <c r="K34" s="1" t="s">
        <v>214</v>
      </c>
    </row>
    <row r="35" spans="1:11" x14ac:dyDescent="0.25">
      <c r="A35" s="1" t="s">
        <v>213</v>
      </c>
      <c r="B35" s="1">
        <v>112</v>
      </c>
      <c r="C35" s="1" t="s">
        <v>12</v>
      </c>
      <c r="D35" s="1">
        <v>2</v>
      </c>
      <c r="E35" s="1" t="s">
        <v>168</v>
      </c>
      <c r="F35" s="1">
        <v>1</v>
      </c>
      <c r="G35" s="1">
        <v>0</v>
      </c>
      <c r="H35" s="1" t="s">
        <v>121</v>
      </c>
      <c r="I35" s="1" t="s">
        <v>170</v>
      </c>
      <c r="J35" s="1" t="s">
        <v>123</v>
      </c>
      <c r="K35" s="1" t="s">
        <v>214</v>
      </c>
    </row>
    <row r="36" spans="1:11" x14ac:dyDescent="0.25">
      <c r="A36" s="1" t="s">
        <v>213</v>
      </c>
      <c r="B36" s="1">
        <v>114</v>
      </c>
      <c r="C36" s="1" t="s">
        <v>18</v>
      </c>
      <c r="D36" s="1">
        <v>1</v>
      </c>
      <c r="E36" s="1" t="s">
        <v>168</v>
      </c>
      <c r="F36" s="1">
        <v>1</v>
      </c>
      <c r="G36" s="1">
        <v>0</v>
      </c>
      <c r="H36" s="1" t="s">
        <v>121</v>
      </c>
      <c r="I36" s="1" t="s">
        <v>173</v>
      </c>
      <c r="J36" s="1" t="s">
        <v>126</v>
      </c>
      <c r="K36" s="1" t="s">
        <v>214</v>
      </c>
    </row>
    <row r="37" spans="1:11" x14ac:dyDescent="0.25">
      <c r="A37" s="1" t="s">
        <v>213</v>
      </c>
      <c r="B37" s="1">
        <v>115</v>
      </c>
      <c r="C37" s="1" t="s">
        <v>18</v>
      </c>
      <c r="D37" s="1">
        <v>2</v>
      </c>
      <c r="E37" s="1" t="s">
        <v>168</v>
      </c>
      <c r="F37" s="1">
        <v>1</v>
      </c>
      <c r="G37" s="1">
        <v>0</v>
      </c>
      <c r="H37" s="1" t="s">
        <v>121</v>
      </c>
      <c r="I37" s="1" t="s">
        <v>173</v>
      </c>
      <c r="J37" s="1" t="s">
        <v>126</v>
      </c>
      <c r="K37" s="1" t="s">
        <v>214</v>
      </c>
    </row>
    <row r="38" spans="1:11" x14ac:dyDescent="0.25">
      <c r="A38" s="1" t="s">
        <v>213</v>
      </c>
      <c r="B38" s="1">
        <v>117</v>
      </c>
      <c r="C38" s="1" t="s">
        <v>21</v>
      </c>
      <c r="D38" s="1">
        <v>1</v>
      </c>
      <c r="E38" s="1" t="s">
        <v>168</v>
      </c>
      <c r="F38" s="1">
        <v>1</v>
      </c>
      <c r="G38" s="1">
        <v>0</v>
      </c>
      <c r="H38" s="1" t="s">
        <v>121</v>
      </c>
      <c r="I38" s="1" t="s">
        <v>175</v>
      </c>
      <c r="J38" s="1" t="s">
        <v>128</v>
      </c>
      <c r="K38" s="1" t="s">
        <v>214</v>
      </c>
    </row>
    <row r="39" spans="1:11" x14ac:dyDescent="0.25">
      <c r="A39" s="1" t="s">
        <v>213</v>
      </c>
      <c r="B39" s="1">
        <v>118</v>
      </c>
      <c r="C39" s="1" t="s">
        <v>21</v>
      </c>
      <c r="D39" s="1">
        <v>2</v>
      </c>
      <c r="E39" s="1" t="s">
        <v>168</v>
      </c>
      <c r="F39" s="1">
        <v>1</v>
      </c>
      <c r="G39" s="1">
        <v>0</v>
      </c>
      <c r="H39" s="1" t="s">
        <v>121</v>
      </c>
      <c r="I39" s="1" t="s">
        <v>175</v>
      </c>
      <c r="J39" s="1" t="s">
        <v>128</v>
      </c>
      <c r="K39" s="1" t="s">
        <v>214</v>
      </c>
    </row>
    <row r="40" spans="1:11" x14ac:dyDescent="0.25">
      <c r="A40" s="1" t="s">
        <v>213</v>
      </c>
      <c r="B40" s="1">
        <v>120</v>
      </c>
      <c r="C40" s="1" t="s">
        <v>24</v>
      </c>
      <c r="D40" s="1">
        <v>1</v>
      </c>
      <c r="E40" s="1" t="s">
        <v>168</v>
      </c>
      <c r="F40" s="1">
        <v>1</v>
      </c>
      <c r="G40" s="1">
        <v>0</v>
      </c>
      <c r="H40" s="1" t="s">
        <v>121</v>
      </c>
      <c r="I40" s="1" t="s">
        <v>177</v>
      </c>
      <c r="J40" s="1" t="s">
        <v>130</v>
      </c>
      <c r="K40" s="1" t="s">
        <v>214</v>
      </c>
    </row>
    <row r="41" spans="1:11" x14ac:dyDescent="0.25">
      <c r="A41" s="1" t="s">
        <v>213</v>
      </c>
      <c r="B41" s="1">
        <v>121</v>
      </c>
      <c r="C41" s="1" t="s">
        <v>24</v>
      </c>
      <c r="D41" s="1">
        <v>2</v>
      </c>
      <c r="E41" s="1" t="s">
        <v>168</v>
      </c>
      <c r="F41" s="1">
        <v>1</v>
      </c>
      <c r="G41" s="1">
        <v>0</v>
      </c>
      <c r="H41" s="1" t="s">
        <v>121</v>
      </c>
      <c r="I41" s="1" t="s">
        <v>177</v>
      </c>
      <c r="J41" s="1" t="s">
        <v>130</v>
      </c>
      <c r="K41" s="1" t="s">
        <v>214</v>
      </c>
    </row>
    <row r="42" spans="1:11" x14ac:dyDescent="0.25">
      <c r="A42" s="1" t="s">
        <v>213</v>
      </c>
      <c r="B42" s="1">
        <v>123</v>
      </c>
      <c r="C42" s="1" t="s">
        <v>27</v>
      </c>
      <c r="D42" s="1">
        <v>1</v>
      </c>
      <c r="E42" s="1" t="s">
        <v>168</v>
      </c>
      <c r="F42" s="1">
        <v>1</v>
      </c>
      <c r="G42" s="1">
        <v>0</v>
      </c>
      <c r="H42" s="1" t="s">
        <v>121</v>
      </c>
      <c r="I42" s="1" t="s">
        <v>179</v>
      </c>
      <c r="J42" s="1" t="s">
        <v>132</v>
      </c>
      <c r="K42" s="1" t="s">
        <v>214</v>
      </c>
    </row>
    <row r="43" spans="1:11" x14ac:dyDescent="0.25">
      <c r="A43" s="1" t="s">
        <v>213</v>
      </c>
      <c r="B43" s="1">
        <v>124</v>
      </c>
      <c r="C43" s="1" t="s">
        <v>27</v>
      </c>
      <c r="D43" s="1">
        <v>2</v>
      </c>
      <c r="E43" s="1" t="s">
        <v>168</v>
      </c>
      <c r="F43" s="1">
        <v>1</v>
      </c>
      <c r="G43" s="1">
        <v>0</v>
      </c>
      <c r="H43" s="1" t="s">
        <v>121</v>
      </c>
      <c r="I43" s="1" t="s">
        <v>179</v>
      </c>
      <c r="J43" s="1" t="s">
        <v>132</v>
      </c>
      <c r="K43" s="1" t="s">
        <v>214</v>
      </c>
    </row>
    <row r="44" spans="1:11" x14ac:dyDescent="0.25">
      <c r="A44" s="1" t="s">
        <v>213</v>
      </c>
      <c r="B44" s="1">
        <v>129</v>
      </c>
      <c r="C44" s="1" t="s">
        <v>12</v>
      </c>
      <c r="D44" s="1">
        <v>1</v>
      </c>
      <c r="E44" s="1" t="s">
        <v>169</v>
      </c>
      <c r="F44" s="1">
        <v>1</v>
      </c>
      <c r="G44" s="1">
        <v>0</v>
      </c>
      <c r="H44" s="1" t="s">
        <v>96</v>
      </c>
      <c r="I44" s="1" t="s">
        <v>171</v>
      </c>
      <c r="J44" s="1" t="s">
        <v>98</v>
      </c>
      <c r="K44" s="1" t="s">
        <v>214</v>
      </c>
    </row>
    <row r="45" spans="1:11" x14ac:dyDescent="0.25">
      <c r="A45" s="1" t="s">
        <v>213</v>
      </c>
      <c r="B45" s="1">
        <v>130</v>
      </c>
      <c r="C45" s="1" t="s">
        <v>12</v>
      </c>
      <c r="D45" s="1">
        <v>2</v>
      </c>
      <c r="E45" s="1" t="s">
        <v>169</v>
      </c>
      <c r="F45" s="1">
        <v>1</v>
      </c>
      <c r="G45" s="1">
        <v>0</v>
      </c>
      <c r="H45" s="1" t="s">
        <v>96</v>
      </c>
      <c r="I45" s="1" t="s">
        <v>171</v>
      </c>
      <c r="J45" s="1" t="s">
        <v>98</v>
      </c>
      <c r="K45" s="1" t="s">
        <v>214</v>
      </c>
    </row>
    <row r="46" spans="1:11" x14ac:dyDescent="0.25">
      <c r="A46" s="1" t="s">
        <v>213</v>
      </c>
      <c r="B46" s="1">
        <v>132</v>
      </c>
      <c r="C46" s="1" t="s">
        <v>18</v>
      </c>
      <c r="D46" s="1">
        <v>1</v>
      </c>
      <c r="E46" s="1" t="s">
        <v>169</v>
      </c>
      <c r="F46" s="1">
        <v>1</v>
      </c>
      <c r="G46" s="1">
        <v>0</v>
      </c>
      <c r="H46" s="1" t="s">
        <v>96</v>
      </c>
      <c r="I46" s="1" t="s">
        <v>174</v>
      </c>
      <c r="J46" s="1" t="s">
        <v>101</v>
      </c>
      <c r="K46" s="1" t="s">
        <v>214</v>
      </c>
    </row>
    <row r="47" spans="1:11" x14ac:dyDescent="0.25">
      <c r="A47" s="1" t="s">
        <v>213</v>
      </c>
      <c r="B47" s="1">
        <v>133</v>
      </c>
      <c r="C47" s="1" t="s">
        <v>18</v>
      </c>
      <c r="D47" s="1">
        <v>2</v>
      </c>
      <c r="E47" s="1" t="s">
        <v>169</v>
      </c>
      <c r="F47" s="1">
        <v>1</v>
      </c>
      <c r="G47" s="1">
        <v>0</v>
      </c>
      <c r="H47" s="1" t="s">
        <v>96</v>
      </c>
      <c r="I47" s="1" t="s">
        <v>174</v>
      </c>
      <c r="J47" s="1" t="s">
        <v>101</v>
      </c>
      <c r="K47" s="1" t="s">
        <v>214</v>
      </c>
    </row>
    <row r="48" spans="1:11" x14ac:dyDescent="0.25">
      <c r="A48" s="1" t="s">
        <v>213</v>
      </c>
      <c r="B48" s="1">
        <v>135</v>
      </c>
      <c r="C48" s="1" t="s">
        <v>21</v>
      </c>
      <c r="D48" s="1">
        <v>1</v>
      </c>
      <c r="E48" s="1" t="s">
        <v>169</v>
      </c>
      <c r="F48" s="1">
        <v>1</v>
      </c>
      <c r="G48" s="1">
        <v>0</v>
      </c>
      <c r="H48" s="1" t="s">
        <v>96</v>
      </c>
      <c r="I48" s="1" t="s">
        <v>176</v>
      </c>
      <c r="J48" s="1" t="s">
        <v>103</v>
      </c>
      <c r="K48" s="1" t="s">
        <v>214</v>
      </c>
    </row>
    <row r="49" spans="1:11" x14ac:dyDescent="0.25">
      <c r="A49" s="1" t="s">
        <v>213</v>
      </c>
      <c r="B49" s="1">
        <v>136</v>
      </c>
      <c r="C49" s="1" t="s">
        <v>21</v>
      </c>
      <c r="D49" s="1">
        <v>2</v>
      </c>
      <c r="E49" s="1" t="s">
        <v>169</v>
      </c>
      <c r="F49" s="1">
        <v>0</v>
      </c>
      <c r="G49" s="1">
        <v>1</v>
      </c>
      <c r="H49" s="1" t="s">
        <v>96</v>
      </c>
      <c r="I49" s="1" t="s">
        <v>176</v>
      </c>
      <c r="J49" s="1" t="s">
        <v>103</v>
      </c>
      <c r="K49" s="1" t="s">
        <v>214</v>
      </c>
    </row>
    <row r="50" spans="1:11" x14ac:dyDescent="0.25">
      <c r="A50" s="1" t="s">
        <v>213</v>
      </c>
      <c r="B50" s="1">
        <v>137</v>
      </c>
      <c r="C50" s="1" t="s">
        <v>21</v>
      </c>
      <c r="D50" s="1">
        <v>3</v>
      </c>
      <c r="E50" s="1" t="s">
        <v>169</v>
      </c>
      <c r="F50" s="1">
        <v>1</v>
      </c>
      <c r="G50" s="1">
        <v>0</v>
      </c>
      <c r="H50" s="1" t="s">
        <v>96</v>
      </c>
      <c r="I50" s="1" t="s">
        <v>176</v>
      </c>
      <c r="J50" s="1" t="s">
        <v>103</v>
      </c>
      <c r="K50" s="1" t="s">
        <v>214</v>
      </c>
    </row>
    <row r="51" spans="1:11" x14ac:dyDescent="0.25">
      <c r="A51" s="1" t="s">
        <v>213</v>
      </c>
      <c r="B51" s="1">
        <v>147</v>
      </c>
      <c r="C51" s="1" t="s">
        <v>12</v>
      </c>
      <c r="D51" s="1">
        <v>1</v>
      </c>
      <c r="E51" s="1" t="s">
        <v>14</v>
      </c>
      <c r="F51" s="1">
        <v>15</v>
      </c>
      <c r="G51" s="1">
        <v>8</v>
      </c>
      <c r="H51" s="1" t="s">
        <v>108</v>
      </c>
      <c r="I51" s="1" t="s">
        <v>16</v>
      </c>
      <c r="J51" s="1" t="s">
        <v>110</v>
      </c>
      <c r="K51" s="1" t="s">
        <v>214</v>
      </c>
    </row>
    <row r="52" spans="1:11" x14ac:dyDescent="0.25">
      <c r="A52" s="1" t="s">
        <v>213</v>
      </c>
      <c r="B52" s="1">
        <v>148</v>
      </c>
      <c r="C52" s="1" t="s">
        <v>12</v>
      </c>
      <c r="D52" s="1">
        <v>2</v>
      </c>
      <c r="E52" s="1" t="s">
        <v>14</v>
      </c>
      <c r="F52" s="1">
        <v>15</v>
      </c>
      <c r="G52" s="1">
        <v>9</v>
      </c>
      <c r="H52" s="1" t="s">
        <v>108</v>
      </c>
      <c r="I52" s="1" t="s">
        <v>16</v>
      </c>
      <c r="J52" s="1" t="s">
        <v>110</v>
      </c>
      <c r="K52" s="1" t="s">
        <v>214</v>
      </c>
    </row>
    <row r="53" spans="1:11" x14ac:dyDescent="0.25">
      <c r="A53" s="1" t="s">
        <v>213</v>
      </c>
      <c r="B53" s="1">
        <v>150</v>
      </c>
      <c r="C53" s="1" t="s">
        <v>18</v>
      </c>
      <c r="D53" s="1">
        <v>1</v>
      </c>
      <c r="E53" s="1" t="s">
        <v>14</v>
      </c>
      <c r="F53" s="1">
        <v>15</v>
      </c>
      <c r="G53" s="1">
        <v>6</v>
      </c>
      <c r="H53" s="1" t="s">
        <v>108</v>
      </c>
      <c r="I53" s="1" t="s">
        <v>20</v>
      </c>
      <c r="J53" s="1" t="s">
        <v>113</v>
      </c>
      <c r="K53" s="1" t="s">
        <v>214</v>
      </c>
    </row>
    <row r="54" spans="1:11" x14ac:dyDescent="0.25">
      <c r="A54" s="1" t="s">
        <v>213</v>
      </c>
      <c r="B54" s="1">
        <v>151</v>
      </c>
      <c r="C54" s="1" t="s">
        <v>18</v>
      </c>
      <c r="D54" s="1">
        <v>2</v>
      </c>
      <c r="E54" s="1" t="s">
        <v>14</v>
      </c>
      <c r="F54" s="1">
        <v>15</v>
      </c>
      <c r="G54" s="1">
        <v>9</v>
      </c>
      <c r="H54" s="1" t="s">
        <v>108</v>
      </c>
      <c r="I54" s="1" t="s">
        <v>20</v>
      </c>
      <c r="J54" s="1" t="s">
        <v>113</v>
      </c>
      <c r="K54" s="1" t="s">
        <v>214</v>
      </c>
    </row>
    <row r="55" spans="1:11" x14ac:dyDescent="0.25">
      <c r="A55" s="1" t="s">
        <v>213</v>
      </c>
      <c r="B55" s="1">
        <v>153</v>
      </c>
      <c r="C55" s="1" t="s">
        <v>21</v>
      </c>
      <c r="D55" s="1">
        <v>1</v>
      </c>
      <c r="E55" s="1" t="s">
        <v>14</v>
      </c>
      <c r="F55" s="1">
        <v>15</v>
      </c>
      <c r="G55" s="1">
        <v>8</v>
      </c>
      <c r="H55" s="1" t="s">
        <v>108</v>
      </c>
      <c r="I55" s="1" t="s">
        <v>23</v>
      </c>
      <c r="J55" s="1" t="s">
        <v>115</v>
      </c>
      <c r="K55" s="1" t="s">
        <v>214</v>
      </c>
    </row>
    <row r="56" spans="1:11" x14ac:dyDescent="0.25">
      <c r="A56" s="1" t="s">
        <v>213</v>
      </c>
      <c r="B56" s="1">
        <v>154</v>
      </c>
      <c r="C56" s="1" t="s">
        <v>21</v>
      </c>
      <c r="D56" s="1">
        <v>2</v>
      </c>
      <c r="E56" s="1" t="s">
        <v>14</v>
      </c>
      <c r="F56" s="1">
        <v>15</v>
      </c>
      <c r="G56" s="1">
        <v>9</v>
      </c>
      <c r="H56" s="1" t="s">
        <v>108</v>
      </c>
      <c r="I56" s="1" t="s">
        <v>23</v>
      </c>
      <c r="J56" s="1" t="s">
        <v>115</v>
      </c>
      <c r="K56" s="1" t="s">
        <v>214</v>
      </c>
    </row>
    <row r="57" spans="1:11" x14ac:dyDescent="0.25">
      <c r="A57" s="1" t="s">
        <v>213</v>
      </c>
      <c r="B57" s="1">
        <v>156</v>
      </c>
      <c r="C57" s="1" t="s">
        <v>24</v>
      </c>
      <c r="D57" s="1">
        <v>1</v>
      </c>
      <c r="E57" s="1" t="s">
        <v>14</v>
      </c>
      <c r="F57" s="1">
        <v>15</v>
      </c>
      <c r="G57" s="1">
        <v>12</v>
      </c>
      <c r="H57" s="1" t="s">
        <v>108</v>
      </c>
      <c r="I57" s="1" t="s">
        <v>26</v>
      </c>
      <c r="J57" s="1" t="s">
        <v>117</v>
      </c>
      <c r="K57" s="1" t="s">
        <v>214</v>
      </c>
    </row>
    <row r="58" spans="1:11" x14ac:dyDescent="0.25">
      <c r="A58" s="1" t="s">
        <v>213</v>
      </c>
      <c r="B58" s="1">
        <v>157</v>
      </c>
      <c r="C58" s="1" t="s">
        <v>24</v>
      </c>
      <c r="D58" s="1">
        <v>2</v>
      </c>
      <c r="E58" s="1" t="s">
        <v>14</v>
      </c>
      <c r="F58" s="1">
        <v>15</v>
      </c>
      <c r="G58" s="1">
        <v>12</v>
      </c>
      <c r="H58" s="1" t="s">
        <v>108</v>
      </c>
      <c r="I58" s="1" t="s">
        <v>26</v>
      </c>
      <c r="J58" s="1" t="s">
        <v>117</v>
      </c>
      <c r="K58" s="1" t="s">
        <v>214</v>
      </c>
    </row>
    <row r="59" spans="1:11" x14ac:dyDescent="0.25">
      <c r="A59" s="1" t="s">
        <v>213</v>
      </c>
      <c r="B59" s="1">
        <v>159</v>
      </c>
      <c r="C59" s="1" t="s">
        <v>27</v>
      </c>
      <c r="D59" s="1">
        <v>1</v>
      </c>
      <c r="E59" s="1" t="s">
        <v>14</v>
      </c>
      <c r="F59" s="1">
        <v>15</v>
      </c>
      <c r="G59" s="1">
        <v>10</v>
      </c>
      <c r="H59" s="1" t="s">
        <v>108</v>
      </c>
      <c r="I59" s="1" t="s">
        <v>29</v>
      </c>
      <c r="J59" s="1" t="s">
        <v>119</v>
      </c>
      <c r="K59" s="1" t="s">
        <v>214</v>
      </c>
    </row>
    <row r="60" spans="1:11" x14ac:dyDescent="0.25">
      <c r="A60" s="1" t="s">
        <v>213</v>
      </c>
      <c r="B60" s="1">
        <v>160</v>
      </c>
      <c r="C60" s="1" t="s">
        <v>27</v>
      </c>
      <c r="D60" s="1">
        <v>2</v>
      </c>
      <c r="E60" s="1" t="s">
        <v>14</v>
      </c>
      <c r="F60" s="1">
        <v>15</v>
      </c>
      <c r="G60" s="1">
        <v>10</v>
      </c>
      <c r="H60" s="1" t="s">
        <v>108</v>
      </c>
      <c r="I60" s="1" t="s">
        <v>29</v>
      </c>
      <c r="J60" s="1" t="s">
        <v>119</v>
      </c>
      <c r="K60" s="1" t="s">
        <v>214</v>
      </c>
    </row>
    <row r="61" spans="1:11" x14ac:dyDescent="0.25">
      <c r="A61" s="1" t="s">
        <v>213</v>
      </c>
      <c r="B61" s="1">
        <v>165</v>
      </c>
      <c r="C61" s="1" t="s">
        <v>12</v>
      </c>
      <c r="D61" s="1">
        <v>1</v>
      </c>
      <c r="E61" s="1" t="s">
        <v>182</v>
      </c>
      <c r="F61" s="1">
        <v>17</v>
      </c>
      <c r="G61" s="1">
        <v>15</v>
      </c>
      <c r="H61" s="1" t="s">
        <v>83</v>
      </c>
      <c r="I61" s="1" t="s">
        <v>184</v>
      </c>
      <c r="J61" s="1" t="s">
        <v>85</v>
      </c>
      <c r="K61" s="1" t="s">
        <v>214</v>
      </c>
    </row>
    <row r="62" spans="1:11" x14ac:dyDescent="0.25">
      <c r="A62" s="1" t="s">
        <v>213</v>
      </c>
      <c r="B62" s="1">
        <v>166</v>
      </c>
      <c r="C62" s="1" t="s">
        <v>12</v>
      </c>
      <c r="D62" s="1">
        <v>2</v>
      </c>
      <c r="E62" s="1" t="s">
        <v>182</v>
      </c>
      <c r="F62" s="1">
        <v>15</v>
      </c>
      <c r="G62" s="1">
        <v>12</v>
      </c>
      <c r="H62" s="1" t="s">
        <v>83</v>
      </c>
      <c r="I62" s="1" t="s">
        <v>184</v>
      </c>
      <c r="J62" s="1" t="s">
        <v>85</v>
      </c>
      <c r="K62" s="1" t="s">
        <v>214</v>
      </c>
    </row>
    <row r="63" spans="1:11" x14ac:dyDescent="0.25">
      <c r="A63" s="1" t="s">
        <v>213</v>
      </c>
      <c r="B63" s="1">
        <v>168</v>
      </c>
      <c r="C63" s="1" t="s">
        <v>18</v>
      </c>
      <c r="D63" s="1">
        <v>1</v>
      </c>
      <c r="E63" s="1" t="s">
        <v>182</v>
      </c>
      <c r="F63" s="1">
        <v>20</v>
      </c>
      <c r="G63" s="1">
        <v>21</v>
      </c>
      <c r="H63" s="1" t="s">
        <v>83</v>
      </c>
      <c r="I63" s="1" t="s">
        <v>187</v>
      </c>
      <c r="J63" s="1" t="s">
        <v>88</v>
      </c>
      <c r="K63" s="1" t="s">
        <v>214</v>
      </c>
    </row>
    <row r="64" spans="1:11" x14ac:dyDescent="0.25">
      <c r="A64" s="1" t="s">
        <v>213</v>
      </c>
      <c r="B64" s="1">
        <v>169</v>
      </c>
      <c r="C64" s="1" t="s">
        <v>18</v>
      </c>
      <c r="D64" s="1">
        <v>2</v>
      </c>
      <c r="E64" s="1" t="s">
        <v>182</v>
      </c>
      <c r="F64" s="1">
        <v>9</v>
      </c>
      <c r="G64" s="1">
        <v>9</v>
      </c>
      <c r="H64" s="1" t="s">
        <v>83</v>
      </c>
      <c r="I64" s="1" t="s">
        <v>187</v>
      </c>
      <c r="J64" s="1" t="s">
        <v>88</v>
      </c>
      <c r="K64" s="1" t="s">
        <v>214</v>
      </c>
    </row>
    <row r="65" spans="1:11" x14ac:dyDescent="0.25">
      <c r="A65" s="1" t="s">
        <v>213</v>
      </c>
      <c r="B65" s="1">
        <v>171</v>
      </c>
      <c r="C65" s="1" t="s">
        <v>21</v>
      </c>
      <c r="D65" s="1">
        <v>1</v>
      </c>
      <c r="E65" s="1" t="s">
        <v>182</v>
      </c>
      <c r="F65" s="1">
        <v>15</v>
      </c>
      <c r="G65" s="1">
        <v>8</v>
      </c>
      <c r="H65" s="1" t="s">
        <v>83</v>
      </c>
      <c r="I65" s="1" t="s">
        <v>189</v>
      </c>
      <c r="J65" s="1" t="s">
        <v>90</v>
      </c>
      <c r="K65" s="1" t="s">
        <v>214</v>
      </c>
    </row>
    <row r="66" spans="1:11" x14ac:dyDescent="0.25">
      <c r="A66" s="1" t="s">
        <v>213</v>
      </c>
      <c r="B66" s="1">
        <v>172</v>
      </c>
      <c r="C66" s="1" t="s">
        <v>21</v>
      </c>
      <c r="D66" s="1">
        <v>2</v>
      </c>
      <c r="E66" s="1" t="s">
        <v>182</v>
      </c>
      <c r="F66" s="1">
        <v>10</v>
      </c>
      <c r="G66" s="1">
        <v>10</v>
      </c>
      <c r="H66" s="1" t="s">
        <v>83</v>
      </c>
      <c r="I66" s="1" t="s">
        <v>189</v>
      </c>
      <c r="J66" s="1" t="s">
        <v>90</v>
      </c>
      <c r="K66" s="1" t="s">
        <v>214</v>
      </c>
    </row>
    <row r="67" spans="1:11" x14ac:dyDescent="0.25">
      <c r="A67" s="1" t="s">
        <v>213</v>
      </c>
      <c r="B67" s="1">
        <v>173</v>
      </c>
      <c r="C67" s="1" t="s">
        <v>21</v>
      </c>
      <c r="D67" s="1">
        <v>3</v>
      </c>
      <c r="E67" s="1" t="s">
        <v>182</v>
      </c>
      <c r="F67" s="1">
        <v>11</v>
      </c>
      <c r="G67" s="1">
        <v>11</v>
      </c>
      <c r="H67" s="1" t="s">
        <v>83</v>
      </c>
      <c r="I67" s="1" t="s">
        <v>189</v>
      </c>
      <c r="J67" s="1" t="s">
        <v>90</v>
      </c>
      <c r="K67" s="1" t="s">
        <v>214</v>
      </c>
    </row>
    <row r="68" spans="1:11" x14ac:dyDescent="0.25">
      <c r="A68" s="1" t="s">
        <v>213</v>
      </c>
      <c r="B68" s="1">
        <v>174</v>
      </c>
      <c r="C68" s="1" t="s">
        <v>24</v>
      </c>
      <c r="D68" s="1">
        <v>1</v>
      </c>
      <c r="E68" s="1" t="s">
        <v>182</v>
      </c>
      <c r="F68" s="1">
        <v>15</v>
      </c>
      <c r="G68" s="1">
        <v>11</v>
      </c>
      <c r="H68" s="1" t="s">
        <v>83</v>
      </c>
      <c r="I68" s="1" t="s">
        <v>191</v>
      </c>
      <c r="J68" s="1" t="s">
        <v>92</v>
      </c>
      <c r="K68" s="1" t="s">
        <v>214</v>
      </c>
    </row>
    <row r="69" spans="1:11" x14ac:dyDescent="0.25">
      <c r="A69" s="1" t="s">
        <v>213</v>
      </c>
      <c r="B69" s="1">
        <v>175</v>
      </c>
      <c r="C69" s="1" t="s">
        <v>24</v>
      </c>
      <c r="D69" s="1">
        <v>2</v>
      </c>
      <c r="E69" s="1" t="s">
        <v>182</v>
      </c>
      <c r="F69" s="1">
        <v>15</v>
      </c>
      <c r="G69" s="1">
        <v>12</v>
      </c>
      <c r="H69" s="1" t="s">
        <v>83</v>
      </c>
      <c r="I69" s="1" t="s">
        <v>191</v>
      </c>
      <c r="J69" s="1" t="s">
        <v>92</v>
      </c>
      <c r="K69" s="1" t="s">
        <v>214</v>
      </c>
    </row>
    <row r="70" spans="1:11" x14ac:dyDescent="0.25">
      <c r="A70" s="1" t="s">
        <v>213</v>
      </c>
      <c r="B70" s="1">
        <v>177</v>
      </c>
      <c r="C70" s="1" t="s">
        <v>27</v>
      </c>
      <c r="D70" s="1">
        <v>1</v>
      </c>
      <c r="E70" s="1" t="s">
        <v>182</v>
      </c>
      <c r="F70" s="1">
        <v>15</v>
      </c>
      <c r="G70" s="1">
        <v>8</v>
      </c>
      <c r="H70" s="1" t="s">
        <v>83</v>
      </c>
      <c r="I70" s="1" t="s">
        <v>193</v>
      </c>
      <c r="J70" s="1" t="s">
        <v>94</v>
      </c>
      <c r="K70" s="1" t="s">
        <v>214</v>
      </c>
    </row>
    <row r="71" spans="1:11" x14ac:dyDescent="0.25">
      <c r="A71" s="1" t="s">
        <v>213</v>
      </c>
      <c r="B71" s="1">
        <v>178</v>
      </c>
      <c r="C71" s="1" t="s">
        <v>27</v>
      </c>
      <c r="D71" s="1">
        <v>2</v>
      </c>
      <c r="E71" s="1" t="s">
        <v>182</v>
      </c>
      <c r="F71" s="1">
        <v>15</v>
      </c>
      <c r="G71" s="1">
        <v>9</v>
      </c>
      <c r="H71" s="1" t="s">
        <v>83</v>
      </c>
      <c r="I71" s="1" t="s">
        <v>193</v>
      </c>
      <c r="J71" s="1" t="s">
        <v>94</v>
      </c>
      <c r="K71" s="1" t="s">
        <v>214</v>
      </c>
    </row>
    <row r="72" spans="1:11" x14ac:dyDescent="0.25">
      <c r="A72" s="1" t="s">
        <v>213</v>
      </c>
      <c r="B72" s="1">
        <v>183</v>
      </c>
      <c r="C72" s="1" t="s">
        <v>12</v>
      </c>
      <c r="D72" s="1">
        <v>1</v>
      </c>
      <c r="E72" s="1" t="s">
        <v>13</v>
      </c>
      <c r="F72" s="1">
        <v>15</v>
      </c>
      <c r="G72" s="1">
        <v>12</v>
      </c>
      <c r="H72" s="1" t="s">
        <v>69</v>
      </c>
      <c r="I72" s="1" t="s">
        <v>15</v>
      </c>
      <c r="J72" s="1" t="s">
        <v>71</v>
      </c>
      <c r="K72" s="1" t="s">
        <v>214</v>
      </c>
    </row>
    <row r="73" spans="1:11" x14ac:dyDescent="0.25">
      <c r="A73" s="1" t="s">
        <v>213</v>
      </c>
      <c r="B73" s="1">
        <v>184</v>
      </c>
      <c r="C73" s="1" t="s">
        <v>12</v>
      </c>
      <c r="D73" s="1">
        <v>2</v>
      </c>
      <c r="E73" s="1" t="s">
        <v>13</v>
      </c>
      <c r="F73" s="1">
        <v>5</v>
      </c>
      <c r="G73" s="1">
        <v>6</v>
      </c>
      <c r="H73" s="1" t="s">
        <v>69</v>
      </c>
      <c r="I73" s="1" t="s">
        <v>15</v>
      </c>
      <c r="J73" s="1" t="s">
        <v>71</v>
      </c>
      <c r="K73" s="1" t="s">
        <v>214</v>
      </c>
    </row>
    <row r="74" spans="1:11" x14ac:dyDescent="0.25">
      <c r="A74" s="1" t="s">
        <v>213</v>
      </c>
      <c r="B74" s="1">
        <v>186</v>
      </c>
      <c r="C74" s="1" t="s">
        <v>18</v>
      </c>
      <c r="D74" s="1">
        <v>1</v>
      </c>
      <c r="E74" s="1" t="s">
        <v>13</v>
      </c>
      <c r="F74" s="1">
        <v>15</v>
      </c>
      <c r="G74" s="1">
        <v>5</v>
      </c>
      <c r="H74" s="1" t="s">
        <v>69</v>
      </c>
      <c r="I74" s="1" t="s">
        <v>19</v>
      </c>
      <c r="J74" s="1" t="s">
        <v>74</v>
      </c>
      <c r="K74" s="1" t="s">
        <v>214</v>
      </c>
    </row>
    <row r="75" spans="1:11" x14ac:dyDescent="0.25">
      <c r="A75" s="1" t="s">
        <v>213</v>
      </c>
      <c r="B75" s="1">
        <v>187</v>
      </c>
      <c r="C75" s="1" t="s">
        <v>18</v>
      </c>
      <c r="D75" s="1">
        <v>2</v>
      </c>
      <c r="E75" s="1" t="s">
        <v>13</v>
      </c>
      <c r="F75" s="1">
        <v>15</v>
      </c>
      <c r="G75" s="1">
        <v>11</v>
      </c>
      <c r="H75" s="1" t="s">
        <v>69</v>
      </c>
      <c r="I75" s="1" t="s">
        <v>19</v>
      </c>
      <c r="J75" s="1" t="s">
        <v>74</v>
      </c>
      <c r="K75" s="1" t="s">
        <v>214</v>
      </c>
    </row>
    <row r="76" spans="1:11" x14ac:dyDescent="0.25">
      <c r="A76" s="1" t="s">
        <v>213</v>
      </c>
      <c r="B76" s="1">
        <v>189</v>
      </c>
      <c r="C76" s="1" t="s">
        <v>21</v>
      </c>
      <c r="D76" s="1">
        <v>1</v>
      </c>
      <c r="E76" s="1" t="s">
        <v>13</v>
      </c>
      <c r="F76" s="1">
        <v>15</v>
      </c>
      <c r="G76" s="1">
        <v>10</v>
      </c>
      <c r="H76" s="1" t="s">
        <v>69</v>
      </c>
      <c r="I76" s="1" t="s">
        <v>22</v>
      </c>
      <c r="J76" s="1" t="s">
        <v>76</v>
      </c>
      <c r="K76" s="1" t="s">
        <v>214</v>
      </c>
    </row>
    <row r="77" spans="1:11" x14ac:dyDescent="0.25">
      <c r="A77" s="1" t="s">
        <v>213</v>
      </c>
      <c r="B77" s="1">
        <v>190</v>
      </c>
      <c r="C77" s="1" t="s">
        <v>21</v>
      </c>
      <c r="D77" s="1">
        <v>2</v>
      </c>
      <c r="E77" s="1" t="s">
        <v>13</v>
      </c>
      <c r="F77" s="1">
        <v>12</v>
      </c>
      <c r="G77" s="1">
        <v>7</v>
      </c>
      <c r="H77" s="1" t="s">
        <v>69</v>
      </c>
      <c r="I77" s="1" t="s">
        <v>22</v>
      </c>
      <c r="J77" s="1" t="s">
        <v>76</v>
      </c>
      <c r="K77" s="1" t="s">
        <v>214</v>
      </c>
    </row>
    <row r="78" spans="1:11" x14ac:dyDescent="0.25">
      <c r="A78" s="1" t="s">
        <v>213</v>
      </c>
      <c r="B78" s="1">
        <v>192</v>
      </c>
      <c r="C78" s="1" t="s">
        <v>24</v>
      </c>
      <c r="D78" s="1">
        <v>1</v>
      </c>
      <c r="E78" s="1" t="s">
        <v>13</v>
      </c>
      <c r="F78" s="1">
        <v>15</v>
      </c>
      <c r="G78" s="1">
        <v>6</v>
      </c>
      <c r="H78" s="1" t="s">
        <v>69</v>
      </c>
      <c r="I78" s="1" t="s">
        <v>25</v>
      </c>
      <c r="J78" s="1" t="s">
        <v>78</v>
      </c>
      <c r="K78" s="1" t="s">
        <v>214</v>
      </c>
    </row>
    <row r="79" spans="1:11" x14ac:dyDescent="0.25">
      <c r="A79" s="1" t="s">
        <v>213</v>
      </c>
      <c r="B79" s="1">
        <v>193</v>
      </c>
      <c r="C79" s="1" t="s">
        <v>24</v>
      </c>
      <c r="D79" s="1">
        <v>2</v>
      </c>
      <c r="E79" s="1" t="s">
        <v>13</v>
      </c>
      <c r="F79" s="1">
        <v>15</v>
      </c>
      <c r="G79" s="1">
        <v>7</v>
      </c>
      <c r="H79" s="1" t="s">
        <v>69</v>
      </c>
      <c r="I79" s="1" t="s">
        <v>25</v>
      </c>
      <c r="J79" s="1" t="s">
        <v>78</v>
      </c>
      <c r="K79" s="1" t="s">
        <v>214</v>
      </c>
    </row>
    <row r="80" spans="1:11" x14ac:dyDescent="0.25">
      <c r="A80" s="1" t="s">
        <v>213</v>
      </c>
      <c r="B80" s="1">
        <v>195</v>
      </c>
      <c r="C80" s="1" t="s">
        <v>27</v>
      </c>
      <c r="D80" s="1">
        <v>1</v>
      </c>
      <c r="E80" s="1" t="s">
        <v>13</v>
      </c>
      <c r="F80" s="1">
        <v>15</v>
      </c>
      <c r="G80" s="1">
        <v>9</v>
      </c>
      <c r="H80" s="1" t="s">
        <v>69</v>
      </c>
      <c r="I80" s="1" t="s">
        <v>28</v>
      </c>
      <c r="J80" s="1" t="s">
        <v>80</v>
      </c>
      <c r="K80" s="1" t="s">
        <v>214</v>
      </c>
    </row>
    <row r="81" spans="1:11" x14ac:dyDescent="0.25">
      <c r="A81" s="1" t="s">
        <v>213</v>
      </c>
      <c r="B81" s="1">
        <v>196</v>
      </c>
      <c r="C81" s="1" t="s">
        <v>27</v>
      </c>
      <c r="D81" s="1">
        <v>2</v>
      </c>
      <c r="E81" s="1" t="s">
        <v>13</v>
      </c>
      <c r="F81" s="1">
        <v>15</v>
      </c>
      <c r="G81" s="1">
        <v>6</v>
      </c>
      <c r="H81" s="1" t="s">
        <v>69</v>
      </c>
      <c r="I81" s="1" t="s">
        <v>28</v>
      </c>
      <c r="J81" s="1" t="s">
        <v>80</v>
      </c>
      <c r="K81" s="1" t="s">
        <v>214</v>
      </c>
    </row>
    <row r="82" spans="1:11" x14ac:dyDescent="0.25">
      <c r="A82" s="1" t="s">
        <v>213</v>
      </c>
      <c r="B82" s="1">
        <v>201</v>
      </c>
      <c r="C82" s="1" t="s">
        <v>12</v>
      </c>
      <c r="D82" s="1">
        <v>1</v>
      </c>
      <c r="E82" s="1" t="s">
        <v>30</v>
      </c>
      <c r="F82" s="1">
        <v>15</v>
      </c>
      <c r="G82" s="1">
        <v>10</v>
      </c>
      <c r="H82" s="1" t="s">
        <v>56</v>
      </c>
      <c r="I82" s="1" t="s">
        <v>32</v>
      </c>
      <c r="J82" s="1" t="s">
        <v>58</v>
      </c>
      <c r="K82" s="1" t="s">
        <v>214</v>
      </c>
    </row>
    <row r="83" spans="1:11" x14ac:dyDescent="0.25">
      <c r="A83" s="1" t="s">
        <v>213</v>
      </c>
      <c r="B83" s="1">
        <v>202</v>
      </c>
      <c r="C83" s="1" t="s">
        <v>12</v>
      </c>
      <c r="D83" s="1">
        <v>2</v>
      </c>
      <c r="E83" s="1" t="s">
        <v>30</v>
      </c>
      <c r="F83" s="1">
        <v>15</v>
      </c>
      <c r="G83" s="1">
        <v>8</v>
      </c>
      <c r="H83" s="1" t="s">
        <v>56</v>
      </c>
      <c r="I83" s="1" t="s">
        <v>32</v>
      </c>
      <c r="J83" s="1" t="s">
        <v>58</v>
      </c>
      <c r="K83" s="1" t="s">
        <v>214</v>
      </c>
    </row>
    <row r="84" spans="1:11" x14ac:dyDescent="0.25">
      <c r="A84" s="1" t="s">
        <v>213</v>
      </c>
      <c r="B84" s="1">
        <v>204</v>
      </c>
      <c r="C84" s="1" t="s">
        <v>18</v>
      </c>
      <c r="D84" s="1">
        <v>1</v>
      </c>
      <c r="E84" s="1" t="s">
        <v>30</v>
      </c>
      <c r="F84" s="1">
        <v>15</v>
      </c>
      <c r="G84" s="1">
        <v>11</v>
      </c>
      <c r="H84" s="1" t="s">
        <v>56</v>
      </c>
      <c r="I84" s="1" t="s">
        <v>35</v>
      </c>
      <c r="J84" s="1" t="s">
        <v>61</v>
      </c>
      <c r="K84" s="1" t="s">
        <v>214</v>
      </c>
    </row>
    <row r="85" spans="1:11" x14ac:dyDescent="0.25">
      <c r="A85" s="1" t="s">
        <v>213</v>
      </c>
      <c r="B85" s="1">
        <v>205</v>
      </c>
      <c r="C85" s="1" t="s">
        <v>18</v>
      </c>
      <c r="D85" s="1">
        <v>2</v>
      </c>
      <c r="E85" s="1" t="s">
        <v>30</v>
      </c>
      <c r="F85" s="1">
        <v>15</v>
      </c>
      <c r="G85" s="1">
        <v>12</v>
      </c>
      <c r="H85" s="1" t="s">
        <v>56</v>
      </c>
      <c r="I85" s="1" t="s">
        <v>35</v>
      </c>
      <c r="J85" s="1" t="s">
        <v>61</v>
      </c>
      <c r="K85" s="1" t="s">
        <v>214</v>
      </c>
    </row>
    <row r="86" spans="1:11" x14ac:dyDescent="0.25">
      <c r="A86" s="1" t="s">
        <v>213</v>
      </c>
      <c r="B86" s="1">
        <v>207</v>
      </c>
      <c r="C86" s="1" t="s">
        <v>21</v>
      </c>
      <c r="D86" s="1">
        <v>1</v>
      </c>
      <c r="E86" s="1" t="s">
        <v>30</v>
      </c>
      <c r="F86" s="1">
        <v>13</v>
      </c>
      <c r="G86" s="1">
        <v>15</v>
      </c>
      <c r="H86" s="1" t="s">
        <v>56</v>
      </c>
      <c r="I86" s="1" t="s">
        <v>37</v>
      </c>
      <c r="J86" s="1" t="s">
        <v>63</v>
      </c>
      <c r="K86" s="1" t="s">
        <v>214</v>
      </c>
    </row>
    <row r="87" spans="1:11" x14ac:dyDescent="0.25">
      <c r="A87" s="1" t="s">
        <v>213</v>
      </c>
      <c r="B87" s="1">
        <v>208</v>
      </c>
      <c r="C87" s="1" t="s">
        <v>21</v>
      </c>
      <c r="D87" s="1">
        <v>2</v>
      </c>
      <c r="E87" s="1" t="s">
        <v>30</v>
      </c>
      <c r="F87" s="1">
        <v>15</v>
      </c>
      <c r="G87" s="1">
        <v>9</v>
      </c>
      <c r="H87" s="1" t="s">
        <v>56</v>
      </c>
      <c r="I87" s="1" t="s">
        <v>37</v>
      </c>
      <c r="J87" s="1" t="s">
        <v>63</v>
      </c>
      <c r="K87" s="1" t="s">
        <v>214</v>
      </c>
    </row>
    <row r="88" spans="1:11" x14ac:dyDescent="0.25">
      <c r="A88" s="1" t="s">
        <v>213</v>
      </c>
      <c r="B88" s="1">
        <v>210</v>
      </c>
      <c r="C88" s="1" t="s">
        <v>24</v>
      </c>
      <c r="D88" s="1">
        <v>1</v>
      </c>
      <c r="E88" s="1" t="s">
        <v>30</v>
      </c>
      <c r="F88" s="1">
        <v>15</v>
      </c>
      <c r="G88" s="1">
        <v>8</v>
      </c>
      <c r="H88" s="1" t="s">
        <v>56</v>
      </c>
      <c r="I88" s="1" t="s">
        <v>39</v>
      </c>
      <c r="J88" s="1" t="s">
        <v>65</v>
      </c>
      <c r="K88" s="1" t="s">
        <v>214</v>
      </c>
    </row>
    <row r="89" spans="1:11" x14ac:dyDescent="0.25">
      <c r="A89" s="1" t="s">
        <v>213</v>
      </c>
      <c r="B89" s="1">
        <v>211</v>
      </c>
      <c r="C89" s="1" t="s">
        <v>24</v>
      </c>
      <c r="D89" s="1">
        <v>2</v>
      </c>
      <c r="E89" s="1" t="s">
        <v>30</v>
      </c>
      <c r="F89" s="1">
        <v>15</v>
      </c>
      <c r="G89" s="1">
        <v>13</v>
      </c>
      <c r="H89" s="1" t="s">
        <v>56</v>
      </c>
      <c r="I89" s="1" t="s">
        <v>39</v>
      </c>
      <c r="J89" s="1" t="s">
        <v>65</v>
      </c>
      <c r="K89" s="1" t="s">
        <v>214</v>
      </c>
    </row>
    <row r="90" spans="1:11" x14ac:dyDescent="0.25">
      <c r="A90" s="1" t="s">
        <v>213</v>
      </c>
      <c r="B90" s="1">
        <v>213</v>
      </c>
      <c r="C90" s="1" t="s">
        <v>27</v>
      </c>
      <c r="D90" s="1">
        <v>1</v>
      </c>
      <c r="E90" s="1" t="s">
        <v>30</v>
      </c>
      <c r="F90" s="1">
        <v>15</v>
      </c>
      <c r="G90" s="1">
        <v>5</v>
      </c>
      <c r="H90" s="1" t="s">
        <v>56</v>
      </c>
      <c r="I90" s="1" t="s">
        <v>41</v>
      </c>
      <c r="J90" s="1" t="s">
        <v>67</v>
      </c>
      <c r="K90" s="1" t="s">
        <v>214</v>
      </c>
    </row>
    <row r="91" spans="1:11" x14ac:dyDescent="0.25">
      <c r="A91" s="1" t="s">
        <v>213</v>
      </c>
      <c r="B91" s="1">
        <v>214</v>
      </c>
      <c r="C91" s="1" t="s">
        <v>27</v>
      </c>
      <c r="D91" s="1">
        <v>2</v>
      </c>
      <c r="E91" s="1" t="s">
        <v>30</v>
      </c>
      <c r="F91" s="1">
        <v>15</v>
      </c>
      <c r="G91" s="1">
        <v>11</v>
      </c>
      <c r="H91" s="1" t="s">
        <v>56</v>
      </c>
      <c r="I91" s="1" t="s">
        <v>41</v>
      </c>
      <c r="J91" s="1" t="s">
        <v>67</v>
      </c>
      <c r="K91" s="1" t="s">
        <v>214</v>
      </c>
    </row>
    <row r="92" spans="1:11" x14ac:dyDescent="0.25">
      <c r="A92" s="1" t="s">
        <v>213</v>
      </c>
      <c r="B92" s="1">
        <v>219</v>
      </c>
      <c r="C92" s="1" t="s">
        <v>12</v>
      </c>
      <c r="D92" s="1">
        <v>1</v>
      </c>
      <c r="E92" s="1" t="s">
        <v>181</v>
      </c>
      <c r="F92" s="1">
        <v>15</v>
      </c>
      <c r="G92" s="1">
        <v>8</v>
      </c>
      <c r="H92" s="1" t="s">
        <v>82</v>
      </c>
      <c r="I92" s="1" t="s">
        <v>183</v>
      </c>
      <c r="J92" s="1" t="s">
        <v>84</v>
      </c>
      <c r="K92" s="1" t="s">
        <v>214</v>
      </c>
    </row>
    <row r="93" spans="1:11" x14ac:dyDescent="0.25">
      <c r="A93" s="1" t="s">
        <v>213</v>
      </c>
      <c r="B93" s="1">
        <v>220</v>
      </c>
      <c r="C93" s="1" t="s">
        <v>12</v>
      </c>
      <c r="D93" s="1">
        <v>2</v>
      </c>
      <c r="E93" s="1" t="s">
        <v>181</v>
      </c>
      <c r="F93" s="1">
        <v>15</v>
      </c>
      <c r="G93" s="1">
        <v>13</v>
      </c>
      <c r="H93" s="1" t="s">
        <v>82</v>
      </c>
      <c r="I93" s="1" t="s">
        <v>183</v>
      </c>
      <c r="J93" s="1" t="s">
        <v>84</v>
      </c>
      <c r="K93" s="1" t="s">
        <v>214</v>
      </c>
    </row>
    <row r="94" spans="1:11" x14ac:dyDescent="0.25">
      <c r="A94" s="1" t="s">
        <v>213</v>
      </c>
      <c r="B94" s="1">
        <v>222</v>
      </c>
      <c r="C94" s="1" t="s">
        <v>18</v>
      </c>
      <c r="D94" s="1">
        <v>1</v>
      </c>
      <c r="E94" s="1" t="s">
        <v>181</v>
      </c>
      <c r="F94" s="1">
        <v>17</v>
      </c>
      <c r="G94" s="1">
        <v>15</v>
      </c>
      <c r="H94" s="1" t="s">
        <v>82</v>
      </c>
      <c r="I94" s="1" t="s">
        <v>186</v>
      </c>
      <c r="J94" s="1" t="s">
        <v>87</v>
      </c>
      <c r="K94" s="1" t="s">
        <v>214</v>
      </c>
    </row>
    <row r="95" spans="1:11" x14ac:dyDescent="0.25">
      <c r="A95" s="1" t="s">
        <v>213</v>
      </c>
      <c r="B95" s="1">
        <v>223</v>
      </c>
      <c r="C95" s="1" t="s">
        <v>18</v>
      </c>
      <c r="D95" s="1">
        <v>2</v>
      </c>
      <c r="E95" s="1" t="s">
        <v>181</v>
      </c>
      <c r="F95" s="1">
        <v>8</v>
      </c>
      <c r="G95" s="1">
        <v>5</v>
      </c>
      <c r="H95" s="1" t="s">
        <v>82</v>
      </c>
      <c r="I95" s="1" t="s">
        <v>186</v>
      </c>
      <c r="J95" s="1" t="s">
        <v>87</v>
      </c>
      <c r="K95" s="1" t="s">
        <v>214</v>
      </c>
    </row>
    <row r="96" spans="1:11" x14ac:dyDescent="0.25">
      <c r="A96" s="1" t="s">
        <v>213</v>
      </c>
      <c r="B96" s="1">
        <v>225</v>
      </c>
      <c r="C96" s="1" t="s">
        <v>21</v>
      </c>
      <c r="D96" s="1">
        <v>1</v>
      </c>
      <c r="E96" s="1" t="s">
        <v>181</v>
      </c>
      <c r="F96" s="1">
        <v>19</v>
      </c>
      <c r="G96" s="1">
        <v>17</v>
      </c>
      <c r="H96" s="1" t="s">
        <v>82</v>
      </c>
      <c r="I96" s="1" t="s">
        <v>188</v>
      </c>
      <c r="J96" s="1" t="s">
        <v>89</v>
      </c>
      <c r="K96" s="1" t="s">
        <v>214</v>
      </c>
    </row>
    <row r="97" spans="1:11" x14ac:dyDescent="0.25">
      <c r="A97" s="1" t="s">
        <v>213</v>
      </c>
      <c r="B97" s="1">
        <v>226</v>
      </c>
      <c r="C97" s="1" t="s">
        <v>21</v>
      </c>
      <c r="D97" s="1">
        <v>2</v>
      </c>
      <c r="E97" s="1" t="s">
        <v>181</v>
      </c>
      <c r="F97" s="1">
        <v>5</v>
      </c>
      <c r="G97" s="1">
        <v>3</v>
      </c>
      <c r="H97" s="1" t="s">
        <v>82</v>
      </c>
      <c r="I97" s="1" t="s">
        <v>188</v>
      </c>
      <c r="J97" s="1" t="s">
        <v>89</v>
      </c>
      <c r="K97" s="1" t="s">
        <v>214</v>
      </c>
    </row>
    <row r="98" spans="1:11" x14ac:dyDescent="0.25">
      <c r="A98" s="1" t="s">
        <v>213</v>
      </c>
      <c r="B98" s="1">
        <v>228</v>
      </c>
      <c r="C98" s="1" t="s">
        <v>24</v>
      </c>
      <c r="D98" s="1">
        <v>1</v>
      </c>
      <c r="E98" s="1" t="s">
        <v>181</v>
      </c>
      <c r="F98" s="1">
        <v>15</v>
      </c>
      <c r="G98" s="1">
        <v>8</v>
      </c>
      <c r="H98" s="1" t="s">
        <v>82</v>
      </c>
      <c r="I98" s="1" t="s">
        <v>190</v>
      </c>
      <c r="J98" s="1" t="s">
        <v>91</v>
      </c>
      <c r="K98" s="1" t="s">
        <v>214</v>
      </c>
    </row>
    <row r="99" spans="1:11" x14ac:dyDescent="0.25">
      <c r="A99" s="1" t="s">
        <v>213</v>
      </c>
      <c r="B99" s="1">
        <v>229</v>
      </c>
      <c r="C99" s="1" t="s">
        <v>24</v>
      </c>
      <c r="D99" s="1">
        <v>2</v>
      </c>
      <c r="E99" s="1" t="s">
        <v>181</v>
      </c>
      <c r="F99" s="1">
        <v>15</v>
      </c>
      <c r="G99" s="1">
        <v>12</v>
      </c>
      <c r="H99" s="1" t="s">
        <v>82</v>
      </c>
      <c r="I99" s="1" t="s">
        <v>190</v>
      </c>
      <c r="J99" s="1" t="s">
        <v>91</v>
      </c>
      <c r="K99" s="1" t="s">
        <v>214</v>
      </c>
    </row>
    <row r="100" spans="1:11" x14ac:dyDescent="0.25">
      <c r="A100" s="1" t="s">
        <v>213</v>
      </c>
      <c r="B100" s="1">
        <v>231</v>
      </c>
      <c r="C100" s="1" t="s">
        <v>27</v>
      </c>
      <c r="D100" s="1">
        <v>1</v>
      </c>
      <c r="E100" s="1" t="s">
        <v>181</v>
      </c>
      <c r="F100" s="1">
        <v>15</v>
      </c>
      <c r="G100" s="1">
        <v>11</v>
      </c>
      <c r="H100" s="1" t="s">
        <v>82</v>
      </c>
      <c r="I100" s="1" t="s">
        <v>192</v>
      </c>
      <c r="J100" s="1" t="s">
        <v>93</v>
      </c>
      <c r="K100" s="1" t="s">
        <v>214</v>
      </c>
    </row>
    <row r="101" spans="1:11" x14ac:dyDescent="0.25">
      <c r="A101" s="1" t="s">
        <v>213</v>
      </c>
      <c r="B101" s="1">
        <v>232</v>
      </c>
      <c r="C101" s="1" t="s">
        <v>27</v>
      </c>
      <c r="D101" s="1">
        <v>2</v>
      </c>
      <c r="E101" s="1" t="s">
        <v>181</v>
      </c>
      <c r="F101" s="1">
        <v>17</v>
      </c>
      <c r="G101" s="1">
        <v>15</v>
      </c>
      <c r="H101" s="1" t="s">
        <v>82</v>
      </c>
      <c r="I101" s="1" t="s">
        <v>192</v>
      </c>
      <c r="J101" s="1" t="s">
        <v>93</v>
      </c>
      <c r="K101" s="1" t="s">
        <v>214</v>
      </c>
    </row>
    <row r="102" spans="1:11" x14ac:dyDescent="0.25">
      <c r="A102" s="1" t="s">
        <v>213</v>
      </c>
      <c r="B102" s="1">
        <v>237</v>
      </c>
      <c r="C102" s="1" t="s">
        <v>12</v>
      </c>
      <c r="D102" s="1">
        <v>1</v>
      </c>
      <c r="E102" s="1" t="s">
        <v>43</v>
      </c>
      <c r="F102" s="1">
        <v>15</v>
      </c>
      <c r="G102" s="1">
        <v>10</v>
      </c>
      <c r="H102" s="1" t="s">
        <v>95</v>
      </c>
      <c r="I102" s="1" t="s">
        <v>45</v>
      </c>
      <c r="J102" s="1" t="s">
        <v>97</v>
      </c>
      <c r="K102" s="1" t="s">
        <v>214</v>
      </c>
    </row>
    <row r="103" spans="1:11" x14ac:dyDescent="0.25">
      <c r="A103" s="1" t="s">
        <v>213</v>
      </c>
      <c r="B103" s="1">
        <v>238</v>
      </c>
      <c r="C103" s="1" t="s">
        <v>12</v>
      </c>
      <c r="D103" s="1">
        <v>2</v>
      </c>
      <c r="E103" s="1" t="s">
        <v>43</v>
      </c>
      <c r="F103" s="1">
        <v>15</v>
      </c>
      <c r="G103" s="1">
        <v>12</v>
      </c>
      <c r="H103" s="1" t="s">
        <v>95</v>
      </c>
      <c r="I103" s="1" t="s">
        <v>45</v>
      </c>
      <c r="J103" s="1" t="s">
        <v>97</v>
      </c>
      <c r="K103" s="1" t="s">
        <v>214</v>
      </c>
    </row>
    <row r="104" spans="1:11" x14ac:dyDescent="0.25">
      <c r="A104" s="1" t="s">
        <v>213</v>
      </c>
      <c r="B104" s="1">
        <v>240</v>
      </c>
      <c r="C104" s="1" t="s">
        <v>18</v>
      </c>
      <c r="D104" s="1">
        <v>1</v>
      </c>
      <c r="E104" s="1" t="s">
        <v>43</v>
      </c>
      <c r="F104" s="1">
        <v>15</v>
      </c>
      <c r="G104" s="1">
        <v>11</v>
      </c>
      <c r="H104" s="1" t="s">
        <v>95</v>
      </c>
      <c r="I104" s="1" t="s">
        <v>48</v>
      </c>
      <c r="J104" s="1" t="s">
        <v>100</v>
      </c>
      <c r="K104" s="1" t="s">
        <v>214</v>
      </c>
    </row>
    <row r="105" spans="1:11" x14ac:dyDescent="0.25">
      <c r="A105" s="1" t="s">
        <v>213</v>
      </c>
      <c r="B105" s="1">
        <v>241</v>
      </c>
      <c r="C105" s="1" t="s">
        <v>18</v>
      </c>
      <c r="D105" s="1">
        <v>2</v>
      </c>
      <c r="E105" s="1" t="s">
        <v>43</v>
      </c>
      <c r="F105" s="1">
        <v>12</v>
      </c>
      <c r="G105" s="1">
        <v>15</v>
      </c>
      <c r="H105" s="1" t="s">
        <v>95</v>
      </c>
      <c r="I105" s="1" t="s">
        <v>48</v>
      </c>
      <c r="J105" s="1" t="s">
        <v>100</v>
      </c>
      <c r="K105" s="1" t="s">
        <v>214</v>
      </c>
    </row>
    <row r="106" spans="1:11" x14ac:dyDescent="0.25">
      <c r="A106" s="1" t="s">
        <v>213</v>
      </c>
      <c r="B106" s="1">
        <v>242</v>
      </c>
      <c r="C106" s="1" t="s">
        <v>18</v>
      </c>
      <c r="D106" s="1">
        <v>3</v>
      </c>
      <c r="E106" s="1" t="s">
        <v>43</v>
      </c>
      <c r="F106" s="1">
        <v>16</v>
      </c>
      <c r="G106" s="1">
        <v>14</v>
      </c>
      <c r="H106" s="1" t="s">
        <v>95</v>
      </c>
      <c r="I106" s="1" t="s">
        <v>48</v>
      </c>
      <c r="J106" s="1" t="s">
        <v>100</v>
      </c>
      <c r="K106" s="1" t="s">
        <v>214</v>
      </c>
    </row>
    <row r="107" spans="1:11" x14ac:dyDescent="0.25">
      <c r="A107" s="1" t="s">
        <v>213</v>
      </c>
      <c r="B107" s="1">
        <v>243</v>
      </c>
      <c r="C107" s="1" t="s">
        <v>21</v>
      </c>
      <c r="D107" s="1">
        <v>1</v>
      </c>
      <c r="E107" s="1" t="s">
        <v>43</v>
      </c>
      <c r="F107" s="1">
        <v>13</v>
      </c>
      <c r="G107" s="1">
        <v>15</v>
      </c>
      <c r="H107" s="1" t="s">
        <v>95</v>
      </c>
      <c r="I107" s="1" t="s">
        <v>50</v>
      </c>
      <c r="J107" s="1" t="s">
        <v>102</v>
      </c>
      <c r="K107" s="1" t="s">
        <v>214</v>
      </c>
    </row>
    <row r="108" spans="1:11" x14ac:dyDescent="0.25">
      <c r="A108" s="1" t="s">
        <v>213</v>
      </c>
      <c r="B108" s="1">
        <v>244</v>
      </c>
      <c r="C108" s="1" t="s">
        <v>21</v>
      </c>
      <c r="D108" s="1">
        <v>2</v>
      </c>
      <c r="E108" s="1" t="s">
        <v>43</v>
      </c>
      <c r="F108" s="1">
        <v>19</v>
      </c>
      <c r="G108" s="1">
        <v>17</v>
      </c>
      <c r="H108" s="1" t="s">
        <v>95</v>
      </c>
      <c r="I108" s="1" t="s">
        <v>50</v>
      </c>
      <c r="J108" s="1" t="s">
        <v>102</v>
      </c>
      <c r="K108" s="1" t="s">
        <v>214</v>
      </c>
    </row>
    <row r="109" spans="1:11" x14ac:dyDescent="0.25">
      <c r="A109" s="1" t="s">
        <v>213</v>
      </c>
      <c r="B109" s="1">
        <v>245</v>
      </c>
      <c r="C109" s="1" t="s">
        <v>21</v>
      </c>
      <c r="D109" s="1">
        <v>3</v>
      </c>
      <c r="E109" s="1" t="s">
        <v>43</v>
      </c>
      <c r="F109" s="1">
        <v>8</v>
      </c>
      <c r="G109" s="1">
        <v>7</v>
      </c>
      <c r="H109" s="1" t="s">
        <v>95</v>
      </c>
      <c r="I109" s="1" t="s">
        <v>50</v>
      </c>
      <c r="J109" s="1" t="s">
        <v>102</v>
      </c>
      <c r="K109" s="1" t="s">
        <v>214</v>
      </c>
    </row>
    <row r="110" spans="1:11" x14ac:dyDescent="0.25">
      <c r="A110" s="1" t="s">
        <v>213</v>
      </c>
      <c r="B110" s="1">
        <v>246</v>
      </c>
      <c r="C110" s="1" t="s">
        <v>24</v>
      </c>
      <c r="D110" s="1">
        <v>1</v>
      </c>
      <c r="E110" s="1" t="s">
        <v>43</v>
      </c>
      <c r="F110" s="1">
        <v>12</v>
      </c>
      <c r="G110" s="1">
        <v>15</v>
      </c>
      <c r="H110" s="1" t="s">
        <v>95</v>
      </c>
      <c r="I110" s="1" t="s">
        <v>52</v>
      </c>
      <c r="J110" s="1" t="s">
        <v>104</v>
      </c>
      <c r="K110" s="1" t="s">
        <v>214</v>
      </c>
    </row>
    <row r="111" spans="1:11" x14ac:dyDescent="0.25">
      <c r="A111" s="1" t="s">
        <v>213</v>
      </c>
      <c r="B111" s="1">
        <v>247</v>
      </c>
      <c r="C111" s="1" t="s">
        <v>24</v>
      </c>
      <c r="D111" s="1">
        <v>2</v>
      </c>
      <c r="E111" s="1" t="s">
        <v>43</v>
      </c>
      <c r="F111" s="1">
        <v>15</v>
      </c>
      <c r="G111" s="1">
        <v>10</v>
      </c>
      <c r="H111" s="1" t="s">
        <v>95</v>
      </c>
      <c r="I111" s="1" t="s">
        <v>52</v>
      </c>
      <c r="J111" s="1" t="s">
        <v>104</v>
      </c>
      <c r="K111" s="1" t="s">
        <v>214</v>
      </c>
    </row>
    <row r="112" spans="1:11" x14ac:dyDescent="0.25">
      <c r="A112" s="1" t="s">
        <v>213</v>
      </c>
      <c r="B112" s="1">
        <v>248</v>
      </c>
      <c r="C112" s="1" t="s">
        <v>24</v>
      </c>
      <c r="D112" s="1">
        <v>3</v>
      </c>
      <c r="E112" s="1" t="s">
        <v>43</v>
      </c>
      <c r="F112" s="1">
        <v>12</v>
      </c>
      <c r="G112" s="1">
        <v>12</v>
      </c>
      <c r="H112" s="1" t="s">
        <v>95</v>
      </c>
      <c r="I112" s="1" t="s">
        <v>52</v>
      </c>
      <c r="J112" s="1" t="s">
        <v>104</v>
      </c>
      <c r="K112" s="1" t="s">
        <v>214</v>
      </c>
    </row>
    <row r="113" spans="1:11" x14ac:dyDescent="0.25">
      <c r="A113" s="1" t="s">
        <v>213</v>
      </c>
      <c r="B113" s="1">
        <v>249</v>
      </c>
      <c r="C113" s="1" t="s">
        <v>27</v>
      </c>
      <c r="D113" s="1">
        <v>1</v>
      </c>
      <c r="E113" s="1" t="s">
        <v>43</v>
      </c>
      <c r="F113" s="1">
        <v>8</v>
      </c>
      <c r="G113" s="1">
        <v>15</v>
      </c>
      <c r="H113" s="1" t="s">
        <v>95</v>
      </c>
      <c r="I113" s="1" t="s">
        <v>54</v>
      </c>
      <c r="J113" s="1" t="s">
        <v>106</v>
      </c>
      <c r="K113" s="1" t="s">
        <v>214</v>
      </c>
    </row>
    <row r="114" spans="1:11" x14ac:dyDescent="0.25">
      <c r="A114" s="1" t="s">
        <v>213</v>
      </c>
      <c r="B114" s="1">
        <v>250</v>
      </c>
      <c r="C114" s="1" t="s">
        <v>27</v>
      </c>
      <c r="D114" s="1">
        <v>2</v>
      </c>
      <c r="E114" s="1" t="s">
        <v>43</v>
      </c>
      <c r="F114" s="1">
        <v>10</v>
      </c>
      <c r="G114" s="1">
        <v>15</v>
      </c>
      <c r="H114" s="1" t="s">
        <v>95</v>
      </c>
      <c r="I114" s="1" t="s">
        <v>54</v>
      </c>
      <c r="J114" s="1" t="s">
        <v>106</v>
      </c>
      <c r="K114" s="1" t="s">
        <v>214</v>
      </c>
    </row>
    <row r="115" spans="1:11" x14ac:dyDescent="0.25">
      <c r="A115" s="1" t="s">
        <v>213</v>
      </c>
      <c r="B115" s="1">
        <v>255</v>
      </c>
      <c r="C115" s="1" t="s">
        <v>12</v>
      </c>
      <c r="D115" s="1">
        <v>1</v>
      </c>
      <c r="E115" s="1" t="s">
        <v>31</v>
      </c>
      <c r="F115" s="1">
        <v>11</v>
      </c>
      <c r="G115" s="1">
        <v>15</v>
      </c>
      <c r="H115" s="1" t="s">
        <v>57</v>
      </c>
      <c r="I115" s="1" t="s">
        <v>33</v>
      </c>
      <c r="J115" s="1" t="s">
        <v>59</v>
      </c>
      <c r="K115" s="1" t="s">
        <v>214</v>
      </c>
    </row>
    <row r="116" spans="1:11" x14ac:dyDescent="0.25">
      <c r="A116" s="1" t="s">
        <v>213</v>
      </c>
      <c r="B116" s="1">
        <v>256</v>
      </c>
      <c r="C116" s="1" t="s">
        <v>12</v>
      </c>
      <c r="D116" s="1">
        <v>2</v>
      </c>
      <c r="E116" s="1" t="s">
        <v>31</v>
      </c>
      <c r="F116" s="1">
        <v>13</v>
      </c>
      <c r="G116" s="1">
        <v>15</v>
      </c>
      <c r="H116" s="1" t="s">
        <v>57</v>
      </c>
      <c r="I116" s="1" t="s">
        <v>33</v>
      </c>
      <c r="J116" s="1" t="s">
        <v>59</v>
      </c>
      <c r="K116" s="1" t="s">
        <v>214</v>
      </c>
    </row>
    <row r="117" spans="1:11" x14ac:dyDescent="0.25">
      <c r="A117" s="1" t="s">
        <v>213</v>
      </c>
      <c r="B117" s="1">
        <v>258</v>
      </c>
      <c r="C117" s="1" t="s">
        <v>18</v>
      </c>
      <c r="D117" s="1">
        <v>1</v>
      </c>
      <c r="E117" s="1" t="s">
        <v>31</v>
      </c>
      <c r="F117" s="1">
        <v>15</v>
      </c>
      <c r="G117" s="1">
        <v>12</v>
      </c>
      <c r="H117" s="1" t="s">
        <v>57</v>
      </c>
      <c r="I117" s="1" t="s">
        <v>36</v>
      </c>
      <c r="J117" s="1" t="s">
        <v>62</v>
      </c>
      <c r="K117" s="1" t="s">
        <v>214</v>
      </c>
    </row>
    <row r="118" spans="1:11" x14ac:dyDescent="0.25">
      <c r="A118" s="1" t="s">
        <v>213</v>
      </c>
      <c r="B118" s="1">
        <v>259</v>
      </c>
      <c r="C118" s="1" t="s">
        <v>18</v>
      </c>
      <c r="D118" s="1">
        <v>2</v>
      </c>
      <c r="E118" s="1" t="s">
        <v>31</v>
      </c>
      <c r="F118" s="1">
        <v>15</v>
      </c>
      <c r="G118" s="1">
        <v>9</v>
      </c>
      <c r="H118" s="1" t="s">
        <v>57</v>
      </c>
      <c r="I118" s="1" t="s">
        <v>36</v>
      </c>
      <c r="J118" s="1" t="s">
        <v>62</v>
      </c>
      <c r="K118" s="1" t="s">
        <v>214</v>
      </c>
    </row>
    <row r="119" spans="1:11" x14ac:dyDescent="0.25">
      <c r="A119" s="1" t="s">
        <v>213</v>
      </c>
      <c r="B119" s="1">
        <v>261</v>
      </c>
      <c r="C119" s="1" t="s">
        <v>21</v>
      </c>
      <c r="D119" s="1">
        <v>1</v>
      </c>
      <c r="E119" s="1" t="s">
        <v>31</v>
      </c>
      <c r="F119" s="1">
        <v>15</v>
      </c>
      <c r="G119" s="1">
        <v>13</v>
      </c>
      <c r="H119" s="1" t="s">
        <v>57</v>
      </c>
      <c r="I119" s="1" t="s">
        <v>38</v>
      </c>
      <c r="J119" s="1" t="s">
        <v>64</v>
      </c>
      <c r="K119" s="1" t="s">
        <v>214</v>
      </c>
    </row>
    <row r="120" spans="1:11" x14ac:dyDescent="0.25">
      <c r="A120" s="1" t="s">
        <v>213</v>
      </c>
      <c r="B120" s="1">
        <v>262</v>
      </c>
      <c r="C120" s="1" t="s">
        <v>21</v>
      </c>
      <c r="D120" s="1">
        <v>2</v>
      </c>
      <c r="E120" s="1" t="s">
        <v>31</v>
      </c>
      <c r="F120" s="1">
        <v>11</v>
      </c>
      <c r="G120" s="1">
        <v>15</v>
      </c>
      <c r="H120" s="1" t="s">
        <v>57</v>
      </c>
      <c r="I120" s="1" t="s">
        <v>38</v>
      </c>
      <c r="J120" s="1" t="s">
        <v>64</v>
      </c>
      <c r="K120" s="1" t="s">
        <v>214</v>
      </c>
    </row>
    <row r="121" spans="1:11" x14ac:dyDescent="0.25">
      <c r="A121" s="1" t="s">
        <v>213</v>
      </c>
      <c r="B121" s="1">
        <v>263</v>
      </c>
      <c r="C121" s="1" t="s">
        <v>21</v>
      </c>
      <c r="D121" s="1">
        <v>3</v>
      </c>
      <c r="E121" s="1" t="s">
        <v>31</v>
      </c>
      <c r="F121" s="1">
        <v>21</v>
      </c>
      <c r="G121" s="1">
        <v>20</v>
      </c>
      <c r="H121" s="1" t="s">
        <v>57</v>
      </c>
      <c r="I121" s="1" t="s">
        <v>38</v>
      </c>
      <c r="J121" s="1" t="s">
        <v>64</v>
      </c>
      <c r="K121" s="1" t="s">
        <v>214</v>
      </c>
    </row>
    <row r="122" spans="1:11" x14ac:dyDescent="0.25">
      <c r="A122" s="1" t="s">
        <v>213</v>
      </c>
      <c r="B122" s="1">
        <v>264</v>
      </c>
      <c r="C122" s="1" t="s">
        <v>24</v>
      </c>
      <c r="D122" s="1">
        <v>1</v>
      </c>
      <c r="E122" s="1" t="s">
        <v>31</v>
      </c>
      <c r="F122" s="1">
        <v>10</v>
      </c>
      <c r="G122" s="1">
        <v>15</v>
      </c>
      <c r="H122" s="1" t="s">
        <v>57</v>
      </c>
      <c r="I122" s="1" t="s">
        <v>40</v>
      </c>
      <c r="J122" s="1" t="s">
        <v>66</v>
      </c>
      <c r="K122" s="1" t="s">
        <v>214</v>
      </c>
    </row>
    <row r="123" spans="1:11" x14ac:dyDescent="0.25">
      <c r="A123" s="1" t="s">
        <v>213</v>
      </c>
      <c r="B123" s="1">
        <v>265</v>
      </c>
      <c r="C123" s="1" t="s">
        <v>24</v>
      </c>
      <c r="D123" s="1">
        <v>2</v>
      </c>
      <c r="E123" s="1" t="s">
        <v>31</v>
      </c>
      <c r="F123" s="1">
        <v>15</v>
      </c>
      <c r="G123" s="1">
        <v>11</v>
      </c>
      <c r="H123" s="1" t="s">
        <v>57</v>
      </c>
      <c r="I123" s="1" t="s">
        <v>40</v>
      </c>
      <c r="J123" s="1" t="s">
        <v>66</v>
      </c>
      <c r="K123" s="1" t="s">
        <v>214</v>
      </c>
    </row>
    <row r="124" spans="1:11" x14ac:dyDescent="0.25">
      <c r="A124" s="1" t="s">
        <v>213</v>
      </c>
      <c r="B124" s="1">
        <v>266</v>
      </c>
      <c r="C124" s="1" t="s">
        <v>24</v>
      </c>
      <c r="D124" s="1">
        <v>3</v>
      </c>
      <c r="E124" s="1" t="s">
        <v>31</v>
      </c>
      <c r="F124" s="1">
        <v>14</v>
      </c>
      <c r="G124" s="1">
        <v>10</v>
      </c>
      <c r="H124" s="1" t="s">
        <v>57</v>
      </c>
      <c r="I124" s="1" t="s">
        <v>40</v>
      </c>
      <c r="J124" s="1" t="s">
        <v>66</v>
      </c>
      <c r="K124" s="1" t="s">
        <v>214</v>
      </c>
    </row>
    <row r="125" spans="1:11" x14ac:dyDescent="0.25">
      <c r="A125" s="1" t="s">
        <v>213</v>
      </c>
      <c r="B125" s="1">
        <v>267</v>
      </c>
      <c r="C125" s="1" t="s">
        <v>27</v>
      </c>
      <c r="D125" s="1">
        <v>1</v>
      </c>
      <c r="E125" s="1" t="s">
        <v>31</v>
      </c>
      <c r="F125" s="1">
        <v>15</v>
      </c>
      <c r="G125" s="1">
        <v>8</v>
      </c>
      <c r="H125" s="1" t="s">
        <v>57</v>
      </c>
      <c r="I125" s="1" t="s">
        <v>42</v>
      </c>
      <c r="J125" s="1" t="s">
        <v>68</v>
      </c>
      <c r="K125" s="1" t="s">
        <v>214</v>
      </c>
    </row>
    <row r="126" spans="1:11" x14ac:dyDescent="0.25">
      <c r="A126" s="1" t="s">
        <v>213</v>
      </c>
      <c r="B126" s="1">
        <v>268</v>
      </c>
      <c r="C126" s="1" t="s">
        <v>27</v>
      </c>
      <c r="D126" s="1">
        <v>2</v>
      </c>
      <c r="E126" s="1" t="s">
        <v>31</v>
      </c>
      <c r="F126" s="1">
        <v>15</v>
      </c>
      <c r="G126" s="1">
        <v>11</v>
      </c>
      <c r="H126" s="1" t="s">
        <v>57</v>
      </c>
      <c r="I126" s="1" t="s">
        <v>42</v>
      </c>
      <c r="J126" s="1" t="s">
        <v>68</v>
      </c>
      <c r="K126" s="1" t="s">
        <v>214</v>
      </c>
    </row>
    <row r="127" spans="1:11" x14ac:dyDescent="0.25">
      <c r="A127" s="1" t="s">
        <v>213</v>
      </c>
      <c r="B127" s="1">
        <v>273</v>
      </c>
      <c r="C127" s="1" t="s">
        <v>12</v>
      </c>
      <c r="D127" s="1">
        <v>1</v>
      </c>
      <c r="E127" s="1" t="s">
        <v>44</v>
      </c>
      <c r="F127" s="1">
        <v>15</v>
      </c>
      <c r="G127" s="1">
        <v>10</v>
      </c>
      <c r="H127" s="1" t="s">
        <v>70</v>
      </c>
      <c r="I127" s="1" t="s">
        <v>46</v>
      </c>
      <c r="J127" s="1" t="s">
        <v>72</v>
      </c>
      <c r="K127" s="1" t="s">
        <v>214</v>
      </c>
    </row>
    <row r="128" spans="1:11" x14ac:dyDescent="0.25">
      <c r="A128" s="1" t="s">
        <v>213</v>
      </c>
      <c r="B128" s="1">
        <v>274</v>
      </c>
      <c r="C128" s="1" t="s">
        <v>12</v>
      </c>
      <c r="D128" s="1">
        <v>2</v>
      </c>
      <c r="E128" s="1" t="s">
        <v>44</v>
      </c>
      <c r="F128" s="1">
        <v>15</v>
      </c>
      <c r="G128" s="1">
        <v>11</v>
      </c>
      <c r="H128" s="1" t="s">
        <v>70</v>
      </c>
      <c r="I128" s="1" t="s">
        <v>46</v>
      </c>
      <c r="J128" s="1" t="s">
        <v>72</v>
      </c>
      <c r="K128" s="1" t="s">
        <v>214</v>
      </c>
    </row>
    <row r="129" spans="1:11" x14ac:dyDescent="0.25">
      <c r="A129" s="1" t="s">
        <v>213</v>
      </c>
      <c r="B129" s="1">
        <v>276</v>
      </c>
      <c r="C129" s="1" t="s">
        <v>18</v>
      </c>
      <c r="D129" s="1">
        <v>1</v>
      </c>
      <c r="E129" s="1" t="s">
        <v>44</v>
      </c>
      <c r="F129" s="1">
        <v>12</v>
      </c>
      <c r="G129" s="1">
        <v>15</v>
      </c>
      <c r="H129" s="1" t="s">
        <v>70</v>
      </c>
      <c r="I129" s="1" t="s">
        <v>49</v>
      </c>
      <c r="J129" s="1" t="s">
        <v>75</v>
      </c>
      <c r="K129" s="1" t="s">
        <v>214</v>
      </c>
    </row>
    <row r="130" spans="1:11" x14ac:dyDescent="0.25">
      <c r="A130" s="1" t="s">
        <v>213</v>
      </c>
      <c r="B130" s="1">
        <v>277</v>
      </c>
      <c r="C130" s="1" t="s">
        <v>18</v>
      </c>
      <c r="D130" s="1">
        <v>2</v>
      </c>
      <c r="E130" s="1" t="s">
        <v>44</v>
      </c>
      <c r="F130" s="1">
        <v>15</v>
      </c>
      <c r="G130" s="1">
        <v>13</v>
      </c>
      <c r="H130" s="1" t="s">
        <v>70</v>
      </c>
      <c r="I130" s="1" t="s">
        <v>49</v>
      </c>
      <c r="J130" s="1" t="s">
        <v>75</v>
      </c>
      <c r="K130" s="1" t="s">
        <v>214</v>
      </c>
    </row>
    <row r="131" spans="1:11" x14ac:dyDescent="0.25">
      <c r="A131" s="1" t="s">
        <v>213</v>
      </c>
      <c r="B131" s="1">
        <v>279</v>
      </c>
      <c r="C131" s="1" t="s">
        <v>21</v>
      </c>
      <c r="D131" s="1">
        <v>1</v>
      </c>
      <c r="E131" s="1" t="s">
        <v>44</v>
      </c>
      <c r="F131" s="1">
        <v>15</v>
      </c>
      <c r="G131" s="1">
        <v>12</v>
      </c>
      <c r="H131" s="1" t="s">
        <v>70</v>
      </c>
      <c r="I131" s="1" t="s">
        <v>51</v>
      </c>
      <c r="J131" s="1" t="s">
        <v>77</v>
      </c>
      <c r="K131" s="1" t="s">
        <v>214</v>
      </c>
    </row>
    <row r="132" spans="1:11" x14ac:dyDescent="0.25">
      <c r="A132" s="1" t="s">
        <v>213</v>
      </c>
      <c r="B132" s="1">
        <v>280</v>
      </c>
      <c r="C132" s="1" t="s">
        <v>21</v>
      </c>
      <c r="D132" s="1">
        <v>2</v>
      </c>
      <c r="E132" s="1" t="s">
        <v>44</v>
      </c>
      <c r="F132" s="1">
        <v>15</v>
      </c>
      <c r="G132" s="1">
        <v>13</v>
      </c>
      <c r="H132" s="1" t="s">
        <v>70</v>
      </c>
      <c r="I132" s="1" t="s">
        <v>51</v>
      </c>
      <c r="J132" s="1" t="s">
        <v>77</v>
      </c>
      <c r="K132" s="1" t="s">
        <v>214</v>
      </c>
    </row>
    <row r="133" spans="1:11" x14ac:dyDescent="0.25">
      <c r="A133" s="1" t="s">
        <v>213</v>
      </c>
      <c r="B133" s="1">
        <v>282</v>
      </c>
      <c r="C133" s="1" t="s">
        <v>24</v>
      </c>
      <c r="D133" s="1">
        <v>1</v>
      </c>
      <c r="E133" s="1" t="s">
        <v>44</v>
      </c>
      <c r="F133" s="1">
        <v>16</v>
      </c>
      <c r="G133" s="1">
        <v>14</v>
      </c>
      <c r="H133" s="1" t="s">
        <v>70</v>
      </c>
      <c r="I133" s="1" t="s">
        <v>53</v>
      </c>
      <c r="J133" s="1" t="s">
        <v>79</v>
      </c>
      <c r="K133" s="1" t="s">
        <v>214</v>
      </c>
    </row>
    <row r="134" spans="1:11" x14ac:dyDescent="0.25">
      <c r="A134" s="1" t="s">
        <v>213</v>
      </c>
      <c r="B134" s="1">
        <v>283</v>
      </c>
      <c r="C134" s="1" t="s">
        <v>24</v>
      </c>
      <c r="D134" s="1">
        <v>2</v>
      </c>
      <c r="E134" s="1" t="s">
        <v>44</v>
      </c>
      <c r="F134" s="1">
        <v>13</v>
      </c>
      <c r="G134" s="1">
        <v>15</v>
      </c>
      <c r="H134" s="1" t="s">
        <v>70</v>
      </c>
      <c r="I134" s="1" t="s">
        <v>53</v>
      </c>
      <c r="J134" s="1" t="s">
        <v>79</v>
      </c>
      <c r="K134" s="1" t="s">
        <v>214</v>
      </c>
    </row>
    <row r="135" spans="1:11" x14ac:dyDescent="0.25">
      <c r="A135" s="1" t="s">
        <v>213</v>
      </c>
      <c r="B135" s="1">
        <v>285</v>
      </c>
      <c r="C135" s="1" t="s">
        <v>27</v>
      </c>
      <c r="D135" s="1">
        <v>1</v>
      </c>
      <c r="E135" s="1" t="s">
        <v>44</v>
      </c>
      <c r="F135" s="1">
        <v>15</v>
      </c>
      <c r="G135" s="1">
        <v>7</v>
      </c>
      <c r="H135" s="1" t="s">
        <v>70</v>
      </c>
      <c r="I135" s="1" t="s">
        <v>55</v>
      </c>
      <c r="J135" s="1" t="s">
        <v>81</v>
      </c>
      <c r="K135" s="1" t="s">
        <v>214</v>
      </c>
    </row>
    <row r="136" spans="1:11" x14ac:dyDescent="0.25">
      <c r="A136" s="1" t="s">
        <v>213</v>
      </c>
      <c r="B136" s="1">
        <v>286</v>
      </c>
      <c r="C136" s="1" t="s">
        <v>27</v>
      </c>
      <c r="D136" s="1">
        <v>2</v>
      </c>
      <c r="E136" s="1" t="s">
        <v>44</v>
      </c>
      <c r="F136" s="1">
        <v>15</v>
      </c>
      <c r="G136" s="1">
        <v>11</v>
      </c>
      <c r="H136" s="1" t="s">
        <v>70</v>
      </c>
      <c r="I136" s="1" t="s">
        <v>55</v>
      </c>
      <c r="J136" s="1" t="s">
        <v>81</v>
      </c>
      <c r="K136" s="1" t="s">
        <v>214</v>
      </c>
    </row>
    <row r="137" spans="1:11" x14ac:dyDescent="0.25">
      <c r="A137" s="1" t="s">
        <v>207</v>
      </c>
      <c r="B137" s="1">
        <v>3</v>
      </c>
      <c r="C137" s="1" t="s">
        <v>12</v>
      </c>
      <c r="D137" s="1">
        <v>1</v>
      </c>
      <c r="E137" s="1" t="s">
        <v>194</v>
      </c>
      <c r="F137" s="1">
        <v>15</v>
      </c>
      <c r="G137" s="1">
        <v>10</v>
      </c>
      <c r="H137" s="1" t="s">
        <v>44</v>
      </c>
      <c r="I137" s="1" t="s">
        <v>196</v>
      </c>
      <c r="J137" s="1" t="s">
        <v>46</v>
      </c>
      <c r="K137" s="1" t="s">
        <v>208</v>
      </c>
    </row>
    <row r="138" spans="1:11" x14ac:dyDescent="0.25">
      <c r="A138" s="1" t="s">
        <v>207</v>
      </c>
      <c r="B138" s="1">
        <v>4</v>
      </c>
      <c r="C138" s="1" t="s">
        <v>12</v>
      </c>
      <c r="D138" s="1">
        <v>2</v>
      </c>
      <c r="E138" s="1" t="s">
        <v>194</v>
      </c>
      <c r="F138" s="1">
        <v>10</v>
      </c>
      <c r="G138" s="1">
        <v>12</v>
      </c>
      <c r="H138" s="1" t="s">
        <v>44</v>
      </c>
      <c r="I138" s="1" t="s">
        <v>196</v>
      </c>
      <c r="J138" s="1" t="s">
        <v>46</v>
      </c>
      <c r="K138" s="1" t="s">
        <v>208</v>
      </c>
    </row>
    <row r="139" spans="1:11" x14ac:dyDescent="0.25">
      <c r="A139" s="1" t="s">
        <v>207</v>
      </c>
      <c r="B139" s="1">
        <v>6</v>
      </c>
      <c r="C139" s="1" t="s">
        <v>18</v>
      </c>
      <c r="D139" s="1">
        <v>1</v>
      </c>
      <c r="E139" s="1" t="s">
        <v>194</v>
      </c>
      <c r="F139" s="1">
        <v>15</v>
      </c>
      <c r="G139" s="1">
        <v>8</v>
      </c>
      <c r="H139" s="1" t="s">
        <v>44</v>
      </c>
      <c r="I139" s="1" t="s">
        <v>199</v>
      </c>
      <c r="J139" s="1" t="s">
        <v>49</v>
      </c>
      <c r="K139" s="1" t="s">
        <v>208</v>
      </c>
    </row>
    <row r="140" spans="1:11" x14ac:dyDescent="0.25">
      <c r="A140" s="1" t="s">
        <v>207</v>
      </c>
      <c r="B140" s="1">
        <v>7</v>
      </c>
      <c r="C140" s="1" t="s">
        <v>18</v>
      </c>
      <c r="D140" s="1">
        <v>2</v>
      </c>
      <c r="E140" s="1" t="s">
        <v>194</v>
      </c>
      <c r="F140" s="1">
        <v>15</v>
      </c>
      <c r="G140" s="1">
        <v>8</v>
      </c>
      <c r="H140" s="1" t="s">
        <v>44</v>
      </c>
      <c r="I140" s="1" t="s">
        <v>199</v>
      </c>
      <c r="J140" s="1" t="s">
        <v>49</v>
      </c>
      <c r="K140" s="1" t="s">
        <v>208</v>
      </c>
    </row>
    <row r="141" spans="1:11" x14ac:dyDescent="0.25">
      <c r="A141" s="1" t="s">
        <v>207</v>
      </c>
      <c r="B141" s="1">
        <v>9</v>
      </c>
      <c r="C141" s="1" t="s">
        <v>21</v>
      </c>
      <c r="D141" s="1">
        <v>1</v>
      </c>
      <c r="E141" s="1" t="s">
        <v>194</v>
      </c>
      <c r="F141" s="1">
        <v>15</v>
      </c>
      <c r="G141" s="1">
        <v>6</v>
      </c>
      <c r="H141" s="1" t="s">
        <v>44</v>
      </c>
      <c r="I141" s="1" t="s">
        <v>201</v>
      </c>
      <c r="J141" s="1" t="s">
        <v>51</v>
      </c>
      <c r="K141" s="1" t="s">
        <v>208</v>
      </c>
    </row>
    <row r="142" spans="1:11" x14ac:dyDescent="0.25">
      <c r="A142" s="1" t="s">
        <v>207</v>
      </c>
      <c r="B142" s="1">
        <v>10</v>
      </c>
      <c r="C142" s="1" t="s">
        <v>21</v>
      </c>
      <c r="D142" s="1">
        <v>2</v>
      </c>
      <c r="E142" s="1" t="s">
        <v>194</v>
      </c>
      <c r="F142" s="1">
        <v>15</v>
      </c>
      <c r="G142" s="1">
        <v>10</v>
      </c>
      <c r="H142" s="1" t="s">
        <v>44</v>
      </c>
      <c r="I142" s="1" t="s">
        <v>201</v>
      </c>
      <c r="J142" s="1" t="s">
        <v>51</v>
      </c>
      <c r="K142" s="1" t="s">
        <v>208</v>
      </c>
    </row>
    <row r="143" spans="1:11" x14ac:dyDescent="0.25">
      <c r="A143" s="1" t="s">
        <v>207</v>
      </c>
      <c r="B143" s="1">
        <v>12</v>
      </c>
      <c r="C143" s="1" t="s">
        <v>24</v>
      </c>
      <c r="D143" s="1">
        <v>1</v>
      </c>
      <c r="E143" s="1" t="s">
        <v>194</v>
      </c>
      <c r="F143" s="1">
        <v>15</v>
      </c>
      <c r="G143" s="1">
        <v>6</v>
      </c>
      <c r="H143" s="1" t="s">
        <v>44</v>
      </c>
      <c r="I143" s="1" t="s">
        <v>203</v>
      </c>
      <c r="J143" s="1" t="s">
        <v>53</v>
      </c>
      <c r="K143" s="1" t="s">
        <v>208</v>
      </c>
    </row>
    <row r="144" spans="1:11" x14ac:dyDescent="0.25">
      <c r="A144" s="1" t="s">
        <v>207</v>
      </c>
      <c r="B144" s="1">
        <v>13</v>
      </c>
      <c r="C144" s="1" t="s">
        <v>24</v>
      </c>
      <c r="D144" s="1">
        <v>2</v>
      </c>
      <c r="E144" s="1" t="s">
        <v>194</v>
      </c>
      <c r="F144" s="1">
        <v>15</v>
      </c>
      <c r="G144" s="1">
        <v>8</v>
      </c>
      <c r="H144" s="1" t="s">
        <v>44</v>
      </c>
      <c r="I144" s="1" t="s">
        <v>203</v>
      </c>
      <c r="J144" s="1" t="s">
        <v>53</v>
      </c>
      <c r="K144" s="1" t="s">
        <v>208</v>
      </c>
    </row>
    <row r="145" spans="1:11" x14ac:dyDescent="0.25">
      <c r="A145" s="1" t="s">
        <v>207</v>
      </c>
      <c r="B145" s="1">
        <v>15</v>
      </c>
      <c r="C145" s="1" t="s">
        <v>27</v>
      </c>
      <c r="D145" s="1">
        <v>1</v>
      </c>
      <c r="E145" s="1" t="s">
        <v>194</v>
      </c>
      <c r="F145" s="1">
        <v>15</v>
      </c>
      <c r="G145" s="1">
        <v>3</v>
      </c>
      <c r="H145" s="1" t="s">
        <v>44</v>
      </c>
      <c r="I145" s="1" t="s">
        <v>205</v>
      </c>
      <c r="J145" s="1" t="s">
        <v>55</v>
      </c>
      <c r="K145" s="1" t="s">
        <v>208</v>
      </c>
    </row>
    <row r="146" spans="1:11" x14ac:dyDescent="0.25">
      <c r="A146" s="1" t="s">
        <v>207</v>
      </c>
      <c r="B146" s="1">
        <v>16</v>
      </c>
      <c r="C146" s="1" t="s">
        <v>27</v>
      </c>
      <c r="D146" s="1">
        <v>2</v>
      </c>
      <c r="E146" s="1" t="s">
        <v>194</v>
      </c>
      <c r="F146" s="1">
        <v>15</v>
      </c>
      <c r="G146" s="1">
        <v>9</v>
      </c>
      <c r="H146" s="1" t="s">
        <v>44</v>
      </c>
      <c r="I146" s="1" t="s">
        <v>205</v>
      </c>
      <c r="J146" s="1" t="s">
        <v>55</v>
      </c>
      <c r="K146" s="1" t="s">
        <v>208</v>
      </c>
    </row>
    <row r="147" spans="1:11" x14ac:dyDescent="0.25">
      <c r="A147" s="1" t="s">
        <v>207</v>
      </c>
      <c r="B147" s="1">
        <v>21</v>
      </c>
      <c r="C147" s="1" t="s">
        <v>12</v>
      </c>
      <c r="D147" s="1">
        <v>1</v>
      </c>
      <c r="E147" s="1" t="s">
        <v>195</v>
      </c>
      <c r="F147" s="1">
        <v>15</v>
      </c>
      <c r="G147" s="1">
        <v>7</v>
      </c>
      <c r="H147" s="1" t="s">
        <v>31</v>
      </c>
      <c r="I147" s="1" t="s">
        <v>197</v>
      </c>
      <c r="J147" s="1" t="s">
        <v>33</v>
      </c>
      <c r="K147" s="1" t="s">
        <v>208</v>
      </c>
    </row>
    <row r="148" spans="1:11" x14ac:dyDescent="0.25">
      <c r="A148" s="1" t="s">
        <v>207</v>
      </c>
      <c r="B148" s="1">
        <v>22</v>
      </c>
      <c r="C148" s="1" t="s">
        <v>12</v>
      </c>
      <c r="D148" s="1">
        <v>2</v>
      </c>
      <c r="E148" s="1" t="s">
        <v>195</v>
      </c>
      <c r="F148" s="1">
        <v>15</v>
      </c>
      <c r="G148" s="1">
        <v>13</v>
      </c>
      <c r="H148" s="1" t="s">
        <v>31</v>
      </c>
      <c r="I148" s="1" t="s">
        <v>197</v>
      </c>
      <c r="J148" s="1" t="s">
        <v>33</v>
      </c>
      <c r="K148" s="1" t="s">
        <v>208</v>
      </c>
    </row>
    <row r="149" spans="1:11" x14ac:dyDescent="0.25">
      <c r="A149" s="1" t="s">
        <v>207</v>
      </c>
      <c r="B149" s="1">
        <v>24</v>
      </c>
      <c r="C149" s="1" t="s">
        <v>18</v>
      </c>
      <c r="D149" s="1">
        <v>1</v>
      </c>
      <c r="E149" s="1" t="s">
        <v>195</v>
      </c>
      <c r="F149" s="1">
        <v>15</v>
      </c>
      <c r="G149" s="1">
        <v>7</v>
      </c>
      <c r="H149" s="1" t="s">
        <v>31</v>
      </c>
      <c r="I149" s="1" t="s">
        <v>200</v>
      </c>
      <c r="J149" s="1" t="s">
        <v>36</v>
      </c>
      <c r="K149" s="1" t="s">
        <v>208</v>
      </c>
    </row>
    <row r="150" spans="1:11" x14ac:dyDescent="0.25">
      <c r="A150" s="1" t="s">
        <v>207</v>
      </c>
      <c r="B150" s="1">
        <v>25</v>
      </c>
      <c r="C150" s="1" t="s">
        <v>18</v>
      </c>
      <c r="D150" s="1">
        <v>2</v>
      </c>
      <c r="E150" s="1" t="s">
        <v>195</v>
      </c>
      <c r="F150" s="1">
        <v>12</v>
      </c>
      <c r="G150" s="1">
        <v>9</v>
      </c>
      <c r="H150" s="1" t="s">
        <v>31</v>
      </c>
      <c r="I150" s="1" t="s">
        <v>200</v>
      </c>
      <c r="J150" s="1" t="s">
        <v>36</v>
      </c>
      <c r="K150" s="1" t="s">
        <v>208</v>
      </c>
    </row>
    <row r="151" spans="1:11" x14ac:dyDescent="0.25">
      <c r="A151" s="1" t="s">
        <v>207</v>
      </c>
      <c r="B151" s="1">
        <v>27</v>
      </c>
      <c r="C151" s="1" t="s">
        <v>21</v>
      </c>
      <c r="D151" s="1">
        <v>1</v>
      </c>
      <c r="E151" s="1" t="s">
        <v>195</v>
      </c>
      <c r="F151" s="1">
        <v>15</v>
      </c>
      <c r="G151" s="1">
        <v>8</v>
      </c>
      <c r="H151" s="1" t="s">
        <v>31</v>
      </c>
      <c r="I151" s="1" t="s">
        <v>202</v>
      </c>
      <c r="J151" s="1" t="s">
        <v>38</v>
      </c>
      <c r="K151" s="1" t="s">
        <v>208</v>
      </c>
    </row>
    <row r="152" spans="1:11" x14ac:dyDescent="0.25">
      <c r="A152" s="1" t="s">
        <v>207</v>
      </c>
      <c r="B152" s="1">
        <v>28</v>
      </c>
      <c r="C152" s="1" t="s">
        <v>21</v>
      </c>
      <c r="D152" s="1">
        <v>2</v>
      </c>
      <c r="E152" s="1" t="s">
        <v>195</v>
      </c>
      <c r="F152" s="1">
        <v>15</v>
      </c>
      <c r="G152" s="1">
        <v>7</v>
      </c>
      <c r="H152" s="1" t="s">
        <v>31</v>
      </c>
      <c r="I152" s="1" t="s">
        <v>202</v>
      </c>
      <c r="J152" s="1" t="s">
        <v>38</v>
      </c>
      <c r="K152" s="1" t="s">
        <v>208</v>
      </c>
    </row>
    <row r="153" spans="1:11" x14ac:dyDescent="0.25">
      <c r="A153" s="1" t="s">
        <v>207</v>
      </c>
      <c r="B153" s="1">
        <v>30</v>
      </c>
      <c r="C153" s="1" t="s">
        <v>24</v>
      </c>
      <c r="D153" s="1">
        <v>1</v>
      </c>
      <c r="E153" s="1" t="s">
        <v>195</v>
      </c>
      <c r="F153" s="1">
        <v>15</v>
      </c>
      <c r="G153" s="1">
        <v>5</v>
      </c>
      <c r="H153" s="1" t="s">
        <v>31</v>
      </c>
      <c r="I153" s="1" t="s">
        <v>204</v>
      </c>
      <c r="J153" s="1" t="s">
        <v>40</v>
      </c>
      <c r="K153" s="1" t="s">
        <v>208</v>
      </c>
    </row>
    <row r="154" spans="1:11" x14ac:dyDescent="0.25">
      <c r="A154" s="1" t="s">
        <v>207</v>
      </c>
      <c r="B154" s="1">
        <v>31</v>
      </c>
      <c r="C154" s="1" t="s">
        <v>24</v>
      </c>
      <c r="D154" s="1">
        <v>2</v>
      </c>
      <c r="E154" s="1" t="s">
        <v>195</v>
      </c>
      <c r="F154" s="1">
        <v>15</v>
      </c>
      <c r="G154" s="1">
        <v>12</v>
      </c>
      <c r="H154" s="1" t="s">
        <v>31</v>
      </c>
      <c r="I154" s="1" t="s">
        <v>204</v>
      </c>
      <c r="J154" s="1" t="s">
        <v>40</v>
      </c>
      <c r="K154" s="1" t="s">
        <v>208</v>
      </c>
    </row>
    <row r="155" spans="1:11" x14ac:dyDescent="0.25">
      <c r="A155" s="1" t="s">
        <v>207</v>
      </c>
      <c r="B155" s="1">
        <v>33</v>
      </c>
      <c r="C155" s="1" t="s">
        <v>27</v>
      </c>
      <c r="D155" s="1">
        <v>1</v>
      </c>
      <c r="E155" s="1" t="s">
        <v>195</v>
      </c>
      <c r="F155" s="1">
        <v>15</v>
      </c>
      <c r="G155" s="1">
        <v>2</v>
      </c>
      <c r="H155" s="1" t="s">
        <v>31</v>
      </c>
      <c r="I155" s="1" t="s">
        <v>206</v>
      </c>
      <c r="J155" s="1" t="s">
        <v>42</v>
      </c>
      <c r="K155" s="1" t="s">
        <v>208</v>
      </c>
    </row>
    <row r="156" spans="1:11" x14ac:dyDescent="0.25">
      <c r="A156" s="1" t="s">
        <v>207</v>
      </c>
      <c r="B156" s="1">
        <v>34</v>
      </c>
      <c r="C156" s="1" t="s">
        <v>27</v>
      </c>
      <c r="D156" s="1">
        <v>2</v>
      </c>
      <c r="E156" s="1" t="s">
        <v>195</v>
      </c>
      <c r="F156" s="1">
        <v>15</v>
      </c>
      <c r="G156" s="1">
        <v>4</v>
      </c>
      <c r="H156" s="1" t="s">
        <v>31</v>
      </c>
      <c r="I156" s="1" t="s">
        <v>206</v>
      </c>
      <c r="J156" s="1" t="s">
        <v>42</v>
      </c>
      <c r="K156" s="1" t="s">
        <v>208</v>
      </c>
    </row>
    <row r="157" spans="1:11" x14ac:dyDescent="0.25">
      <c r="A157" s="1" t="s">
        <v>207</v>
      </c>
      <c r="B157" s="1">
        <v>39</v>
      </c>
      <c r="C157" s="1" t="s">
        <v>12</v>
      </c>
      <c r="D157" s="1">
        <v>1</v>
      </c>
      <c r="E157" s="1" t="s">
        <v>146</v>
      </c>
      <c r="F157" s="1">
        <v>15</v>
      </c>
      <c r="G157" s="1">
        <v>8</v>
      </c>
      <c r="H157" s="1" t="s">
        <v>43</v>
      </c>
      <c r="I157" s="1" t="s">
        <v>148</v>
      </c>
      <c r="J157" s="1" t="s">
        <v>45</v>
      </c>
      <c r="K157" s="1" t="s">
        <v>208</v>
      </c>
    </row>
    <row r="158" spans="1:11" x14ac:dyDescent="0.25">
      <c r="A158" s="1" t="s">
        <v>207</v>
      </c>
      <c r="B158" s="1">
        <v>40</v>
      </c>
      <c r="C158" s="1" t="s">
        <v>12</v>
      </c>
      <c r="D158" s="1">
        <v>2</v>
      </c>
      <c r="E158" s="1" t="s">
        <v>146</v>
      </c>
      <c r="F158" s="1">
        <v>15</v>
      </c>
      <c r="G158" s="1">
        <v>9</v>
      </c>
      <c r="H158" s="1" t="s">
        <v>43</v>
      </c>
      <c r="I158" s="1" t="s">
        <v>148</v>
      </c>
      <c r="J158" s="1" t="s">
        <v>45</v>
      </c>
      <c r="K158" s="1" t="s">
        <v>208</v>
      </c>
    </row>
    <row r="159" spans="1:11" x14ac:dyDescent="0.25">
      <c r="A159" s="1" t="s">
        <v>207</v>
      </c>
      <c r="B159" s="1">
        <v>42</v>
      </c>
      <c r="C159" s="1" t="s">
        <v>18</v>
      </c>
      <c r="D159" s="1">
        <v>1</v>
      </c>
      <c r="E159" s="1" t="s">
        <v>146</v>
      </c>
      <c r="F159" s="1">
        <v>15</v>
      </c>
      <c r="G159" s="1">
        <v>9</v>
      </c>
      <c r="H159" s="1" t="s">
        <v>43</v>
      </c>
      <c r="I159" s="1" t="s">
        <v>151</v>
      </c>
      <c r="J159" s="1" t="s">
        <v>48</v>
      </c>
      <c r="K159" s="1" t="s">
        <v>208</v>
      </c>
    </row>
    <row r="160" spans="1:11" x14ac:dyDescent="0.25">
      <c r="A160" s="1" t="s">
        <v>207</v>
      </c>
      <c r="B160" s="1">
        <v>43</v>
      </c>
      <c r="C160" s="1" t="s">
        <v>18</v>
      </c>
      <c r="D160" s="1">
        <v>2</v>
      </c>
      <c r="E160" s="1" t="s">
        <v>146</v>
      </c>
      <c r="F160" s="1">
        <v>15</v>
      </c>
      <c r="G160" s="1">
        <v>7</v>
      </c>
      <c r="H160" s="1" t="s">
        <v>43</v>
      </c>
      <c r="I160" s="1" t="s">
        <v>151</v>
      </c>
      <c r="J160" s="1" t="s">
        <v>48</v>
      </c>
      <c r="K160" s="1" t="s">
        <v>208</v>
      </c>
    </row>
    <row r="161" spans="1:11" x14ac:dyDescent="0.25">
      <c r="A161" s="1" t="s">
        <v>207</v>
      </c>
      <c r="B161" s="1">
        <v>45</v>
      </c>
      <c r="C161" s="1" t="s">
        <v>21</v>
      </c>
      <c r="D161" s="1">
        <v>1</v>
      </c>
      <c r="E161" s="1" t="s">
        <v>146</v>
      </c>
      <c r="F161" s="1">
        <v>15</v>
      </c>
      <c r="G161" s="1">
        <v>9</v>
      </c>
      <c r="H161" s="1" t="s">
        <v>43</v>
      </c>
      <c r="I161" s="1" t="s">
        <v>153</v>
      </c>
      <c r="J161" s="1" t="s">
        <v>50</v>
      </c>
      <c r="K161" s="1" t="s">
        <v>208</v>
      </c>
    </row>
    <row r="162" spans="1:11" x14ac:dyDescent="0.25">
      <c r="A162" s="1" t="s">
        <v>207</v>
      </c>
      <c r="B162" s="1">
        <v>46</v>
      </c>
      <c r="C162" s="1" t="s">
        <v>21</v>
      </c>
      <c r="D162" s="1">
        <v>2</v>
      </c>
      <c r="E162" s="1" t="s">
        <v>146</v>
      </c>
      <c r="F162" s="1">
        <v>15</v>
      </c>
      <c r="G162" s="1">
        <v>6</v>
      </c>
      <c r="H162" s="1" t="s">
        <v>43</v>
      </c>
      <c r="I162" s="1" t="s">
        <v>153</v>
      </c>
      <c r="J162" s="1" t="s">
        <v>50</v>
      </c>
      <c r="K162" s="1" t="s">
        <v>208</v>
      </c>
    </row>
    <row r="163" spans="1:11" x14ac:dyDescent="0.25">
      <c r="A163" s="1" t="s">
        <v>207</v>
      </c>
      <c r="B163" s="1">
        <v>48</v>
      </c>
      <c r="C163" s="1" t="s">
        <v>24</v>
      </c>
      <c r="D163" s="1">
        <v>1</v>
      </c>
      <c r="E163" s="1" t="s">
        <v>146</v>
      </c>
      <c r="F163" s="1">
        <v>15</v>
      </c>
      <c r="G163" s="1">
        <v>8</v>
      </c>
      <c r="H163" s="1" t="s">
        <v>43</v>
      </c>
      <c r="I163" s="1" t="s">
        <v>209</v>
      </c>
      <c r="J163" s="1" t="s">
        <v>52</v>
      </c>
      <c r="K163" s="1" t="s">
        <v>208</v>
      </c>
    </row>
    <row r="164" spans="1:11" x14ac:dyDescent="0.25">
      <c r="A164" s="1" t="s">
        <v>207</v>
      </c>
      <c r="B164" s="1">
        <v>49</v>
      </c>
      <c r="C164" s="1" t="s">
        <v>24</v>
      </c>
      <c r="D164" s="1">
        <v>2</v>
      </c>
      <c r="E164" s="1" t="s">
        <v>146</v>
      </c>
      <c r="F164" s="1">
        <v>15</v>
      </c>
      <c r="G164" s="1">
        <v>6</v>
      </c>
      <c r="H164" s="1" t="s">
        <v>43</v>
      </c>
      <c r="I164" s="1" t="s">
        <v>209</v>
      </c>
      <c r="J164" s="1" t="s">
        <v>52</v>
      </c>
      <c r="K164" s="1" t="s">
        <v>208</v>
      </c>
    </row>
    <row r="165" spans="1:11" x14ac:dyDescent="0.25">
      <c r="A165" s="1" t="s">
        <v>207</v>
      </c>
      <c r="B165" s="1">
        <v>51</v>
      </c>
      <c r="C165" s="1" t="s">
        <v>27</v>
      </c>
      <c r="D165" s="1">
        <v>1</v>
      </c>
      <c r="E165" s="1" t="s">
        <v>146</v>
      </c>
      <c r="F165" s="1">
        <v>15</v>
      </c>
      <c r="G165" s="1">
        <v>1</v>
      </c>
      <c r="H165" s="1" t="s">
        <v>43</v>
      </c>
      <c r="I165" s="1" t="s">
        <v>210</v>
      </c>
      <c r="J165" s="1" t="s">
        <v>54</v>
      </c>
      <c r="K165" s="1" t="s">
        <v>208</v>
      </c>
    </row>
    <row r="166" spans="1:11" x14ac:dyDescent="0.25">
      <c r="A166" s="1" t="s">
        <v>207</v>
      </c>
      <c r="B166" s="1">
        <v>52</v>
      </c>
      <c r="C166" s="1" t="s">
        <v>27</v>
      </c>
      <c r="D166" s="1">
        <v>2</v>
      </c>
      <c r="E166" s="1" t="s">
        <v>146</v>
      </c>
      <c r="F166" s="1">
        <v>15</v>
      </c>
      <c r="G166" s="1">
        <v>4</v>
      </c>
      <c r="H166" s="1" t="s">
        <v>43</v>
      </c>
      <c r="I166" s="1" t="s">
        <v>210</v>
      </c>
      <c r="J166" s="1" t="s">
        <v>54</v>
      </c>
      <c r="K166" s="1" t="s">
        <v>208</v>
      </c>
    </row>
    <row r="167" spans="1:11" x14ac:dyDescent="0.25">
      <c r="A167" s="1" t="s">
        <v>207</v>
      </c>
      <c r="B167" s="1">
        <v>57</v>
      </c>
      <c r="C167" s="1" t="s">
        <v>12</v>
      </c>
      <c r="D167" s="1">
        <v>1</v>
      </c>
      <c r="E167" s="1" t="s">
        <v>147</v>
      </c>
      <c r="F167" s="1">
        <v>13</v>
      </c>
      <c r="G167" s="1">
        <v>15</v>
      </c>
      <c r="H167" s="1" t="s">
        <v>181</v>
      </c>
      <c r="I167" s="1" t="s">
        <v>149</v>
      </c>
      <c r="J167" s="1" t="s">
        <v>183</v>
      </c>
      <c r="K167" s="1" t="s">
        <v>208</v>
      </c>
    </row>
    <row r="168" spans="1:11" x14ac:dyDescent="0.25">
      <c r="A168" s="1" t="s">
        <v>207</v>
      </c>
      <c r="B168" s="1">
        <v>58</v>
      </c>
      <c r="C168" s="1" t="s">
        <v>12</v>
      </c>
      <c r="D168" s="1">
        <v>2</v>
      </c>
      <c r="E168" s="1" t="s">
        <v>147</v>
      </c>
      <c r="F168" s="1">
        <v>13</v>
      </c>
      <c r="G168" s="1">
        <v>15</v>
      </c>
      <c r="H168" s="1" t="s">
        <v>181</v>
      </c>
      <c r="I168" s="1" t="s">
        <v>149</v>
      </c>
      <c r="J168" s="1" t="s">
        <v>183</v>
      </c>
      <c r="K168" s="1" t="s">
        <v>208</v>
      </c>
    </row>
    <row r="169" spans="1:11" x14ac:dyDescent="0.25">
      <c r="A169" s="1" t="s">
        <v>207</v>
      </c>
      <c r="B169" s="1">
        <v>60</v>
      </c>
      <c r="C169" s="1" t="s">
        <v>18</v>
      </c>
      <c r="D169" s="1">
        <v>1</v>
      </c>
      <c r="E169" s="1" t="s">
        <v>147</v>
      </c>
      <c r="F169" s="1">
        <v>15</v>
      </c>
      <c r="G169" s="1">
        <v>9</v>
      </c>
      <c r="H169" s="1" t="s">
        <v>181</v>
      </c>
      <c r="I169" s="1" t="s">
        <v>152</v>
      </c>
      <c r="J169" s="1" t="s">
        <v>186</v>
      </c>
      <c r="K169" s="1" t="s">
        <v>208</v>
      </c>
    </row>
    <row r="170" spans="1:11" x14ac:dyDescent="0.25">
      <c r="A170" s="1" t="s">
        <v>207</v>
      </c>
      <c r="B170" s="1">
        <v>61</v>
      </c>
      <c r="C170" s="1" t="s">
        <v>18</v>
      </c>
      <c r="D170" s="1">
        <v>2</v>
      </c>
      <c r="E170" s="1" t="s">
        <v>147</v>
      </c>
      <c r="F170" s="1">
        <v>15</v>
      </c>
      <c r="G170" s="1">
        <v>10</v>
      </c>
      <c r="H170" s="1" t="s">
        <v>181</v>
      </c>
      <c r="I170" s="1" t="s">
        <v>152</v>
      </c>
      <c r="J170" s="1" t="s">
        <v>186</v>
      </c>
      <c r="K170" s="1" t="s">
        <v>208</v>
      </c>
    </row>
    <row r="171" spans="1:11" x14ac:dyDescent="0.25">
      <c r="A171" s="1" t="s">
        <v>207</v>
      </c>
      <c r="B171" s="1">
        <v>63</v>
      </c>
      <c r="C171" s="1" t="s">
        <v>21</v>
      </c>
      <c r="D171" s="1">
        <v>1</v>
      </c>
      <c r="E171" s="1" t="s">
        <v>147</v>
      </c>
      <c r="F171" s="1">
        <v>13</v>
      </c>
      <c r="G171" s="1">
        <v>15</v>
      </c>
      <c r="H171" s="1" t="s">
        <v>181</v>
      </c>
      <c r="I171" s="1" t="s">
        <v>154</v>
      </c>
      <c r="J171" s="1" t="s">
        <v>188</v>
      </c>
      <c r="K171" s="1" t="s">
        <v>208</v>
      </c>
    </row>
    <row r="172" spans="1:11" x14ac:dyDescent="0.25">
      <c r="A172" s="1" t="s">
        <v>207</v>
      </c>
      <c r="B172" s="1">
        <v>64</v>
      </c>
      <c r="C172" s="1" t="s">
        <v>21</v>
      </c>
      <c r="D172" s="1">
        <v>2</v>
      </c>
      <c r="E172" s="1" t="s">
        <v>147</v>
      </c>
      <c r="F172" s="1">
        <v>15</v>
      </c>
      <c r="G172" s="1">
        <v>12</v>
      </c>
      <c r="H172" s="1" t="s">
        <v>181</v>
      </c>
      <c r="I172" s="1" t="s">
        <v>154</v>
      </c>
      <c r="J172" s="1" t="s">
        <v>188</v>
      </c>
      <c r="K172" s="1" t="s">
        <v>208</v>
      </c>
    </row>
    <row r="173" spans="1:11" x14ac:dyDescent="0.25">
      <c r="A173" s="1" t="s">
        <v>207</v>
      </c>
      <c r="B173" s="1">
        <v>65</v>
      </c>
      <c r="C173" s="1" t="s">
        <v>21</v>
      </c>
      <c r="D173" s="1">
        <v>3</v>
      </c>
      <c r="E173" s="1" t="s">
        <v>147</v>
      </c>
      <c r="F173" s="1">
        <v>15</v>
      </c>
      <c r="G173" s="1">
        <v>17</v>
      </c>
      <c r="H173" s="1" t="s">
        <v>181</v>
      </c>
      <c r="I173" s="1" t="s">
        <v>154</v>
      </c>
      <c r="J173" s="1" t="s">
        <v>188</v>
      </c>
      <c r="K173" s="1" t="s">
        <v>208</v>
      </c>
    </row>
    <row r="174" spans="1:11" x14ac:dyDescent="0.25">
      <c r="A174" s="1" t="s">
        <v>207</v>
      </c>
      <c r="B174" s="1">
        <v>66</v>
      </c>
      <c r="C174" s="1" t="s">
        <v>24</v>
      </c>
      <c r="D174" s="1">
        <v>1</v>
      </c>
      <c r="E174" s="1" t="s">
        <v>147</v>
      </c>
      <c r="F174" s="1">
        <v>15</v>
      </c>
      <c r="G174" s="1">
        <v>11</v>
      </c>
      <c r="H174" s="1" t="s">
        <v>181</v>
      </c>
      <c r="I174" s="1" t="s">
        <v>211</v>
      </c>
      <c r="J174" s="1" t="s">
        <v>190</v>
      </c>
      <c r="K174" s="1" t="s">
        <v>208</v>
      </c>
    </row>
    <row r="175" spans="1:11" x14ac:dyDescent="0.25">
      <c r="A175" s="1" t="s">
        <v>207</v>
      </c>
      <c r="B175" s="1">
        <v>67</v>
      </c>
      <c r="C175" s="1" t="s">
        <v>24</v>
      </c>
      <c r="D175" s="1">
        <v>2</v>
      </c>
      <c r="E175" s="1" t="s">
        <v>147</v>
      </c>
      <c r="F175" s="1">
        <v>13</v>
      </c>
      <c r="G175" s="1">
        <v>15</v>
      </c>
      <c r="H175" s="1" t="s">
        <v>181</v>
      </c>
      <c r="I175" s="1" t="s">
        <v>211</v>
      </c>
      <c r="J175" s="1" t="s">
        <v>190</v>
      </c>
      <c r="K175" s="1" t="s">
        <v>208</v>
      </c>
    </row>
    <row r="176" spans="1:11" x14ac:dyDescent="0.25">
      <c r="A176" s="1" t="s">
        <v>207</v>
      </c>
      <c r="B176" s="1">
        <v>68</v>
      </c>
      <c r="C176" s="1" t="s">
        <v>24</v>
      </c>
      <c r="D176" s="1">
        <v>3</v>
      </c>
      <c r="E176" s="1" t="s">
        <v>147</v>
      </c>
      <c r="F176" s="1">
        <v>21</v>
      </c>
      <c r="G176" s="1">
        <v>19</v>
      </c>
      <c r="H176" s="1" t="s">
        <v>181</v>
      </c>
      <c r="I176" s="1" t="s">
        <v>211</v>
      </c>
      <c r="J176" s="1" t="s">
        <v>190</v>
      </c>
      <c r="K176" s="1" t="s">
        <v>208</v>
      </c>
    </row>
    <row r="177" spans="1:11" x14ac:dyDescent="0.25">
      <c r="A177" s="1" t="s">
        <v>207</v>
      </c>
      <c r="B177" s="1">
        <v>69</v>
      </c>
      <c r="C177" s="1" t="s">
        <v>27</v>
      </c>
      <c r="D177" s="1">
        <v>1</v>
      </c>
      <c r="E177" s="1" t="s">
        <v>147</v>
      </c>
      <c r="F177" s="1">
        <v>15</v>
      </c>
      <c r="G177" s="1">
        <v>11</v>
      </c>
      <c r="H177" s="1" t="s">
        <v>181</v>
      </c>
      <c r="I177" s="1" t="s">
        <v>212</v>
      </c>
      <c r="J177" s="1" t="s">
        <v>192</v>
      </c>
      <c r="K177" s="1" t="s">
        <v>208</v>
      </c>
    </row>
    <row r="178" spans="1:11" x14ac:dyDescent="0.25">
      <c r="A178" s="1" t="s">
        <v>207</v>
      </c>
      <c r="B178" s="1">
        <v>70</v>
      </c>
      <c r="C178" s="1" t="s">
        <v>27</v>
      </c>
      <c r="D178" s="1">
        <v>2</v>
      </c>
      <c r="E178" s="1" t="s">
        <v>147</v>
      </c>
      <c r="F178" s="1">
        <v>15</v>
      </c>
      <c r="G178" s="1">
        <v>12</v>
      </c>
      <c r="H178" s="1" t="s">
        <v>181</v>
      </c>
      <c r="I178" s="1" t="s">
        <v>212</v>
      </c>
      <c r="J178" s="1" t="s">
        <v>192</v>
      </c>
      <c r="K178" s="1" t="s">
        <v>208</v>
      </c>
    </row>
    <row r="179" spans="1:11" x14ac:dyDescent="0.25">
      <c r="A179" s="1" t="s">
        <v>207</v>
      </c>
      <c r="B179" s="1">
        <v>75</v>
      </c>
      <c r="C179" s="1" t="s">
        <v>12</v>
      </c>
      <c r="D179" s="1">
        <v>1</v>
      </c>
      <c r="E179" s="1" t="s">
        <v>155</v>
      </c>
      <c r="F179" s="1">
        <v>15</v>
      </c>
      <c r="G179" s="1">
        <v>17</v>
      </c>
      <c r="H179" s="1" t="s">
        <v>30</v>
      </c>
      <c r="I179" s="1" t="s">
        <v>157</v>
      </c>
      <c r="J179" s="1" t="s">
        <v>32</v>
      </c>
      <c r="K179" s="1" t="s">
        <v>208</v>
      </c>
    </row>
    <row r="180" spans="1:11" x14ac:dyDescent="0.25">
      <c r="A180" s="1" t="s">
        <v>207</v>
      </c>
      <c r="B180" s="1">
        <v>76</v>
      </c>
      <c r="C180" s="1" t="s">
        <v>12</v>
      </c>
      <c r="D180" s="1">
        <v>2</v>
      </c>
      <c r="E180" s="1" t="s">
        <v>155</v>
      </c>
      <c r="F180" s="1">
        <v>15</v>
      </c>
      <c r="G180" s="1">
        <v>12</v>
      </c>
      <c r="H180" s="1" t="s">
        <v>30</v>
      </c>
      <c r="I180" s="1" t="s">
        <v>157</v>
      </c>
      <c r="J180" s="1" t="s">
        <v>32</v>
      </c>
      <c r="K180" s="1" t="s">
        <v>208</v>
      </c>
    </row>
    <row r="181" spans="1:11" x14ac:dyDescent="0.25">
      <c r="A181" s="1" t="s">
        <v>207</v>
      </c>
      <c r="B181" s="1">
        <v>77</v>
      </c>
      <c r="C181" s="1" t="s">
        <v>12</v>
      </c>
      <c r="D181" s="1">
        <v>3</v>
      </c>
      <c r="E181" s="1" t="s">
        <v>155</v>
      </c>
      <c r="F181" s="1">
        <v>19</v>
      </c>
      <c r="G181" s="1">
        <v>21</v>
      </c>
      <c r="H181" s="1" t="s">
        <v>30</v>
      </c>
      <c r="I181" s="1" t="s">
        <v>157</v>
      </c>
      <c r="J181" s="1" t="s">
        <v>32</v>
      </c>
      <c r="K181" s="1" t="s">
        <v>208</v>
      </c>
    </row>
    <row r="182" spans="1:11" x14ac:dyDescent="0.25">
      <c r="A182" s="1" t="s">
        <v>207</v>
      </c>
      <c r="B182" s="1">
        <v>78</v>
      </c>
      <c r="C182" s="1" t="s">
        <v>18</v>
      </c>
      <c r="D182" s="1">
        <v>1</v>
      </c>
      <c r="E182" s="1" t="s">
        <v>155</v>
      </c>
      <c r="F182" s="1">
        <v>15</v>
      </c>
      <c r="G182" s="1">
        <v>6</v>
      </c>
      <c r="H182" s="1" t="s">
        <v>30</v>
      </c>
      <c r="I182" s="1" t="s">
        <v>160</v>
      </c>
      <c r="J182" s="1" t="s">
        <v>35</v>
      </c>
      <c r="K182" s="1" t="s">
        <v>208</v>
      </c>
    </row>
    <row r="183" spans="1:11" x14ac:dyDescent="0.25">
      <c r="A183" s="1" t="s">
        <v>207</v>
      </c>
      <c r="B183" s="1">
        <v>79</v>
      </c>
      <c r="C183" s="1" t="s">
        <v>18</v>
      </c>
      <c r="D183" s="1">
        <v>2</v>
      </c>
      <c r="E183" s="1" t="s">
        <v>155</v>
      </c>
      <c r="F183" s="1">
        <v>21</v>
      </c>
      <c r="G183" s="1">
        <v>20</v>
      </c>
      <c r="H183" s="1" t="s">
        <v>30</v>
      </c>
      <c r="I183" s="1" t="s">
        <v>160</v>
      </c>
      <c r="J183" s="1" t="s">
        <v>35</v>
      </c>
      <c r="K183" s="1" t="s">
        <v>208</v>
      </c>
    </row>
    <row r="184" spans="1:11" x14ac:dyDescent="0.25">
      <c r="A184" s="1" t="s">
        <v>207</v>
      </c>
      <c r="B184" s="1">
        <v>81</v>
      </c>
      <c r="C184" s="1" t="s">
        <v>21</v>
      </c>
      <c r="D184" s="1">
        <v>1</v>
      </c>
      <c r="E184" s="1" t="s">
        <v>155</v>
      </c>
      <c r="F184" s="1">
        <v>21</v>
      </c>
      <c r="G184" s="1">
        <v>20</v>
      </c>
      <c r="H184" s="1" t="s">
        <v>30</v>
      </c>
      <c r="I184" s="1" t="s">
        <v>162</v>
      </c>
      <c r="J184" s="1" t="s">
        <v>37</v>
      </c>
      <c r="K184" s="1" t="s">
        <v>208</v>
      </c>
    </row>
    <row r="185" spans="1:11" x14ac:dyDescent="0.25">
      <c r="A185" s="1" t="s">
        <v>207</v>
      </c>
      <c r="B185" s="1">
        <v>82</v>
      </c>
      <c r="C185" s="1" t="s">
        <v>21</v>
      </c>
      <c r="D185" s="1">
        <v>2</v>
      </c>
      <c r="E185" s="1" t="s">
        <v>155</v>
      </c>
      <c r="F185" s="1">
        <v>12</v>
      </c>
      <c r="G185" s="1">
        <v>15</v>
      </c>
      <c r="H185" s="1" t="s">
        <v>30</v>
      </c>
      <c r="I185" s="1" t="s">
        <v>162</v>
      </c>
      <c r="J185" s="1" t="s">
        <v>37</v>
      </c>
      <c r="K185" s="1" t="s">
        <v>208</v>
      </c>
    </row>
    <row r="186" spans="1:11" x14ac:dyDescent="0.25">
      <c r="A186" s="1" t="s">
        <v>207</v>
      </c>
      <c r="B186" s="1">
        <v>84</v>
      </c>
      <c r="C186" s="1" t="s">
        <v>24</v>
      </c>
      <c r="D186" s="1">
        <v>1</v>
      </c>
      <c r="E186" s="1" t="s">
        <v>155</v>
      </c>
      <c r="F186" s="1">
        <v>15</v>
      </c>
      <c r="G186" s="1">
        <v>12</v>
      </c>
      <c r="H186" s="1" t="s">
        <v>30</v>
      </c>
      <c r="I186" s="1" t="s">
        <v>164</v>
      </c>
      <c r="J186" s="1" t="s">
        <v>39</v>
      </c>
      <c r="K186" s="1" t="s">
        <v>208</v>
      </c>
    </row>
    <row r="187" spans="1:11" x14ac:dyDescent="0.25">
      <c r="A187" s="1" t="s">
        <v>207</v>
      </c>
      <c r="B187" s="1">
        <v>85</v>
      </c>
      <c r="C187" s="1" t="s">
        <v>24</v>
      </c>
      <c r="D187" s="1">
        <v>2</v>
      </c>
      <c r="E187" s="1" t="s">
        <v>155</v>
      </c>
      <c r="F187" s="1">
        <v>13</v>
      </c>
      <c r="G187" s="1">
        <v>15</v>
      </c>
      <c r="H187" s="1" t="s">
        <v>30</v>
      </c>
      <c r="I187" s="1" t="s">
        <v>164</v>
      </c>
      <c r="J187" s="1" t="s">
        <v>39</v>
      </c>
      <c r="K187" s="1" t="s">
        <v>208</v>
      </c>
    </row>
    <row r="188" spans="1:11" x14ac:dyDescent="0.25">
      <c r="A188" s="1" t="s">
        <v>207</v>
      </c>
      <c r="B188" s="1">
        <v>86</v>
      </c>
      <c r="C188" s="1" t="s">
        <v>24</v>
      </c>
      <c r="D188" s="1">
        <v>3</v>
      </c>
      <c r="E188" s="1" t="s">
        <v>155</v>
      </c>
      <c r="F188" s="1">
        <v>15</v>
      </c>
      <c r="G188" s="1">
        <v>13</v>
      </c>
      <c r="H188" s="1" t="s">
        <v>30</v>
      </c>
      <c r="I188" s="1" t="s">
        <v>164</v>
      </c>
      <c r="J188" s="1" t="s">
        <v>39</v>
      </c>
      <c r="K188" s="1" t="s">
        <v>208</v>
      </c>
    </row>
    <row r="189" spans="1:11" x14ac:dyDescent="0.25">
      <c r="A189" s="1" t="s">
        <v>207</v>
      </c>
      <c r="B189" s="1">
        <v>87</v>
      </c>
      <c r="C189" s="1" t="s">
        <v>27</v>
      </c>
      <c r="D189" s="1">
        <v>1</v>
      </c>
      <c r="E189" s="1" t="s">
        <v>155</v>
      </c>
      <c r="F189" s="1">
        <v>15</v>
      </c>
      <c r="G189" s="1">
        <v>11</v>
      </c>
      <c r="H189" s="1" t="s">
        <v>30</v>
      </c>
      <c r="I189" s="1" t="s">
        <v>166</v>
      </c>
      <c r="J189" s="1" t="s">
        <v>41</v>
      </c>
      <c r="K189" s="1" t="s">
        <v>208</v>
      </c>
    </row>
    <row r="190" spans="1:11" x14ac:dyDescent="0.25">
      <c r="A190" s="1" t="s">
        <v>207</v>
      </c>
      <c r="B190" s="1">
        <v>88</v>
      </c>
      <c r="C190" s="1" t="s">
        <v>27</v>
      </c>
      <c r="D190" s="1">
        <v>2</v>
      </c>
      <c r="E190" s="1" t="s">
        <v>155</v>
      </c>
      <c r="F190" s="1">
        <v>15</v>
      </c>
      <c r="G190" s="1">
        <v>10</v>
      </c>
      <c r="H190" s="1" t="s">
        <v>30</v>
      </c>
      <c r="I190" s="1" t="s">
        <v>166</v>
      </c>
      <c r="J190" s="1" t="s">
        <v>41</v>
      </c>
      <c r="K190" s="1" t="s">
        <v>208</v>
      </c>
    </row>
    <row r="191" spans="1:11" x14ac:dyDescent="0.25">
      <c r="A191" s="1" t="s">
        <v>207</v>
      </c>
      <c r="B191" s="1">
        <v>93</v>
      </c>
      <c r="C191" s="1" t="s">
        <v>12</v>
      </c>
      <c r="D191" s="1">
        <v>1</v>
      </c>
      <c r="E191" s="1" t="s">
        <v>156</v>
      </c>
      <c r="F191" s="1">
        <v>13</v>
      </c>
      <c r="G191" s="1">
        <v>15</v>
      </c>
      <c r="H191" s="1" t="s">
        <v>13</v>
      </c>
      <c r="I191" s="1" t="s">
        <v>158</v>
      </c>
      <c r="J191" s="1" t="s">
        <v>15</v>
      </c>
      <c r="K191" s="1" t="s">
        <v>208</v>
      </c>
    </row>
    <row r="192" spans="1:11" x14ac:dyDescent="0.25">
      <c r="A192" s="1" t="s">
        <v>207</v>
      </c>
      <c r="B192" s="1">
        <v>94</v>
      </c>
      <c r="C192" s="1" t="s">
        <v>12</v>
      </c>
      <c r="D192" s="1">
        <v>2</v>
      </c>
      <c r="E192" s="1" t="s">
        <v>156</v>
      </c>
      <c r="F192" s="1">
        <v>15</v>
      </c>
      <c r="G192" s="1">
        <v>13</v>
      </c>
      <c r="H192" s="1" t="s">
        <v>13</v>
      </c>
      <c r="I192" s="1" t="s">
        <v>158</v>
      </c>
      <c r="J192" s="1" t="s">
        <v>15</v>
      </c>
      <c r="K192" s="1" t="s">
        <v>208</v>
      </c>
    </row>
    <row r="193" spans="1:11" x14ac:dyDescent="0.25">
      <c r="A193" s="1" t="s">
        <v>207</v>
      </c>
      <c r="B193" s="1">
        <v>95</v>
      </c>
      <c r="C193" s="1" t="s">
        <v>12</v>
      </c>
      <c r="D193" s="1">
        <v>3</v>
      </c>
      <c r="E193" s="1" t="s">
        <v>156</v>
      </c>
      <c r="F193" s="1">
        <v>2</v>
      </c>
      <c r="G193" s="1">
        <v>0</v>
      </c>
      <c r="H193" s="1" t="s">
        <v>13</v>
      </c>
      <c r="I193" s="1" t="s">
        <v>158</v>
      </c>
      <c r="J193" s="1" t="s">
        <v>15</v>
      </c>
      <c r="K193" s="1" t="s">
        <v>208</v>
      </c>
    </row>
    <row r="194" spans="1:11" x14ac:dyDescent="0.25">
      <c r="A194" s="1" t="s">
        <v>207</v>
      </c>
      <c r="B194" s="1">
        <v>96</v>
      </c>
      <c r="C194" s="1" t="s">
        <v>18</v>
      </c>
      <c r="D194" s="1">
        <v>1</v>
      </c>
      <c r="E194" s="1" t="s">
        <v>156</v>
      </c>
      <c r="F194" s="1">
        <v>7</v>
      </c>
      <c r="G194" s="1">
        <v>15</v>
      </c>
      <c r="H194" s="1" t="s">
        <v>13</v>
      </c>
      <c r="I194" s="1" t="s">
        <v>161</v>
      </c>
      <c r="J194" s="1" t="s">
        <v>19</v>
      </c>
      <c r="K194" s="1" t="s">
        <v>208</v>
      </c>
    </row>
    <row r="195" spans="1:11" x14ac:dyDescent="0.25">
      <c r="A195" s="1" t="s">
        <v>207</v>
      </c>
      <c r="B195" s="1">
        <v>97</v>
      </c>
      <c r="C195" s="1" t="s">
        <v>18</v>
      </c>
      <c r="D195" s="1">
        <v>2</v>
      </c>
      <c r="E195" s="1" t="s">
        <v>156</v>
      </c>
      <c r="F195" s="1">
        <v>15</v>
      </c>
      <c r="G195" s="1">
        <v>11</v>
      </c>
      <c r="H195" s="1" t="s">
        <v>13</v>
      </c>
      <c r="I195" s="1" t="s">
        <v>161</v>
      </c>
      <c r="J195" s="1" t="s">
        <v>19</v>
      </c>
      <c r="K195" s="1" t="s">
        <v>208</v>
      </c>
    </row>
    <row r="196" spans="1:11" x14ac:dyDescent="0.25">
      <c r="A196" s="1" t="s">
        <v>207</v>
      </c>
      <c r="B196" s="1">
        <v>98</v>
      </c>
      <c r="C196" s="1" t="s">
        <v>18</v>
      </c>
      <c r="D196" s="1">
        <v>3</v>
      </c>
      <c r="E196" s="1" t="s">
        <v>156</v>
      </c>
      <c r="F196" s="1">
        <v>6</v>
      </c>
      <c r="G196" s="1">
        <v>7</v>
      </c>
      <c r="H196" s="1" t="s">
        <v>13</v>
      </c>
      <c r="I196" s="1" t="s">
        <v>161</v>
      </c>
      <c r="J196" s="1" t="s">
        <v>19</v>
      </c>
      <c r="K196" s="1" t="s">
        <v>208</v>
      </c>
    </row>
    <row r="197" spans="1:11" x14ac:dyDescent="0.25">
      <c r="A197" s="1" t="s">
        <v>207</v>
      </c>
      <c r="B197" s="1">
        <v>99</v>
      </c>
      <c r="C197" s="1" t="s">
        <v>21</v>
      </c>
      <c r="D197" s="1">
        <v>1</v>
      </c>
      <c r="E197" s="1" t="s">
        <v>156</v>
      </c>
      <c r="F197" s="1">
        <v>15</v>
      </c>
      <c r="G197" s="1">
        <v>13</v>
      </c>
      <c r="H197" s="1" t="s">
        <v>13</v>
      </c>
      <c r="I197" s="1" t="s">
        <v>163</v>
      </c>
      <c r="J197" s="1" t="s">
        <v>22</v>
      </c>
      <c r="K197" s="1" t="s">
        <v>208</v>
      </c>
    </row>
    <row r="198" spans="1:11" x14ac:dyDescent="0.25">
      <c r="A198" s="1" t="s">
        <v>207</v>
      </c>
      <c r="B198" s="1">
        <v>100</v>
      </c>
      <c r="C198" s="1" t="s">
        <v>21</v>
      </c>
      <c r="D198" s="1">
        <v>2</v>
      </c>
      <c r="E198" s="1" t="s">
        <v>156</v>
      </c>
      <c r="F198" s="1">
        <v>17</v>
      </c>
      <c r="G198" s="1">
        <v>15</v>
      </c>
      <c r="H198" s="1" t="s">
        <v>13</v>
      </c>
      <c r="I198" s="1" t="s">
        <v>163</v>
      </c>
      <c r="J198" s="1" t="s">
        <v>22</v>
      </c>
      <c r="K198" s="1" t="s">
        <v>208</v>
      </c>
    </row>
    <row r="199" spans="1:11" x14ac:dyDescent="0.25">
      <c r="A199" s="1" t="s">
        <v>207</v>
      </c>
      <c r="B199" s="1">
        <v>102</v>
      </c>
      <c r="C199" s="1" t="s">
        <v>24</v>
      </c>
      <c r="D199" s="1">
        <v>1</v>
      </c>
      <c r="E199" s="1" t="s">
        <v>156</v>
      </c>
      <c r="F199" s="1">
        <v>15</v>
      </c>
      <c r="G199" s="1">
        <v>8</v>
      </c>
      <c r="H199" s="1" t="s">
        <v>13</v>
      </c>
      <c r="I199" s="1" t="s">
        <v>165</v>
      </c>
      <c r="J199" s="1" t="s">
        <v>25</v>
      </c>
      <c r="K199" s="1" t="s">
        <v>208</v>
      </c>
    </row>
    <row r="200" spans="1:11" x14ac:dyDescent="0.25">
      <c r="A200" s="1" t="s">
        <v>207</v>
      </c>
      <c r="B200" s="1">
        <v>103</v>
      </c>
      <c r="C200" s="1" t="s">
        <v>24</v>
      </c>
      <c r="D200" s="1">
        <v>2</v>
      </c>
      <c r="E200" s="1" t="s">
        <v>156</v>
      </c>
      <c r="F200" s="1">
        <v>15</v>
      </c>
      <c r="G200" s="1">
        <v>7</v>
      </c>
      <c r="H200" s="1" t="s">
        <v>13</v>
      </c>
      <c r="I200" s="1" t="s">
        <v>165</v>
      </c>
      <c r="J200" s="1" t="s">
        <v>25</v>
      </c>
      <c r="K200" s="1" t="s">
        <v>208</v>
      </c>
    </row>
    <row r="201" spans="1:11" x14ac:dyDescent="0.25">
      <c r="A201" s="1" t="s">
        <v>207</v>
      </c>
      <c r="B201" s="1">
        <v>105</v>
      </c>
      <c r="C201" s="1" t="s">
        <v>27</v>
      </c>
      <c r="D201" s="1">
        <v>1</v>
      </c>
      <c r="E201" s="1" t="s">
        <v>156</v>
      </c>
      <c r="F201" s="1">
        <v>11</v>
      </c>
      <c r="G201" s="1">
        <v>15</v>
      </c>
      <c r="H201" s="1" t="s">
        <v>13</v>
      </c>
      <c r="I201" s="1" t="s">
        <v>167</v>
      </c>
      <c r="J201" s="1" t="s">
        <v>28</v>
      </c>
      <c r="K201" s="1" t="s">
        <v>208</v>
      </c>
    </row>
    <row r="202" spans="1:11" x14ac:dyDescent="0.25">
      <c r="A202" s="1" t="s">
        <v>207</v>
      </c>
      <c r="B202" s="1">
        <v>106</v>
      </c>
      <c r="C202" s="1" t="s">
        <v>27</v>
      </c>
      <c r="D202" s="1">
        <v>2</v>
      </c>
      <c r="E202" s="1" t="s">
        <v>156</v>
      </c>
      <c r="F202" s="1">
        <v>15</v>
      </c>
      <c r="G202" s="1">
        <v>11</v>
      </c>
      <c r="H202" s="1" t="s">
        <v>13</v>
      </c>
      <c r="I202" s="1" t="s">
        <v>167</v>
      </c>
      <c r="J202" s="1" t="s">
        <v>28</v>
      </c>
      <c r="K202" s="1" t="s">
        <v>208</v>
      </c>
    </row>
    <row r="203" spans="1:11" x14ac:dyDescent="0.25">
      <c r="A203" s="1" t="s">
        <v>207</v>
      </c>
      <c r="B203" s="1">
        <v>107</v>
      </c>
      <c r="C203" s="1" t="s">
        <v>27</v>
      </c>
      <c r="D203" s="1">
        <v>3</v>
      </c>
      <c r="E203" s="1" t="s">
        <v>156</v>
      </c>
      <c r="F203" s="1">
        <v>15</v>
      </c>
      <c r="G203" s="1">
        <v>8</v>
      </c>
      <c r="H203" s="1" t="s">
        <v>13</v>
      </c>
      <c r="I203" s="1" t="s">
        <v>167</v>
      </c>
      <c r="J203" s="1" t="s">
        <v>28</v>
      </c>
      <c r="K203" s="1" t="s">
        <v>208</v>
      </c>
    </row>
    <row r="204" spans="1:11" x14ac:dyDescent="0.25">
      <c r="A204" s="1" t="s">
        <v>207</v>
      </c>
      <c r="B204" s="1">
        <v>111</v>
      </c>
      <c r="C204" s="1" t="s">
        <v>12</v>
      </c>
      <c r="D204" s="1">
        <v>1</v>
      </c>
      <c r="E204" s="1" t="s">
        <v>168</v>
      </c>
      <c r="F204" s="1">
        <v>1</v>
      </c>
      <c r="G204" s="1">
        <v>0</v>
      </c>
      <c r="H204" s="1" t="s">
        <v>182</v>
      </c>
      <c r="I204" s="1" t="s">
        <v>170</v>
      </c>
      <c r="J204" s="1" t="s">
        <v>184</v>
      </c>
      <c r="K204" s="1" t="s">
        <v>208</v>
      </c>
    </row>
    <row r="205" spans="1:11" x14ac:dyDescent="0.25">
      <c r="A205" s="1" t="s">
        <v>207</v>
      </c>
      <c r="B205" s="1">
        <v>112</v>
      </c>
      <c r="C205" s="1" t="s">
        <v>12</v>
      </c>
      <c r="D205" s="1">
        <v>2</v>
      </c>
      <c r="E205" s="1" t="s">
        <v>168</v>
      </c>
      <c r="F205" s="1">
        <v>0</v>
      </c>
      <c r="G205" s="1">
        <v>0</v>
      </c>
      <c r="H205" s="1" t="s">
        <v>182</v>
      </c>
      <c r="I205" s="1" t="s">
        <v>170</v>
      </c>
      <c r="J205" s="1" t="s">
        <v>184</v>
      </c>
      <c r="K205" s="1" t="s">
        <v>208</v>
      </c>
    </row>
    <row r="206" spans="1:11" x14ac:dyDescent="0.25">
      <c r="A206" s="1" t="s">
        <v>207</v>
      </c>
      <c r="B206" s="1">
        <v>114</v>
      </c>
      <c r="C206" s="1" t="s">
        <v>18</v>
      </c>
      <c r="D206" s="1">
        <v>1</v>
      </c>
      <c r="E206" s="1" t="s">
        <v>168</v>
      </c>
      <c r="F206" s="1">
        <v>1</v>
      </c>
      <c r="G206" s="1">
        <v>0</v>
      </c>
      <c r="H206" s="1" t="s">
        <v>182</v>
      </c>
      <c r="I206" s="1" t="s">
        <v>173</v>
      </c>
      <c r="J206" s="1" t="s">
        <v>187</v>
      </c>
      <c r="K206" s="1" t="s">
        <v>208</v>
      </c>
    </row>
    <row r="207" spans="1:11" x14ac:dyDescent="0.25">
      <c r="A207" s="1" t="s">
        <v>207</v>
      </c>
      <c r="B207" s="1">
        <v>115</v>
      </c>
      <c r="C207" s="1" t="s">
        <v>18</v>
      </c>
      <c r="D207" s="1">
        <v>2</v>
      </c>
      <c r="E207" s="1" t="s">
        <v>168</v>
      </c>
      <c r="F207" s="1">
        <v>1</v>
      </c>
      <c r="G207" s="1">
        <v>0</v>
      </c>
      <c r="H207" s="1" t="s">
        <v>182</v>
      </c>
      <c r="I207" s="1" t="s">
        <v>173</v>
      </c>
      <c r="J207" s="1" t="s">
        <v>187</v>
      </c>
      <c r="K207" s="1" t="s">
        <v>208</v>
      </c>
    </row>
    <row r="208" spans="1:11" x14ac:dyDescent="0.25">
      <c r="A208" s="1" t="s">
        <v>207</v>
      </c>
      <c r="B208" s="1">
        <v>117</v>
      </c>
      <c r="C208" s="1" t="s">
        <v>21</v>
      </c>
      <c r="D208" s="1">
        <v>1</v>
      </c>
      <c r="E208" s="1" t="s">
        <v>168</v>
      </c>
      <c r="F208" s="1">
        <v>1</v>
      </c>
      <c r="G208" s="1">
        <v>0</v>
      </c>
      <c r="H208" s="1" t="s">
        <v>182</v>
      </c>
      <c r="I208" s="1" t="s">
        <v>175</v>
      </c>
      <c r="J208" s="1" t="s">
        <v>189</v>
      </c>
      <c r="K208" s="1" t="s">
        <v>208</v>
      </c>
    </row>
    <row r="209" spans="1:11" x14ac:dyDescent="0.25">
      <c r="A209" s="1" t="s">
        <v>207</v>
      </c>
      <c r="B209" s="1">
        <v>118</v>
      </c>
      <c r="C209" s="1" t="s">
        <v>21</v>
      </c>
      <c r="D209" s="1">
        <v>2</v>
      </c>
      <c r="E209" s="1" t="s">
        <v>168</v>
      </c>
      <c r="F209" s="1">
        <v>1</v>
      </c>
      <c r="G209" s="1">
        <v>0</v>
      </c>
      <c r="H209" s="1" t="s">
        <v>182</v>
      </c>
      <c r="I209" s="1" t="s">
        <v>175</v>
      </c>
      <c r="J209" s="1" t="s">
        <v>189</v>
      </c>
      <c r="K209" s="1" t="s">
        <v>208</v>
      </c>
    </row>
    <row r="210" spans="1:11" x14ac:dyDescent="0.25">
      <c r="A210" s="1" t="s">
        <v>207</v>
      </c>
      <c r="B210" s="1">
        <v>120</v>
      </c>
      <c r="C210" s="1" t="s">
        <v>24</v>
      </c>
      <c r="D210" s="1">
        <v>1</v>
      </c>
      <c r="E210" s="1" t="s">
        <v>168</v>
      </c>
      <c r="F210" s="1">
        <v>1</v>
      </c>
      <c r="G210" s="1">
        <v>0</v>
      </c>
      <c r="H210" s="1" t="s">
        <v>182</v>
      </c>
      <c r="I210" s="1" t="s">
        <v>177</v>
      </c>
      <c r="J210" s="1" t="s">
        <v>191</v>
      </c>
      <c r="K210" s="1" t="s">
        <v>208</v>
      </c>
    </row>
    <row r="211" spans="1:11" x14ac:dyDescent="0.25">
      <c r="A211" s="1" t="s">
        <v>207</v>
      </c>
      <c r="B211" s="1">
        <v>121</v>
      </c>
      <c r="C211" s="1" t="s">
        <v>24</v>
      </c>
      <c r="D211" s="1">
        <v>2</v>
      </c>
      <c r="E211" s="1" t="s">
        <v>168</v>
      </c>
      <c r="F211" s="1">
        <v>1</v>
      </c>
      <c r="G211" s="1">
        <v>0</v>
      </c>
      <c r="H211" s="1" t="s">
        <v>182</v>
      </c>
      <c r="I211" s="1" t="s">
        <v>177</v>
      </c>
      <c r="J211" s="1" t="s">
        <v>191</v>
      </c>
      <c r="K211" s="1" t="s">
        <v>208</v>
      </c>
    </row>
    <row r="212" spans="1:11" x14ac:dyDescent="0.25">
      <c r="A212" s="1" t="s">
        <v>207</v>
      </c>
      <c r="B212" s="1">
        <v>123</v>
      </c>
      <c r="C212" s="1" t="s">
        <v>27</v>
      </c>
      <c r="D212" s="1">
        <v>1</v>
      </c>
      <c r="E212" s="1" t="s">
        <v>168</v>
      </c>
      <c r="F212" s="1">
        <v>1</v>
      </c>
      <c r="G212" s="1">
        <v>0</v>
      </c>
      <c r="H212" s="1" t="s">
        <v>182</v>
      </c>
      <c r="I212" s="1" t="s">
        <v>179</v>
      </c>
      <c r="J212" s="1" t="s">
        <v>193</v>
      </c>
      <c r="K212" s="1" t="s">
        <v>208</v>
      </c>
    </row>
    <row r="213" spans="1:11" x14ac:dyDescent="0.25">
      <c r="A213" s="1" t="s">
        <v>207</v>
      </c>
      <c r="B213" s="1">
        <v>124</v>
      </c>
      <c r="C213" s="1" t="s">
        <v>27</v>
      </c>
      <c r="D213" s="1">
        <v>2</v>
      </c>
      <c r="E213" s="1" t="s">
        <v>168</v>
      </c>
      <c r="F213" s="1">
        <v>0</v>
      </c>
      <c r="G213" s="1">
        <v>0</v>
      </c>
      <c r="H213" s="1" t="s">
        <v>182</v>
      </c>
      <c r="I213" s="1" t="s">
        <v>179</v>
      </c>
      <c r="J213" s="1" t="s">
        <v>193</v>
      </c>
      <c r="K213" s="1" t="s">
        <v>208</v>
      </c>
    </row>
    <row r="214" spans="1:11" x14ac:dyDescent="0.25">
      <c r="A214" s="1" t="s">
        <v>207</v>
      </c>
      <c r="B214" s="1">
        <v>129</v>
      </c>
      <c r="C214" s="1" t="s">
        <v>12</v>
      </c>
      <c r="D214" s="1">
        <v>1</v>
      </c>
      <c r="E214" s="1" t="s">
        <v>169</v>
      </c>
      <c r="F214" s="1">
        <v>1</v>
      </c>
      <c r="G214" s="1">
        <v>0</v>
      </c>
      <c r="H214" s="1" t="s">
        <v>14</v>
      </c>
      <c r="I214" s="1" t="s">
        <v>171</v>
      </c>
      <c r="J214" s="1" t="s">
        <v>16</v>
      </c>
      <c r="K214" s="1" t="s">
        <v>208</v>
      </c>
    </row>
    <row r="215" spans="1:11" x14ac:dyDescent="0.25">
      <c r="A215" s="1" t="s">
        <v>207</v>
      </c>
      <c r="B215" s="1">
        <v>130</v>
      </c>
      <c r="C215" s="1" t="s">
        <v>12</v>
      </c>
      <c r="D215" s="1">
        <v>2</v>
      </c>
      <c r="E215" s="1" t="s">
        <v>169</v>
      </c>
      <c r="F215" s="1">
        <v>0</v>
      </c>
      <c r="G215" s="1">
        <v>1</v>
      </c>
      <c r="H215" s="1" t="s">
        <v>14</v>
      </c>
      <c r="I215" s="1" t="s">
        <v>171</v>
      </c>
      <c r="J215" s="1" t="s">
        <v>16</v>
      </c>
      <c r="K215" s="1" t="s">
        <v>208</v>
      </c>
    </row>
    <row r="216" spans="1:11" x14ac:dyDescent="0.25">
      <c r="A216" s="1" t="s">
        <v>207</v>
      </c>
      <c r="B216" s="1">
        <v>132</v>
      </c>
      <c r="C216" s="1" t="s">
        <v>18</v>
      </c>
      <c r="D216" s="1">
        <v>1</v>
      </c>
      <c r="E216" s="1" t="s">
        <v>169</v>
      </c>
      <c r="F216" s="1">
        <v>0</v>
      </c>
      <c r="G216" s="1">
        <v>1</v>
      </c>
      <c r="H216" s="1" t="s">
        <v>14</v>
      </c>
      <c r="I216" s="1" t="s">
        <v>174</v>
      </c>
      <c r="J216" s="1" t="s">
        <v>20</v>
      </c>
      <c r="K216" s="1" t="s">
        <v>208</v>
      </c>
    </row>
    <row r="217" spans="1:11" x14ac:dyDescent="0.25">
      <c r="A217" s="1" t="s">
        <v>207</v>
      </c>
      <c r="B217" s="1">
        <v>133</v>
      </c>
      <c r="C217" s="1" t="s">
        <v>18</v>
      </c>
      <c r="D217" s="1">
        <v>2</v>
      </c>
      <c r="E217" s="1" t="s">
        <v>169</v>
      </c>
      <c r="F217" s="1">
        <v>0</v>
      </c>
      <c r="G217" s="1">
        <v>1</v>
      </c>
      <c r="H217" s="1" t="s">
        <v>14</v>
      </c>
      <c r="I217" s="1" t="s">
        <v>174</v>
      </c>
      <c r="J217" s="1" t="s">
        <v>20</v>
      </c>
      <c r="K217" s="1" t="s">
        <v>208</v>
      </c>
    </row>
    <row r="218" spans="1:11" x14ac:dyDescent="0.25">
      <c r="A218" s="1" t="s">
        <v>207</v>
      </c>
      <c r="B218" s="1">
        <v>135</v>
      </c>
      <c r="C218" s="1" t="s">
        <v>21</v>
      </c>
      <c r="D218" s="1">
        <v>1</v>
      </c>
      <c r="E218" s="1" t="s">
        <v>169</v>
      </c>
      <c r="F218" s="1">
        <v>1</v>
      </c>
      <c r="G218" s="1">
        <v>0</v>
      </c>
      <c r="H218" s="1" t="s">
        <v>14</v>
      </c>
      <c r="I218" s="1" t="s">
        <v>176</v>
      </c>
      <c r="J218" s="1" t="s">
        <v>23</v>
      </c>
      <c r="K218" s="1" t="s">
        <v>208</v>
      </c>
    </row>
    <row r="219" spans="1:11" x14ac:dyDescent="0.25">
      <c r="A219" s="1" t="s">
        <v>207</v>
      </c>
      <c r="B219" s="1">
        <v>136</v>
      </c>
      <c r="C219" s="1" t="s">
        <v>21</v>
      </c>
      <c r="D219" s="1">
        <v>2</v>
      </c>
      <c r="E219" s="1" t="s">
        <v>169</v>
      </c>
      <c r="F219" s="1">
        <v>1</v>
      </c>
      <c r="G219" s="1">
        <v>0</v>
      </c>
      <c r="H219" s="1" t="s">
        <v>14</v>
      </c>
      <c r="I219" s="1" t="s">
        <v>176</v>
      </c>
      <c r="J219" s="1" t="s">
        <v>23</v>
      </c>
      <c r="K219" s="1" t="s">
        <v>208</v>
      </c>
    </row>
    <row r="220" spans="1:11" x14ac:dyDescent="0.25">
      <c r="A220" s="1" t="s">
        <v>207</v>
      </c>
      <c r="B220" s="1">
        <v>138</v>
      </c>
      <c r="C220" s="1" t="s">
        <v>24</v>
      </c>
      <c r="D220" s="1">
        <v>1</v>
      </c>
      <c r="E220" s="1" t="s">
        <v>169</v>
      </c>
      <c r="F220" s="1">
        <v>1</v>
      </c>
      <c r="G220" s="1">
        <v>0</v>
      </c>
      <c r="H220" s="1" t="s">
        <v>14</v>
      </c>
      <c r="I220" s="1" t="s">
        <v>178</v>
      </c>
      <c r="J220" s="1" t="s">
        <v>26</v>
      </c>
      <c r="K220" s="1" t="s">
        <v>208</v>
      </c>
    </row>
    <row r="221" spans="1:11" x14ac:dyDescent="0.25">
      <c r="A221" s="1" t="s">
        <v>207</v>
      </c>
      <c r="B221" s="1">
        <v>139</v>
      </c>
      <c r="C221" s="1" t="s">
        <v>24</v>
      </c>
      <c r="D221" s="1">
        <v>2</v>
      </c>
      <c r="E221" s="1" t="s">
        <v>169</v>
      </c>
      <c r="F221" s="1">
        <v>1</v>
      </c>
      <c r="G221" s="1">
        <v>0</v>
      </c>
      <c r="H221" s="1" t="s">
        <v>14</v>
      </c>
      <c r="I221" s="1" t="s">
        <v>178</v>
      </c>
      <c r="J221" s="1" t="s">
        <v>26</v>
      </c>
      <c r="K221" s="1" t="s">
        <v>208</v>
      </c>
    </row>
    <row r="222" spans="1:11" x14ac:dyDescent="0.25">
      <c r="A222" s="1" t="s">
        <v>207</v>
      </c>
      <c r="B222" s="1">
        <v>141</v>
      </c>
      <c r="C222" s="1" t="s">
        <v>27</v>
      </c>
      <c r="D222" s="1">
        <v>1</v>
      </c>
      <c r="E222" s="1" t="s">
        <v>169</v>
      </c>
      <c r="F222" s="1">
        <v>1</v>
      </c>
      <c r="G222" s="1">
        <v>0</v>
      </c>
      <c r="H222" s="1" t="s">
        <v>14</v>
      </c>
      <c r="I222" s="1" t="s">
        <v>180</v>
      </c>
      <c r="J222" s="1" t="s">
        <v>29</v>
      </c>
      <c r="K222" s="1" t="s">
        <v>208</v>
      </c>
    </row>
    <row r="223" spans="1:11" x14ac:dyDescent="0.25">
      <c r="A223" s="1" t="s">
        <v>207</v>
      </c>
      <c r="B223" s="1">
        <v>142</v>
      </c>
      <c r="C223" s="1" t="s">
        <v>27</v>
      </c>
      <c r="D223" s="1">
        <v>2</v>
      </c>
      <c r="E223" s="1" t="s">
        <v>169</v>
      </c>
      <c r="F223" s="1">
        <v>1</v>
      </c>
      <c r="G223" s="1">
        <v>0</v>
      </c>
      <c r="H223" s="1" t="s">
        <v>14</v>
      </c>
      <c r="I223" s="1" t="s">
        <v>180</v>
      </c>
      <c r="J223" s="1" t="s">
        <v>29</v>
      </c>
      <c r="K223" s="1" t="s">
        <v>208</v>
      </c>
    </row>
    <row r="224" spans="1:11" x14ac:dyDescent="0.25">
      <c r="A224" s="1" t="s">
        <v>207</v>
      </c>
      <c r="B224" s="1">
        <v>183</v>
      </c>
      <c r="C224" s="1" t="s">
        <v>12</v>
      </c>
      <c r="D224" s="1">
        <v>1</v>
      </c>
      <c r="E224" s="1" t="s">
        <v>95</v>
      </c>
      <c r="F224" s="1">
        <v>21</v>
      </c>
      <c r="G224" s="1">
        <v>14</v>
      </c>
      <c r="H224" s="1" t="s">
        <v>135</v>
      </c>
      <c r="I224" s="1" t="s">
        <v>97</v>
      </c>
      <c r="J224" s="1" t="s">
        <v>137</v>
      </c>
      <c r="K224" s="1" t="s">
        <v>222</v>
      </c>
    </row>
    <row r="225" spans="1:11" x14ac:dyDescent="0.25">
      <c r="A225" s="1" t="s">
        <v>207</v>
      </c>
      <c r="B225" s="1">
        <v>184</v>
      </c>
      <c r="C225" s="1" t="s">
        <v>12</v>
      </c>
      <c r="D225" s="1">
        <v>2</v>
      </c>
      <c r="E225" s="1" t="s">
        <v>95</v>
      </c>
      <c r="F225" s="1">
        <v>1</v>
      </c>
      <c r="G225" s="1">
        <v>0</v>
      </c>
      <c r="H225" s="1" t="s">
        <v>135</v>
      </c>
      <c r="I225" s="1" t="s">
        <v>97</v>
      </c>
      <c r="J225" s="1" t="s">
        <v>137</v>
      </c>
      <c r="K225" s="1" t="s">
        <v>222</v>
      </c>
    </row>
    <row r="226" spans="1:11" x14ac:dyDescent="0.25">
      <c r="A226" s="1" t="s">
        <v>207</v>
      </c>
      <c r="B226" s="1">
        <v>186</v>
      </c>
      <c r="C226" s="1" t="s">
        <v>18</v>
      </c>
      <c r="D226" s="1">
        <v>1</v>
      </c>
      <c r="E226" s="1" t="s">
        <v>95</v>
      </c>
      <c r="F226" s="1">
        <v>21</v>
      </c>
      <c r="G226" s="1">
        <v>15</v>
      </c>
      <c r="H226" s="1" t="s">
        <v>135</v>
      </c>
      <c r="I226" s="1" t="s">
        <v>100</v>
      </c>
      <c r="J226" s="1" t="s">
        <v>140</v>
      </c>
      <c r="K226" s="1" t="s">
        <v>222</v>
      </c>
    </row>
    <row r="227" spans="1:11" x14ac:dyDescent="0.25">
      <c r="A227" s="1" t="s">
        <v>207</v>
      </c>
      <c r="B227" s="1">
        <v>187</v>
      </c>
      <c r="C227" s="1" t="s">
        <v>18</v>
      </c>
      <c r="D227" s="1">
        <v>2</v>
      </c>
      <c r="E227" s="1" t="s">
        <v>95</v>
      </c>
      <c r="F227" s="1">
        <v>1</v>
      </c>
      <c r="G227" s="1">
        <v>0</v>
      </c>
      <c r="H227" s="1" t="s">
        <v>135</v>
      </c>
      <c r="I227" s="1" t="s">
        <v>100</v>
      </c>
      <c r="J227" s="1" t="s">
        <v>140</v>
      </c>
      <c r="K227" s="1" t="s">
        <v>222</v>
      </c>
    </row>
    <row r="228" spans="1:11" x14ac:dyDescent="0.25">
      <c r="A228" s="1" t="s">
        <v>207</v>
      </c>
      <c r="B228" s="1">
        <v>189</v>
      </c>
      <c r="C228" s="1" t="s">
        <v>21</v>
      </c>
      <c r="D228" s="1">
        <v>1</v>
      </c>
      <c r="E228" s="1" t="s">
        <v>95</v>
      </c>
      <c r="F228" s="1">
        <v>21</v>
      </c>
      <c r="G228" s="1">
        <v>15</v>
      </c>
      <c r="H228" s="1" t="s">
        <v>135</v>
      </c>
      <c r="I228" s="1" t="s">
        <v>102</v>
      </c>
      <c r="J228" s="1" t="s">
        <v>142</v>
      </c>
      <c r="K228" s="1" t="s">
        <v>222</v>
      </c>
    </row>
    <row r="229" spans="1:11" x14ac:dyDescent="0.25">
      <c r="A229" s="1" t="s">
        <v>207</v>
      </c>
      <c r="B229" s="1">
        <v>190</v>
      </c>
      <c r="C229" s="1" t="s">
        <v>21</v>
      </c>
      <c r="D229" s="1">
        <v>2</v>
      </c>
      <c r="E229" s="1" t="s">
        <v>95</v>
      </c>
      <c r="F229" s="1">
        <v>1</v>
      </c>
      <c r="G229" s="1">
        <v>0</v>
      </c>
      <c r="H229" s="1" t="s">
        <v>135</v>
      </c>
      <c r="I229" s="1" t="s">
        <v>102</v>
      </c>
      <c r="J229" s="1" t="s">
        <v>142</v>
      </c>
      <c r="K229" s="1" t="s">
        <v>222</v>
      </c>
    </row>
    <row r="230" spans="1:11" x14ac:dyDescent="0.25">
      <c r="A230" s="1" t="s">
        <v>207</v>
      </c>
      <c r="B230" s="1">
        <v>192</v>
      </c>
      <c r="C230" s="1" t="s">
        <v>24</v>
      </c>
      <c r="D230" s="1">
        <v>1</v>
      </c>
      <c r="E230" s="1" t="s">
        <v>95</v>
      </c>
      <c r="F230" s="1">
        <v>21</v>
      </c>
      <c r="G230" s="1">
        <v>14</v>
      </c>
      <c r="H230" s="1" t="s">
        <v>135</v>
      </c>
      <c r="I230" s="1" t="s">
        <v>104</v>
      </c>
      <c r="J230" s="1" t="s">
        <v>144</v>
      </c>
      <c r="K230" s="1" t="s">
        <v>222</v>
      </c>
    </row>
    <row r="231" spans="1:11" x14ac:dyDescent="0.25">
      <c r="A231" s="1" t="s">
        <v>207</v>
      </c>
      <c r="B231" s="1">
        <v>193</v>
      </c>
      <c r="C231" s="1" t="s">
        <v>24</v>
      </c>
      <c r="D231" s="1">
        <v>2</v>
      </c>
      <c r="E231" s="1" t="s">
        <v>95</v>
      </c>
      <c r="F231" s="1">
        <v>1</v>
      </c>
      <c r="G231" s="1">
        <v>0</v>
      </c>
      <c r="H231" s="1" t="s">
        <v>135</v>
      </c>
      <c r="I231" s="1" t="s">
        <v>104</v>
      </c>
      <c r="J231" s="1" t="s">
        <v>144</v>
      </c>
      <c r="K231" s="1" t="s">
        <v>222</v>
      </c>
    </row>
    <row r="232" spans="1:11" x14ac:dyDescent="0.25">
      <c r="A232" s="1" t="s">
        <v>207</v>
      </c>
      <c r="B232" s="1">
        <v>195</v>
      </c>
      <c r="C232" s="1" t="s">
        <v>27</v>
      </c>
      <c r="D232" s="1">
        <v>1</v>
      </c>
      <c r="E232" s="1" t="s">
        <v>95</v>
      </c>
      <c r="F232" s="1">
        <v>1</v>
      </c>
      <c r="G232" s="1">
        <v>0</v>
      </c>
      <c r="H232" s="1" t="s">
        <v>135</v>
      </c>
      <c r="I232" s="1" t="s">
        <v>106</v>
      </c>
      <c r="J232" s="1"/>
      <c r="K232" s="1" t="s">
        <v>222</v>
      </c>
    </row>
    <row r="233" spans="1:11" x14ac:dyDescent="0.25">
      <c r="A233" s="1" t="s">
        <v>207</v>
      </c>
      <c r="B233" s="1">
        <v>196</v>
      </c>
      <c r="C233" s="1" t="s">
        <v>27</v>
      </c>
      <c r="D233" s="1">
        <v>2</v>
      </c>
      <c r="E233" s="1" t="s">
        <v>95</v>
      </c>
      <c r="F233" s="1">
        <v>1</v>
      </c>
      <c r="G233" s="1">
        <v>0</v>
      </c>
      <c r="H233" s="1" t="s">
        <v>135</v>
      </c>
      <c r="I233" s="1" t="s">
        <v>106</v>
      </c>
      <c r="J233" s="1"/>
      <c r="K233" s="1" t="s">
        <v>222</v>
      </c>
    </row>
    <row r="234" spans="1:11" x14ac:dyDescent="0.25">
      <c r="A234" s="1" t="s">
        <v>207</v>
      </c>
      <c r="B234" s="1">
        <v>201</v>
      </c>
      <c r="C234" s="1" t="s">
        <v>12</v>
      </c>
      <c r="D234" s="1">
        <v>1</v>
      </c>
      <c r="E234" s="1" t="s">
        <v>82</v>
      </c>
      <c r="F234" s="1">
        <v>21</v>
      </c>
      <c r="G234" s="1">
        <v>12</v>
      </c>
      <c r="H234" s="1" t="s">
        <v>134</v>
      </c>
      <c r="I234" s="1" t="s">
        <v>84</v>
      </c>
      <c r="J234" s="1" t="s">
        <v>136</v>
      </c>
      <c r="K234" s="1" t="s">
        <v>222</v>
      </c>
    </row>
    <row r="235" spans="1:11" x14ac:dyDescent="0.25">
      <c r="A235" s="1" t="s">
        <v>207</v>
      </c>
      <c r="B235" s="1">
        <v>202</v>
      </c>
      <c r="C235" s="1" t="s">
        <v>12</v>
      </c>
      <c r="D235" s="1">
        <v>2</v>
      </c>
      <c r="E235" s="1" t="s">
        <v>82</v>
      </c>
      <c r="F235" s="1">
        <v>1</v>
      </c>
      <c r="G235" s="1">
        <v>0</v>
      </c>
      <c r="H235" s="1" t="s">
        <v>134</v>
      </c>
      <c r="I235" s="1" t="s">
        <v>84</v>
      </c>
      <c r="J235" s="1" t="s">
        <v>136</v>
      </c>
      <c r="K235" s="1" t="s">
        <v>222</v>
      </c>
    </row>
    <row r="236" spans="1:11" x14ac:dyDescent="0.25">
      <c r="A236" s="1" t="s">
        <v>207</v>
      </c>
      <c r="B236" s="1">
        <v>204</v>
      </c>
      <c r="C236" s="1" t="s">
        <v>18</v>
      </c>
      <c r="D236" s="1">
        <v>1</v>
      </c>
      <c r="E236" s="1" t="s">
        <v>82</v>
      </c>
      <c r="F236" s="1">
        <v>21</v>
      </c>
      <c r="G236" s="1">
        <v>8</v>
      </c>
      <c r="H236" s="1" t="s">
        <v>134</v>
      </c>
      <c r="I236" s="1" t="s">
        <v>87</v>
      </c>
      <c r="J236" s="1" t="s">
        <v>139</v>
      </c>
      <c r="K236" s="1" t="s">
        <v>222</v>
      </c>
    </row>
    <row r="237" spans="1:11" x14ac:dyDescent="0.25">
      <c r="A237" s="1" t="s">
        <v>207</v>
      </c>
      <c r="B237" s="1">
        <v>205</v>
      </c>
      <c r="C237" s="1" t="s">
        <v>18</v>
      </c>
      <c r="D237" s="1">
        <v>2</v>
      </c>
      <c r="E237" s="1" t="s">
        <v>82</v>
      </c>
      <c r="F237" s="1">
        <v>1</v>
      </c>
      <c r="G237" s="1">
        <v>0</v>
      </c>
      <c r="H237" s="1" t="s">
        <v>134</v>
      </c>
      <c r="I237" s="1" t="s">
        <v>87</v>
      </c>
      <c r="J237" s="1" t="s">
        <v>139</v>
      </c>
      <c r="K237" s="1" t="s">
        <v>222</v>
      </c>
    </row>
    <row r="238" spans="1:11" x14ac:dyDescent="0.25">
      <c r="A238" s="1" t="s">
        <v>207</v>
      </c>
      <c r="B238" s="1">
        <v>207</v>
      </c>
      <c r="C238" s="1" t="s">
        <v>21</v>
      </c>
      <c r="D238" s="1">
        <v>1</v>
      </c>
      <c r="E238" s="1" t="s">
        <v>82</v>
      </c>
      <c r="F238" s="1">
        <v>21</v>
      </c>
      <c r="G238" s="1">
        <v>10</v>
      </c>
      <c r="H238" s="1" t="s">
        <v>134</v>
      </c>
      <c r="I238" s="1" t="s">
        <v>89</v>
      </c>
      <c r="J238" s="1" t="s">
        <v>141</v>
      </c>
      <c r="K238" s="1" t="s">
        <v>222</v>
      </c>
    </row>
    <row r="239" spans="1:11" x14ac:dyDescent="0.25">
      <c r="A239" s="1" t="s">
        <v>207</v>
      </c>
      <c r="B239" s="1">
        <v>208</v>
      </c>
      <c r="C239" s="1" t="s">
        <v>21</v>
      </c>
      <c r="D239" s="1">
        <v>2</v>
      </c>
      <c r="E239" s="1" t="s">
        <v>82</v>
      </c>
      <c r="F239" s="1">
        <v>1</v>
      </c>
      <c r="G239" s="1">
        <v>0</v>
      </c>
      <c r="H239" s="1" t="s">
        <v>134</v>
      </c>
      <c r="I239" s="1" t="s">
        <v>89</v>
      </c>
      <c r="J239" s="1" t="s">
        <v>141</v>
      </c>
      <c r="K239" s="1" t="s">
        <v>222</v>
      </c>
    </row>
    <row r="240" spans="1:11" x14ac:dyDescent="0.25">
      <c r="A240" s="1" t="s">
        <v>207</v>
      </c>
      <c r="B240" s="1">
        <v>210</v>
      </c>
      <c r="C240" s="1" t="s">
        <v>24</v>
      </c>
      <c r="D240" s="1">
        <v>1</v>
      </c>
      <c r="E240" s="1" t="s">
        <v>82</v>
      </c>
      <c r="F240" s="1">
        <v>21</v>
      </c>
      <c r="G240" s="1">
        <v>15</v>
      </c>
      <c r="H240" s="1" t="s">
        <v>134</v>
      </c>
      <c r="I240" s="1" t="s">
        <v>91</v>
      </c>
      <c r="J240" s="1" t="s">
        <v>143</v>
      </c>
      <c r="K240" s="1" t="s">
        <v>222</v>
      </c>
    </row>
    <row r="241" spans="1:11" x14ac:dyDescent="0.25">
      <c r="A241" s="1" t="s">
        <v>207</v>
      </c>
      <c r="B241" s="1">
        <v>211</v>
      </c>
      <c r="C241" s="1" t="s">
        <v>24</v>
      </c>
      <c r="D241" s="1">
        <v>2</v>
      </c>
      <c r="E241" s="1" t="s">
        <v>82</v>
      </c>
      <c r="F241" s="1">
        <v>1</v>
      </c>
      <c r="G241" s="1">
        <v>0</v>
      </c>
      <c r="H241" s="1" t="s">
        <v>134</v>
      </c>
      <c r="I241" s="1" t="s">
        <v>91</v>
      </c>
      <c r="J241" s="1" t="s">
        <v>143</v>
      </c>
      <c r="K241" s="1" t="s">
        <v>222</v>
      </c>
    </row>
    <row r="242" spans="1:11" x14ac:dyDescent="0.25">
      <c r="A242" s="1" t="s">
        <v>207</v>
      </c>
      <c r="B242" s="1">
        <v>213</v>
      </c>
      <c r="C242" s="1" t="s">
        <v>27</v>
      </c>
      <c r="D242" s="1">
        <v>1</v>
      </c>
      <c r="E242" s="1" t="s">
        <v>82</v>
      </c>
      <c r="F242" s="1">
        <v>21</v>
      </c>
      <c r="G242" s="1">
        <v>14</v>
      </c>
      <c r="H242" s="1" t="s">
        <v>134</v>
      </c>
      <c r="I242" s="1" t="s">
        <v>93</v>
      </c>
      <c r="J242" s="1" t="s">
        <v>145</v>
      </c>
      <c r="K242" s="1" t="s">
        <v>222</v>
      </c>
    </row>
    <row r="243" spans="1:11" x14ac:dyDescent="0.25">
      <c r="A243" s="1" t="s">
        <v>207</v>
      </c>
      <c r="B243" s="1">
        <v>214</v>
      </c>
      <c r="C243" s="1" t="s">
        <v>27</v>
      </c>
      <c r="D243" s="1">
        <v>2</v>
      </c>
      <c r="E243" s="1" t="s">
        <v>82</v>
      </c>
      <c r="F243" s="1">
        <v>1</v>
      </c>
      <c r="G243" s="1">
        <v>0</v>
      </c>
      <c r="H243" s="1" t="s">
        <v>134</v>
      </c>
      <c r="I243" s="1" t="s">
        <v>93</v>
      </c>
      <c r="J243" s="1" t="s">
        <v>145</v>
      </c>
      <c r="K243" s="1" t="s">
        <v>222</v>
      </c>
    </row>
    <row r="244" spans="1:11" x14ac:dyDescent="0.25">
      <c r="A244" s="1" t="s">
        <v>207</v>
      </c>
      <c r="B244" s="1">
        <v>219</v>
      </c>
      <c r="C244" s="1" t="s">
        <v>12</v>
      </c>
      <c r="D244" s="1">
        <v>1</v>
      </c>
      <c r="E244" s="1" t="s">
        <v>56</v>
      </c>
      <c r="F244" s="1">
        <v>21</v>
      </c>
      <c r="G244" s="1">
        <v>16</v>
      </c>
      <c r="H244" s="1" t="s">
        <v>122</v>
      </c>
      <c r="I244" s="1" t="s">
        <v>58</v>
      </c>
      <c r="J244" s="1" t="s">
        <v>124</v>
      </c>
      <c r="K244" s="1" t="s">
        <v>222</v>
      </c>
    </row>
    <row r="245" spans="1:11" x14ac:dyDescent="0.25">
      <c r="A245" s="1" t="s">
        <v>207</v>
      </c>
      <c r="B245" s="1">
        <v>220</v>
      </c>
      <c r="C245" s="1" t="s">
        <v>12</v>
      </c>
      <c r="D245" s="1">
        <v>2</v>
      </c>
      <c r="E245" s="1" t="s">
        <v>56</v>
      </c>
      <c r="F245" s="1">
        <v>1</v>
      </c>
      <c r="G245" s="1">
        <v>0</v>
      </c>
      <c r="H245" s="1" t="s">
        <v>122</v>
      </c>
      <c r="I245" s="1" t="s">
        <v>58</v>
      </c>
      <c r="J245" s="1" t="s">
        <v>124</v>
      </c>
      <c r="K245" s="1" t="s">
        <v>222</v>
      </c>
    </row>
    <row r="246" spans="1:11" x14ac:dyDescent="0.25">
      <c r="A246" s="1" t="s">
        <v>207</v>
      </c>
      <c r="B246" s="1">
        <v>222</v>
      </c>
      <c r="C246" s="1" t="s">
        <v>18</v>
      </c>
      <c r="D246" s="1">
        <v>1</v>
      </c>
      <c r="E246" s="1" t="s">
        <v>56</v>
      </c>
      <c r="F246" s="1">
        <v>24</v>
      </c>
      <c r="G246" s="1">
        <v>25</v>
      </c>
      <c r="H246" s="1" t="s">
        <v>122</v>
      </c>
      <c r="I246" s="1" t="s">
        <v>61</v>
      </c>
      <c r="J246" s="1" t="s">
        <v>127</v>
      </c>
      <c r="K246" s="1" t="s">
        <v>222</v>
      </c>
    </row>
    <row r="247" spans="1:11" x14ac:dyDescent="0.25">
      <c r="A247" s="1" t="s">
        <v>207</v>
      </c>
      <c r="B247" s="1">
        <v>223</v>
      </c>
      <c r="C247" s="1" t="s">
        <v>18</v>
      </c>
      <c r="D247" s="1">
        <v>2</v>
      </c>
      <c r="E247" s="1" t="s">
        <v>56</v>
      </c>
      <c r="F247" s="1">
        <v>0</v>
      </c>
      <c r="G247" s="1">
        <v>1</v>
      </c>
      <c r="H247" s="1" t="s">
        <v>122</v>
      </c>
      <c r="I247" s="1" t="s">
        <v>61</v>
      </c>
      <c r="J247" s="1" t="s">
        <v>127</v>
      </c>
      <c r="K247" s="1" t="s">
        <v>222</v>
      </c>
    </row>
    <row r="248" spans="1:11" x14ac:dyDescent="0.25">
      <c r="A248" s="1" t="s">
        <v>207</v>
      </c>
      <c r="B248" s="1">
        <v>225</v>
      </c>
      <c r="C248" s="1" t="s">
        <v>21</v>
      </c>
      <c r="D248" s="1">
        <v>1</v>
      </c>
      <c r="E248" s="1" t="s">
        <v>56</v>
      </c>
      <c r="F248" s="1">
        <v>21</v>
      </c>
      <c r="G248" s="1">
        <v>12</v>
      </c>
      <c r="H248" s="1" t="s">
        <v>122</v>
      </c>
      <c r="I248" s="1" t="s">
        <v>63</v>
      </c>
      <c r="J248" s="1" t="s">
        <v>129</v>
      </c>
      <c r="K248" s="1" t="s">
        <v>222</v>
      </c>
    </row>
    <row r="249" spans="1:11" x14ac:dyDescent="0.25">
      <c r="A249" s="1" t="s">
        <v>207</v>
      </c>
      <c r="B249" s="1">
        <v>226</v>
      </c>
      <c r="C249" s="1" t="s">
        <v>21</v>
      </c>
      <c r="D249" s="1">
        <v>2</v>
      </c>
      <c r="E249" s="1" t="s">
        <v>56</v>
      </c>
      <c r="F249" s="1">
        <v>1</v>
      </c>
      <c r="G249" s="1">
        <v>0</v>
      </c>
      <c r="H249" s="1" t="s">
        <v>122</v>
      </c>
      <c r="I249" s="1" t="s">
        <v>63</v>
      </c>
      <c r="J249" s="1" t="s">
        <v>129</v>
      </c>
      <c r="K249" s="1" t="s">
        <v>222</v>
      </c>
    </row>
    <row r="250" spans="1:11" x14ac:dyDescent="0.25">
      <c r="A250" s="1" t="s">
        <v>207</v>
      </c>
      <c r="B250" s="1">
        <v>228</v>
      </c>
      <c r="C250" s="1" t="s">
        <v>24</v>
      </c>
      <c r="D250" s="1">
        <v>1</v>
      </c>
      <c r="E250" s="1" t="s">
        <v>56</v>
      </c>
      <c r="F250" s="1">
        <v>21</v>
      </c>
      <c r="G250" s="1">
        <v>16</v>
      </c>
      <c r="H250" s="1" t="s">
        <v>122</v>
      </c>
      <c r="I250" s="1" t="s">
        <v>65</v>
      </c>
      <c r="J250" s="1" t="s">
        <v>131</v>
      </c>
      <c r="K250" s="1" t="s">
        <v>222</v>
      </c>
    </row>
    <row r="251" spans="1:11" x14ac:dyDescent="0.25">
      <c r="A251" s="1" t="s">
        <v>207</v>
      </c>
      <c r="B251" s="1">
        <v>229</v>
      </c>
      <c r="C251" s="1" t="s">
        <v>24</v>
      </c>
      <c r="D251" s="1">
        <v>2</v>
      </c>
      <c r="E251" s="1" t="s">
        <v>56</v>
      </c>
      <c r="F251" s="1">
        <v>1</v>
      </c>
      <c r="G251" s="1">
        <v>0</v>
      </c>
      <c r="H251" s="1" t="s">
        <v>122</v>
      </c>
      <c r="I251" s="1" t="s">
        <v>65</v>
      </c>
      <c r="J251" s="1" t="s">
        <v>131</v>
      </c>
      <c r="K251" s="1" t="s">
        <v>222</v>
      </c>
    </row>
    <row r="252" spans="1:11" x14ac:dyDescent="0.25">
      <c r="A252" s="1" t="s">
        <v>207</v>
      </c>
      <c r="B252" s="1">
        <v>231</v>
      </c>
      <c r="C252" s="1" t="s">
        <v>27</v>
      </c>
      <c r="D252" s="1">
        <v>1</v>
      </c>
      <c r="E252" s="1" t="s">
        <v>56</v>
      </c>
      <c r="F252" s="1">
        <v>21</v>
      </c>
      <c r="G252" s="1">
        <v>15</v>
      </c>
      <c r="H252" s="1" t="s">
        <v>122</v>
      </c>
      <c r="I252" s="1" t="s">
        <v>67</v>
      </c>
      <c r="J252" s="1" t="s">
        <v>133</v>
      </c>
      <c r="K252" s="1" t="s">
        <v>222</v>
      </c>
    </row>
    <row r="253" spans="1:11" x14ac:dyDescent="0.25">
      <c r="A253" s="1" t="s">
        <v>207</v>
      </c>
      <c r="B253" s="1">
        <v>232</v>
      </c>
      <c r="C253" s="1" t="s">
        <v>27</v>
      </c>
      <c r="D253" s="1">
        <v>2</v>
      </c>
      <c r="E253" s="1" t="s">
        <v>56</v>
      </c>
      <c r="F253" s="1">
        <v>1</v>
      </c>
      <c r="G253" s="1">
        <v>0</v>
      </c>
      <c r="H253" s="1" t="s">
        <v>122</v>
      </c>
      <c r="I253" s="1" t="s">
        <v>67</v>
      </c>
      <c r="J253" s="1" t="s">
        <v>133</v>
      </c>
      <c r="K253" s="1" t="s">
        <v>222</v>
      </c>
    </row>
    <row r="254" spans="1:11" x14ac:dyDescent="0.25">
      <c r="A254" s="1" t="s">
        <v>207</v>
      </c>
      <c r="B254" s="1">
        <v>237</v>
      </c>
      <c r="C254" s="1" t="s">
        <v>12</v>
      </c>
      <c r="D254" s="1">
        <v>1</v>
      </c>
      <c r="E254" s="1" t="s">
        <v>69</v>
      </c>
      <c r="F254" s="1">
        <v>21</v>
      </c>
      <c r="G254" s="1">
        <v>16</v>
      </c>
      <c r="H254" s="1" t="s">
        <v>109</v>
      </c>
      <c r="I254" s="1" t="s">
        <v>71</v>
      </c>
      <c r="J254" s="1" t="s">
        <v>111</v>
      </c>
      <c r="K254" s="1" t="s">
        <v>222</v>
      </c>
    </row>
    <row r="255" spans="1:11" x14ac:dyDescent="0.25">
      <c r="A255" s="1" t="s">
        <v>207</v>
      </c>
      <c r="B255" s="1">
        <v>238</v>
      </c>
      <c r="C255" s="1" t="s">
        <v>12</v>
      </c>
      <c r="D255" s="1">
        <v>2</v>
      </c>
      <c r="E255" s="1" t="s">
        <v>69</v>
      </c>
      <c r="F255" s="1">
        <v>1</v>
      </c>
      <c r="G255" s="1">
        <v>0</v>
      </c>
      <c r="H255" s="1" t="s">
        <v>109</v>
      </c>
      <c r="I255" s="1" t="s">
        <v>71</v>
      </c>
      <c r="J255" s="1" t="s">
        <v>111</v>
      </c>
      <c r="K255" s="1" t="s">
        <v>222</v>
      </c>
    </row>
    <row r="256" spans="1:11" x14ac:dyDescent="0.25">
      <c r="A256" s="1" t="s">
        <v>207</v>
      </c>
      <c r="B256" s="1">
        <v>240</v>
      </c>
      <c r="C256" s="1" t="s">
        <v>18</v>
      </c>
      <c r="D256" s="1">
        <v>1</v>
      </c>
      <c r="E256" s="1" t="s">
        <v>69</v>
      </c>
      <c r="F256" s="1">
        <v>17</v>
      </c>
      <c r="G256" s="1">
        <v>21</v>
      </c>
      <c r="H256" s="1" t="s">
        <v>109</v>
      </c>
      <c r="I256" s="1" t="s">
        <v>74</v>
      </c>
      <c r="J256" s="1" t="s">
        <v>114</v>
      </c>
      <c r="K256" s="1" t="s">
        <v>222</v>
      </c>
    </row>
    <row r="257" spans="1:11" x14ac:dyDescent="0.25">
      <c r="A257" s="1" t="s">
        <v>207</v>
      </c>
      <c r="B257" s="1">
        <v>241</v>
      </c>
      <c r="C257" s="1" t="s">
        <v>18</v>
      </c>
      <c r="D257" s="1">
        <v>2</v>
      </c>
      <c r="E257" s="1" t="s">
        <v>69</v>
      </c>
      <c r="F257" s="1">
        <v>0</v>
      </c>
      <c r="G257" s="1">
        <v>1</v>
      </c>
      <c r="H257" s="1" t="s">
        <v>109</v>
      </c>
      <c r="I257" s="1" t="s">
        <v>74</v>
      </c>
      <c r="J257" s="1" t="s">
        <v>114</v>
      </c>
      <c r="K257" s="1" t="s">
        <v>222</v>
      </c>
    </row>
    <row r="258" spans="1:11" x14ac:dyDescent="0.25">
      <c r="A258" s="1" t="s">
        <v>207</v>
      </c>
      <c r="B258" s="1">
        <v>243</v>
      </c>
      <c r="C258" s="1" t="s">
        <v>21</v>
      </c>
      <c r="D258" s="1">
        <v>1</v>
      </c>
      <c r="E258" s="1" t="s">
        <v>69</v>
      </c>
      <c r="F258" s="1">
        <v>21</v>
      </c>
      <c r="G258" s="1">
        <v>16</v>
      </c>
      <c r="H258" s="1" t="s">
        <v>109</v>
      </c>
      <c r="I258" s="1" t="s">
        <v>76</v>
      </c>
      <c r="J258" s="1" t="s">
        <v>116</v>
      </c>
      <c r="K258" s="1" t="s">
        <v>222</v>
      </c>
    </row>
    <row r="259" spans="1:11" x14ac:dyDescent="0.25">
      <c r="A259" s="1" t="s">
        <v>207</v>
      </c>
      <c r="B259" s="1">
        <v>244</v>
      </c>
      <c r="C259" s="1" t="s">
        <v>21</v>
      </c>
      <c r="D259" s="1">
        <v>2</v>
      </c>
      <c r="E259" s="1" t="s">
        <v>69</v>
      </c>
      <c r="F259" s="1">
        <v>1</v>
      </c>
      <c r="G259" s="1">
        <v>0</v>
      </c>
      <c r="H259" s="1" t="s">
        <v>109</v>
      </c>
      <c r="I259" s="1" t="s">
        <v>76</v>
      </c>
      <c r="J259" s="1" t="s">
        <v>116</v>
      </c>
      <c r="K259" s="1" t="s">
        <v>222</v>
      </c>
    </row>
    <row r="260" spans="1:11" x14ac:dyDescent="0.25">
      <c r="A260" s="1" t="s">
        <v>207</v>
      </c>
      <c r="B260" s="1">
        <v>246</v>
      </c>
      <c r="C260" s="1" t="s">
        <v>24</v>
      </c>
      <c r="D260" s="1">
        <v>1</v>
      </c>
      <c r="E260" s="1" t="s">
        <v>69</v>
      </c>
      <c r="F260" s="1">
        <v>24</v>
      </c>
      <c r="G260" s="1">
        <v>22</v>
      </c>
      <c r="H260" s="1" t="s">
        <v>109</v>
      </c>
      <c r="I260" s="1" t="s">
        <v>78</v>
      </c>
      <c r="J260" s="1" t="s">
        <v>118</v>
      </c>
      <c r="K260" s="1" t="s">
        <v>222</v>
      </c>
    </row>
    <row r="261" spans="1:11" x14ac:dyDescent="0.25">
      <c r="A261" s="1" t="s">
        <v>207</v>
      </c>
      <c r="B261" s="1">
        <v>247</v>
      </c>
      <c r="C261" s="1" t="s">
        <v>24</v>
      </c>
      <c r="D261" s="1">
        <v>2</v>
      </c>
      <c r="E261" s="1" t="s">
        <v>69</v>
      </c>
      <c r="F261" s="1">
        <v>1</v>
      </c>
      <c r="G261" s="1">
        <v>0</v>
      </c>
      <c r="H261" s="1" t="s">
        <v>109</v>
      </c>
      <c r="I261" s="1" t="s">
        <v>78</v>
      </c>
      <c r="J261" s="1" t="s">
        <v>118</v>
      </c>
      <c r="K261" s="1" t="s">
        <v>222</v>
      </c>
    </row>
    <row r="262" spans="1:11" x14ac:dyDescent="0.25">
      <c r="A262" s="1" t="s">
        <v>207</v>
      </c>
      <c r="B262" s="1">
        <v>249</v>
      </c>
      <c r="C262" s="1" t="s">
        <v>27</v>
      </c>
      <c r="D262" s="1">
        <v>1</v>
      </c>
      <c r="E262" s="1" t="s">
        <v>69</v>
      </c>
      <c r="F262" s="1">
        <v>6</v>
      </c>
      <c r="G262" s="1">
        <v>21</v>
      </c>
      <c r="H262" s="1" t="s">
        <v>109</v>
      </c>
      <c r="I262" s="1" t="s">
        <v>80</v>
      </c>
      <c r="J262" s="1" t="s">
        <v>120</v>
      </c>
      <c r="K262" s="1" t="s">
        <v>222</v>
      </c>
    </row>
    <row r="263" spans="1:11" x14ac:dyDescent="0.25">
      <c r="A263" s="1" t="s">
        <v>207</v>
      </c>
      <c r="B263" s="1">
        <v>250</v>
      </c>
      <c r="C263" s="1" t="s">
        <v>27</v>
      </c>
      <c r="D263" s="1">
        <v>2</v>
      </c>
      <c r="E263" s="1" t="s">
        <v>69</v>
      </c>
      <c r="F263" s="1">
        <v>0</v>
      </c>
      <c r="G263" s="1">
        <v>1</v>
      </c>
      <c r="H263" s="1" t="s">
        <v>109</v>
      </c>
      <c r="I263" s="1" t="s">
        <v>80</v>
      </c>
      <c r="J263" s="1" t="s">
        <v>120</v>
      </c>
      <c r="K263" s="1" t="s">
        <v>222</v>
      </c>
    </row>
    <row r="264" spans="1:11" x14ac:dyDescent="0.25">
      <c r="A264" s="1" t="s">
        <v>207</v>
      </c>
      <c r="B264" s="1">
        <v>255</v>
      </c>
      <c r="C264" s="1" t="s">
        <v>12</v>
      </c>
      <c r="D264" s="1">
        <v>1</v>
      </c>
      <c r="E264" s="1" t="s">
        <v>83</v>
      </c>
      <c r="F264" s="1">
        <v>21</v>
      </c>
      <c r="G264" s="1">
        <v>10</v>
      </c>
      <c r="H264" s="1" t="s">
        <v>121</v>
      </c>
      <c r="I264" s="1" t="s">
        <v>85</v>
      </c>
      <c r="J264" s="1" t="s">
        <v>123</v>
      </c>
      <c r="K264" s="1" t="s">
        <v>222</v>
      </c>
    </row>
    <row r="265" spans="1:11" x14ac:dyDescent="0.25">
      <c r="A265" s="1" t="s">
        <v>207</v>
      </c>
      <c r="B265" s="1">
        <v>256</v>
      </c>
      <c r="C265" s="1" t="s">
        <v>12</v>
      </c>
      <c r="D265" s="1">
        <v>2</v>
      </c>
      <c r="E265" s="1" t="s">
        <v>83</v>
      </c>
      <c r="F265" s="1">
        <v>1</v>
      </c>
      <c r="G265" s="1">
        <v>0</v>
      </c>
      <c r="H265" s="1" t="s">
        <v>121</v>
      </c>
      <c r="I265" s="1" t="s">
        <v>85</v>
      </c>
      <c r="J265" s="1" t="s">
        <v>123</v>
      </c>
      <c r="K265" s="1" t="s">
        <v>222</v>
      </c>
    </row>
    <row r="266" spans="1:11" x14ac:dyDescent="0.25">
      <c r="A266" s="1" t="s">
        <v>207</v>
      </c>
      <c r="B266" s="1">
        <v>258</v>
      </c>
      <c r="C266" s="1" t="s">
        <v>18</v>
      </c>
      <c r="D266" s="1">
        <v>1</v>
      </c>
      <c r="E266" s="1" t="s">
        <v>83</v>
      </c>
      <c r="F266" s="1">
        <v>21</v>
      </c>
      <c r="G266" s="1">
        <v>16</v>
      </c>
      <c r="H266" s="1" t="s">
        <v>121</v>
      </c>
      <c r="I266" s="1" t="s">
        <v>88</v>
      </c>
      <c r="J266" s="1" t="s">
        <v>126</v>
      </c>
      <c r="K266" s="1" t="s">
        <v>222</v>
      </c>
    </row>
    <row r="267" spans="1:11" x14ac:dyDescent="0.25">
      <c r="A267" s="1" t="s">
        <v>207</v>
      </c>
      <c r="B267" s="1">
        <v>259</v>
      </c>
      <c r="C267" s="1" t="s">
        <v>18</v>
      </c>
      <c r="D267" s="1">
        <v>2</v>
      </c>
      <c r="E267" s="1" t="s">
        <v>83</v>
      </c>
      <c r="F267" s="1">
        <v>1</v>
      </c>
      <c r="G267" s="1">
        <v>0</v>
      </c>
      <c r="H267" s="1" t="s">
        <v>121</v>
      </c>
      <c r="I267" s="1" t="s">
        <v>88</v>
      </c>
      <c r="J267" s="1" t="s">
        <v>126</v>
      </c>
      <c r="K267" s="1" t="s">
        <v>222</v>
      </c>
    </row>
    <row r="268" spans="1:11" x14ac:dyDescent="0.25">
      <c r="A268" s="1" t="s">
        <v>207</v>
      </c>
      <c r="B268" s="1">
        <v>261</v>
      </c>
      <c r="C268" s="1" t="s">
        <v>21</v>
      </c>
      <c r="D268" s="1">
        <v>1</v>
      </c>
      <c r="E268" s="1" t="s">
        <v>83</v>
      </c>
      <c r="F268" s="1">
        <v>21</v>
      </c>
      <c r="G268" s="1">
        <v>11</v>
      </c>
      <c r="H268" s="1" t="s">
        <v>121</v>
      </c>
      <c r="I268" s="1" t="s">
        <v>90</v>
      </c>
      <c r="J268" s="1" t="s">
        <v>128</v>
      </c>
      <c r="K268" s="1" t="s">
        <v>222</v>
      </c>
    </row>
    <row r="269" spans="1:11" x14ac:dyDescent="0.25">
      <c r="A269" s="1" t="s">
        <v>207</v>
      </c>
      <c r="B269" s="1">
        <v>262</v>
      </c>
      <c r="C269" s="1" t="s">
        <v>21</v>
      </c>
      <c r="D269" s="1">
        <v>2</v>
      </c>
      <c r="E269" s="1" t="s">
        <v>83</v>
      </c>
      <c r="F269" s="1">
        <v>1</v>
      </c>
      <c r="G269" s="1">
        <v>0</v>
      </c>
      <c r="H269" s="1" t="s">
        <v>121</v>
      </c>
      <c r="I269" s="1" t="s">
        <v>90</v>
      </c>
      <c r="J269" s="1" t="s">
        <v>128</v>
      </c>
      <c r="K269" s="1" t="s">
        <v>222</v>
      </c>
    </row>
    <row r="270" spans="1:11" x14ac:dyDescent="0.25">
      <c r="A270" s="1" t="s">
        <v>207</v>
      </c>
      <c r="B270" s="1">
        <v>264</v>
      </c>
      <c r="C270" s="1" t="s">
        <v>24</v>
      </c>
      <c r="D270" s="1">
        <v>1</v>
      </c>
      <c r="E270" s="1" t="s">
        <v>83</v>
      </c>
      <c r="F270" s="1">
        <v>21</v>
      </c>
      <c r="G270" s="1">
        <v>15</v>
      </c>
      <c r="H270" s="1" t="s">
        <v>121</v>
      </c>
      <c r="I270" s="1" t="s">
        <v>92</v>
      </c>
      <c r="J270" s="1" t="s">
        <v>130</v>
      </c>
      <c r="K270" s="1" t="s">
        <v>222</v>
      </c>
    </row>
    <row r="271" spans="1:11" x14ac:dyDescent="0.25">
      <c r="A271" s="1" t="s">
        <v>207</v>
      </c>
      <c r="B271" s="1">
        <v>265</v>
      </c>
      <c r="C271" s="1" t="s">
        <v>24</v>
      </c>
      <c r="D271" s="1">
        <v>2</v>
      </c>
      <c r="E271" s="1" t="s">
        <v>83</v>
      </c>
      <c r="F271" s="1">
        <v>1</v>
      </c>
      <c r="G271" s="1">
        <v>0</v>
      </c>
      <c r="H271" s="1" t="s">
        <v>121</v>
      </c>
      <c r="I271" s="1" t="s">
        <v>92</v>
      </c>
      <c r="J271" s="1" t="s">
        <v>130</v>
      </c>
      <c r="K271" s="1" t="s">
        <v>222</v>
      </c>
    </row>
    <row r="272" spans="1:11" x14ac:dyDescent="0.25">
      <c r="A272" s="1" t="s">
        <v>207</v>
      </c>
      <c r="B272" s="1">
        <v>267</v>
      </c>
      <c r="C272" s="1" t="s">
        <v>27</v>
      </c>
      <c r="D272" s="1">
        <v>1</v>
      </c>
      <c r="E272" s="1" t="s">
        <v>83</v>
      </c>
      <c r="F272" s="1">
        <v>21</v>
      </c>
      <c r="G272" s="1">
        <v>17</v>
      </c>
      <c r="H272" s="1" t="s">
        <v>121</v>
      </c>
      <c r="I272" s="1" t="s">
        <v>94</v>
      </c>
      <c r="J272" s="1" t="s">
        <v>132</v>
      </c>
      <c r="K272" s="1" t="s">
        <v>222</v>
      </c>
    </row>
    <row r="273" spans="1:11" x14ac:dyDescent="0.25">
      <c r="A273" s="1" t="s">
        <v>207</v>
      </c>
      <c r="B273" s="1">
        <v>268</v>
      </c>
      <c r="C273" s="1" t="s">
        <v>27</v>
      </c>
      <c r="D273" s="1">
        <v>2</v>
      </c>
      <c r="E273" s="1" t="s">
        <v>83</v>
      </c>
      <c r="F273" s="1">
        <v>1</v>
      </c>
      <c r="G273" s="1">
        <v>0</v>
      </c>
      <c r="H273" s="1" t="s">
        <v>121</v>
      </c>
      <c r="I273" s="1" t="s">
        <v>94</v>
      </c>
      <c r="J273" s="1" t="s">
        <v>132</v>
      </c>
      <c r="K273" s="1" t="s">
        <v>222</v>
      </c>
    </row>
    <row r="274" spans="1:11" x14ac:dyDescent="0.25">
      <c r="A274" s="1" t="s">
        <v>207</v>
      </c>
      <c r="B274" s="1">
        <v>273</v>
      </c>
      <c r="C274" s="1" t="s">
        <v>12</v>
      </c>
      <c r="D274" s="1">
        <v>1</v>
      </c>
      <c r="E274" s="1" t="s">
        <v>108</v>
      </c>
      <c r="F274" s="1">
        <v>0</v>
      </c>
      <c r="G274" s="1">
        <v>1</v>
      </c>
      <c r="H274" s="1" t="s">
        <v>96</v>
      </c>
      <c r="I274" s="1" t="s">
        <v>110</v>
      </c>
      <c r="J274" s="1" t="s">
        <v>98</v>
      </c>
      <c r="K274" s="1" t="s">
        <v>222</v>
      </c>
    </row>
    <row r="275" spans="1:11" x14ac:dyDescent="0.25">
      <c r="A275" s="1" t="s">
        <v>207</v>
      </c>
      <c r="B275" s="1">
        <v>274</v>
      </c>
      <c r="C275" s="1" t="s">
        <v>12</v>
      </c>
      <c r="D275" s="1">
        <v>2</v>
      </c>
      <c r="E275" s="1" t="s">
        <v>108</v>
      </c>
      <c r="F275" s="1">
        <v>0</v>
      </c>
      <c r="G275" s="1">
        <v>1</v>
      </c>
      <c r="H275" s="1" t="s">
        <v>96</v>
      </c>
      <c r="I275" s="1" t="s">
        <v>110</v>
      </c>
      <c r="J275" s="1" t="s">
        <v>98</v>
      </c>
      <c r="K275" s="1" t="s">
        <v>222</v>
      </c>
    </row>
    <row r="276" spans="1:11" x14ac:dyDescent="0.25">
      <c r="A276" s="1" t="s">
        <v>207</v>
      </c>
      <c r="B276" s="1">
        <v>276</v>
      </c>
      <c r="C276" s="1" t="s">
        <v>18</v>
      </c>
      <c r="D276" s="1">
        <v>1</v>
      </c>
      <c r="E276" s="1" t="s">
        <v>108</v>
      </c>
      <c r="F276" s="1">
        <v>1</v>
      </c>
      <c r="G276" s="1">
        <v>0</v>
      </c>
      <c r="H276" s="1" t="s">
        <v>96</v>
      </c>
      <c r="I276" s="1" t="s">
        <v>113</v>
      </c>
      <c r="J276" s="1" t="s">
        <v>101</v>
      </c>
      <c r="K276" s="1" t="s">
        <v>222</v>
      </c>
    </row>
    <row r="277" spans="1:11" x14ac:dyDescent="0.25">
      <c r="A277" s="1" t="s">
        <v>207</v>
      </c>
      <c r="B277" s="1">
        <v>277</v>
      </c>
      <c r="C277" s="1" t="s">
        <v>18</v>
      </c>
      <c r="D277" s="1">
        <v>2</v>
      </c>
      <c r="E277" s="1" t="s">
        <v>108</v>
      </c>
      <c r="F277" s="1">
        <v>1</v>
      </c>
      <c r="G277" s="1">
        <v>0</v>
      </c>
      <c r="H277" s="1" t="s">
        <v>96</v>
      </c>
      <c r="I277" s="1" t="s">
        <v>113</v>
      </c>
      <c r="J277" s="1" t="s">
        <v>101</v>
      </c>
      <c r="K277" s="1" t="s">
        <v>222</v>
      </c>
    </row>
    <row r="278" spans="1:11" x14ac:dyDescent="0.25">
      <c r="A278" s="1" t="s">
        <v>207</v>
      </c>
      <c r="B278" s="1">
        <v>279</v>
      </c>
      <c r="C278" s="1" t="s">
        <v>21</v>
      </c>
      <c r="D278" s="1">
        <v>1</v>
      </c>
      <c r="E278" s="1" t="s">
        <v>108</v>
      </c>
      <c r="F278" s="1">
        <v>0</v>
      </c>
      <c r="G278" s="1">
        <v>1</v>
      </c>
      <c r="H278" s="1" t="s">
        <v>96</v>
      </c>
      <c r="I278" s="1" t="s">
        <v>115</v>
      </c>
      <c r="J278" s="1" t="s">
        <v>103</v>
      </c>
      <c r="K278" s="1" t="s">
        <v>222</v>
      </c>
    </row>
    <row r="279" spans="1:11" x14ac:dyDescent="0.25">
      <c r="A279" s="1" t="s">
        <v>207</v>
      </c>
      <c r="B279" s="1">
        <v>280</v>
      </c>
      <c r="C279" s="1" t="s">
        <v>21</v>
      </c>
      <c r="D279" s="1">
        <v>2</v>
      </c>
      <c r="E279" s="1" t="s">
        <v>108</v>
      </c>
      <c r="F279" s="1">
        <v>0</v>
      </c>
      <c r="G279" s="1">
        <v>1</v>
      </c>
      <c r="H279" s="1" t="s">
        <v>96</v>
      </c>
      <c r="I279" s="1" t="s">
        <v>115</v>
      </c>
      <c r="J279" s="1" t="s">
        <v>103</v>
      </c>
      <c r="K279" s="1" t="s">
        <v>222</v>
      </c>
    </row>
    <row r="280" spans="1:11" x14ac:dyDescent="0.25">
      <c r="A280" s="1" t="s">
        <v>207</v>
      </c>
      <c r="B280" s="1">
        <v>282</v>
      </c>
      <c r="C280" s="1" t="s">
        <v>24</v>
      </c>
      <c r="D280" s="1">
        <v>1</v>
      </c>
      <c r="E280" s="1" t="s">
        <v>108</v>
      </c>
      <c r="F280" s="1">
        <v>1</v>
      </c>
      <c r="G280" s="1">
        <v>0</v>
      </c>
      <c r="H280" s="1" t="s">
        <v>96</v>
      </c>
      <c r="I280" s="1" t="s">
        <v>117</v>
      </c>
      <c r="J280" s="1" t="s">
        <v>105</v>
      </c>
      <c r="K280" s="1" t="s">
        <v>222</v>
      </c>
    </row>
    <row r="281" spans="1:11" x14ac:dyDescent="0.25">
      <c r="A281" s="1" t="s">
        <v>207</v>
      </c>
      <c r="B281" s="1">
        <v>283</v>
      </c>
      <c r="C281" s="1" t="s">
        <v>24</v>
      </c>
      <c r="D281" s="1">
        <v>2</v>
      </c>
      <c r="E281" s="1" t="s">
        <v>108</v>
      </c>
      <c r="F281" s="1">
        <v>1</v>
      </c>
      <c r="G281" s="1">
        <v>0</v>
      </c>
      <c r="H281" s="1" t="s">
        <v>96</v>
      </c>
      <c r="I281" s="1" t="s">
        <v>117</v>
      </c>
      <c r="J281" s="1" t="s">
        <v>105</v>
      </c>
      <c r="K281" s="1" t="s">
        <v>222</v>
      </c>
    </row>
    <row r="282" spans="1:11" x14ac:dyDescent="0.25">
      <c r="A282" s="1" t="s">
        <v>207</v>
      </c>
      <c r="B282" s="1">
        <v>285</v>
      </c>
      <c r="C282" s="1" t="s">
        <v>27</v>
      </c>
      <c r="D282" s="1">
        <v>1</v>
      </c>
      <c r="E282" s="1" t="s">
        <v>108</v>
      </c>
      <c r="F282" s="1">
        <v>0</v>
      </c>
      <c r="G282" s="1">
        <v>1</v>
      </c>
      <c r="H282" s="1" t="s">
        <v>96</v>
      </c>
      <c r="I282" s="1" t="s">
        <v>119</v>
      </c>
      <c r="J282" s="1" t="s">
        <v>107</v>
      </c>
      <c r="K282" s="1" t="s">
        <v>222</v>
      </c>
    </row>
    <row r="283" spans="1:11" x14ac:dyDescent="0.25">
      <c r="A283" s="1" t="s">
        <v>207</v>
      </c>
      <c r="B283" s="1">
        <v>286</v>
      </c>
      <c r="C283" s="1" t="s">
        <v>27</v>
      </c>
      <c r="D283" s="1">
        <v>2</v>
      </c>
      <c r="E283" s="1" t="s">
        <v>108</v>
      </c>
      <c r="F283" s="1">
        <v>0</v>
      </c>
      <c r="G283" s="1">
        <v>1</v>
      </c>
      <c r="H283" s="1" t="s">
        <v>96</v>
      </c>
      <c r="I283" s="1" t="s">
        <v>119</v>
      </c>
      <c r="J283" s="1" t="s">
        <v>107</v>
      </c>
      <c r="K283" s="1" t="s">
        <v>222</v>
      </c>
    </row>
    <row r="284" spans="1:11" x14ac:dyDescent="0.25">
      <c r="A284" s="1" t="s">
        <v>215</v>
      </c>
      <c r="B284" s="1">
        <v>3</v>
      </c>
      <c r="C284" s="1" t="s">
        <v>12</v>
      </c>
      <c r="D284" s="1">
        <v>1</v>
      </c>
      <c r="E284" s="1" t="s">
        <v>194</v>
      </c>
      <c r="F284" s="1">
        <v>21</v>
      </c>
      <c r="G284" s="1">
        <v>14</v>
      </c>
      <c r="H284" s="1" t="s">
        <v>169</v>
      </c>
      <c r="I284" s="1" t="s">
        <v>196</v>
      </c>
      <c r="J284" s="1" t="s">
        <v>171</v>
      </c>
      <c r="K284" s="1" t="s">
        <v>216</v>
      </c>
    </row>
    <row r="285" spans="1:11" x14ac:dyDescent="0.25">
      <c r="A285" s="1" t="s">
        <v>215</v>
      </c>
      <c r="B285" s="1">
        <v>4</v>
      </c>
      <c r="C285" s="1" t="s">
        <v>12</v>
      </c>
      <c r="D285" s="1">
        <v>2</v>
      </c>
      <c r="E285" s="1" t="s">
        <v>194</v>
      </c>
      <c r="F285" s="1">
        <v>21</v>
      </c>
      <c r="G285" s="1">
        <v>18</v>
      </c>
      <c r="H285" s="1" t="s">
        <v>169</v>
      </c>
      <c r="I285" s="1" t="s">
        <v>196</v>
      </c>
      <c r="J285" s="1" t="s">
        <v>171</v>
      </c>
      <c r="K285" s="1" t="s">
        <v>216</v>
      </c>
    </row>
    <row r="286" spans="1:11" x14ac:dyDescent="0.25">
      <c r="A286" s="1" t="s">
        <v>215</v>
      </c>
      <c r="B286" s="1">
        <v>6</v>
      </c>
      <c r="C286" s="1" t="s">
        <v>18</v>
      </c>
      <c r="D286" s="1">
        <v>1</v>
      </c>
      <c r="E286" s="1" t="s">
        <v>194</v>
      </c>
      <c r="F286" s="1">
        <v>22</v>
      </c>
      <c r="G286" s="1">
        <v>20</v>
      </c>
      <c r="H286" s="1" t="s">
        <v>169</v>
      </c>
      <c r="I286" s="1" t="s">
        <v>199</v>
      </c>
      <c r="J286" s="1" t="s">
        <v>174</v>
      </c>
      <c r="K286" s="1" t="s">
        <v>216</v>
      </c>
    </row>
    <row r="287" spans="1:11" x14ac:dyDescent="0.25">
      <c r="A287" s="1" t="s">
        <v>215</v>
      </c>
      <c r="B287" s="1">
        <v>7</v>
      </c>
      <c r="C287" s="1" t="s">
        <v>18</v>
      </c>
      <c r="D287" s="1">
        <v>2</v>
      </c>
      <c r="E287" s="1" t="s">
        <v>194</v>
      </c>
      <c r="F287" s="1">
        <v>21</v>
      </c>
      <c r="G287" s="1">
        <v>10</v>
      </c>
      <c r="H287" s="1" t="s">
        <v>169</v>
      </c>
      <c r="I287" s="1" t="s">
        <v>199</v>
      </c>
      <c r="J287" s="1" t="s">
        <v>174</v>
      </c>
      <c r="K287" s="1" t="s">
        <v>216</v>
      </c>
    </row>
    <row r="288" spans="1:11" x14ac:dyDescent="0.25">
      <c r="A288" s="1" t="s">
        <v>215</v>
      </c>
      <c r="B288" s="1">
        <v>9</v>
      </c>
      <c r="C288" s="1" t="s">
        <v>21</v>
      </c>
      <c r="D288" s="1">
        <v>1</v>
      </c>
      <c r="E288" s="1" t="s">
        <v>194</v>
      </c>
      <c r="F288" s="1">
        <v>21</v>
      </c>
      <c r="G288" s="1">
        <v>10</v>
      </c>
      <c r="H288" s="1" t="s">
        <v>169</v>
      </c>
      <c r="I288" s="1" t="s">
        <v>201</v>
      </c>
      <c r="J288" s="1" t="s">
        <v>176</v>
      </c>
      <c r="K288" s="1" t="s">
        <v>216</v>
      </c>
    </row>
    <row r="289" spans="1:11" x14ac:dyDescent="0.25">
      <c r="A289" s="1" t="s">
        <v>215</v>
      </c>
      <c r="B289" s="1">
        <v>10</v>
      </c>
      <c r="C289" s="1" t="s">
        <v>21</v>
      </c>
      <c r="D289" s="1">
        <v>2</v>
      </c>
      <c r="E289" s="1" t="s">
        <v>194</v>
      </c>
      <c r="F289" s="1">
        <v>21</v>
      </c>
      <c r="G289" s="1">
        <v>18</v>
      </c>
      <c r="H289" s="1" t="s">
        <v>169</v>
      </c>
      <c r="I289" s="1" t="s">
        <v>201</v>
      </c>
      <c r="J289" s="1" t="s">
        <v>176</v>
      </c>
      <c r="K289" s="1" t="s">
        <v>216</v>
      </c>
    </row>
    <row r="290" spans="1:11" x14ac:dyDescent="0.25">
      <c r="A290" s="1" t="s">
        <v>215</v>
      </c>
      <c r="B290" s="1">
        <v>12</v>
      </c>
      <c r="C290" s="1" t="s">
        <v>24</v>
      </c>
      <c r="D290" s="1">
        <v>1</v>
      </c>
      <c r="E290" s="1" t="s">
        <v>194</v>
      </c>
      <c r="F290" s="1">
        <v>21</v>
      </c>
      <c r="G290" s="1">
        <v>12</v>
      </c>
      <c r="H290" s="1" t="s">
        <v>169</v>
      </c>
      <c r="I290" s="1" t="s">
        <v>203</v>
      </c>
      <c r="J290" s="1" t="s">
        <v>178</v>
      </c>
      <c r="K290" s="1" t="s">
        <v>216</v>
      </c>
    </row>
    <row r="291" spans="1:11" x14ac:dyDescent="0.25">
      <c r="A291" s="1" t="s">
        <v>215</v>
      </c>
      <c r="B291" s="1">
        <v>13</v>
      </c>
      <c r="C291" s="1" t="s">
        <v>24</v>
      </c>
      <c r="D291" s="1">
        <v>2</v>
      </c>
      <c r="E291" s="1" t="s">
        <v>194</v>
      </c>
      <c r="F291" s="1">
        <v>21</v>
      </c>
      <c r="G291" s="1">
        <v>15</v>
      </c>
      <c r="H291" s="1" t="s">
        <v>169</v>
      </c>
      <c r="I291" s="1" t="s">
        <v>203</v>
      </c>
      <c r="J291" s="1" t="s">
        <v>178</v>
      </c>
      <c r="K291" s="1" t="s">
        <v>216</v>
      </c>
    </row>
    <row r="292" spans="1:11" x14ac:dyDescent="0.25">
      <c r="A292" s="1" t="s">
        <v>215</v>
      </c>
      <c r="B292" s="1">
        <v>15</v>
      </c>
      <c r="C292" s="1" t="s">
        <v>27</v>
      </c>
      <c r="D292" s="1">
        <v>1</v>
      </c>
      <c r="E292" s="1" t="s">
        <v>194</v>
      </c>
      <c r="F292" s="1">
        <v>21</v>
      </c>
      <c r="G292" s="1">
        <v>9</v>
      </c>
      <c r="H292" s="1" t="s">
        <v>169</v>
      </c>
      <c r="I292" s="1" t="s">
        <v>205</v>
      </c>
      <c r="J292" s="1" t="s">
        <v>180</v>
      </c>
      <c r="K292" s="1" t="s">
        <v>216</v>
      </c>
    </row>
    <row r="293" spans="1:11" x14ac:dyDescent="0.25">
      <c r="A293" s="1" t="s">
        <v>215</v>
      </c>
      <c r="B293" s="1">
        <v>21</v>
      </c>
      <c r="C293" s="1" t="s">
        <v>12</v>
      </c>
      <c r="D293" s="1">
        <v>1</v>
      </c>
      <c r="E293" s="1" t="s">
        <v>195</v>
      </c>
      <c r="F293" s="1">
        <v>21</v>
      </c>
      <c r="G293" s="1">
        <v>18</v>
      </c>
      <c r="H293" s="1" t="s">
        <v>168</v>
      </c>
      <c r="I293" s="1" t="s">
        <v>197</v>
      </c>
      <c r="J293" s="1" t="s">
        <v>170</v>
      </c>
      <c r="K293" s="1" t="s">
        <v>216</v>
      </c>
    </row>
    <row r="294" spans="1:11" x14ac:dyDescent="0.25">
      <c r="A294" s="1" t="s">
        <v>215</v>
      </c>
      <c r="B294" s="1">
        <v>22</v>
      </c>
      <c r="C294" s="1" t="s">
        <v>12</v>
      </c>
      <c r="D294" s="1">
        <v>2</v>
      </c>
      <c r="E294" s="1" t="s">
        <v>195</v>
      </c>
      <c r="F294" s="1">
        <v>21</v>
      </c>
      <c r="G294" s="1">
        <v>17</v>
      </c>
      <c r="H294" s="1" t="s">
        <v>168</v>
      </c>
      <c r="I294" s="1" t="s">
        <v>197</v>
      </c>
      <c r="J294" s="1" t="s">
        <v>170</v>
      </c>
      <c r="K294" s="1" t="s">
        <v>216</v>
      </c>
    </row>
    <row r="295" spans="1:11" x14ac:dyDescent="0.25">
      <c r="A295" s="1" t="s">
        <v>215</v>
      </c>
      <c r="B295" s="1">
        <v>24</v>
      </c>
      <c r="C295" s="1" t="s">
        <v>18</v>
      </c>
      <c r="D295" s="1">
        <v>1</v>
      </c>
      <c r="E295" s="1" t="s">
        <v>195</v>
      </c>
      <c r="F295" s="1">
        <v>17</v>
      </c>
      <c r="G295" s="1">
        <v>21</v>
      </c>
      <c r="H295" s="1" t="s">
        <v>168</v>
      </c>
      <c r="I295" s="1" t="s">
        <v>200</v>
      </c>
      <c r="J295" s="1" t="s">
        <v>173</v>
      </c>
      <c r="K295" s="1" t="s">
        <v>216</v>
      </c>
    </row>
    <row r="296" spans="1:11" x14ac:dyDescent="0.25">
      <c r="A296" s="1" t="s">
        <v>215</v>
      </c>
      <c r="B296" s="1">
        <v>25</v>
      </c>
      <c r="C296" s="1" t="s">
        <v>18</v>
      </c>
      <c r="D296" s="1">
        <v>2</v>
      </c>
      <c r="E296" s="1" t="s">
        <v>195</v>
      </c>
      <c r="F296" s="1">
        <v>21</v>
      </c>
      <c r="G296" s="1">
        <v>13</v>
      </c>
      <c r="H296" s="1" t="s">
        <v>168</v>
      </c>
      <c r="I296" s="1" t="s">
        <v>200</v>
      </c>
      <c r="J296" s="1" t="s">
        <v>173</v>
      </c>
      <c r="K296" s="1" t="s">
        <v>216</v>
      </c>
    </row>
    <row r="297" spans="1:11" x14ac:dyDescent="0.25">
      <c r="A297" s="1" t="s">
        <v>215</v>
      </c>
      <c r="B297" s="1">
        <v>27</v>
      </c>
      <c r="C297" s="1" t="s">
        <v>21</v>
      </c>
      <c r="D297" s="1">
        <v>1</v>
      </c>
      <c r="E297" s="1" t="s">
        <v>195</v>
      </c>
      <c r="F297" s="1">
        <v>21</v>
      </c>
      <c r="G297" s="1">
        <v>18</v>
      </c>
      <c r="H297" s="1" t="s">
        <v>168</v>
      </c>
      <c r="I297" s="1" t="s">
        <v>202</v>
      </c>
      <c r="J297" s="1" t="s">
        <v>175</v>
      </c>
      <c r="K297" s="1" t="s">
        <v>216</v>
      </c>
    </row>
    <row r="298" spans="1:11" x14ac:dyDescent="0.25">
      <c r="A298" s="1" t="s">
        <v>215</v>
      </c>
      <c r="B298" s="1">
        <v>28</v>
      </c>
      <c r="C298" s="1" t="s">
        <v>21</v>
      </c>
      <c r="D298" s="1">
        <v>2</v>
      </c>
      <c r="E298" s="1" t="s">
        <v>195</v>
      </c>
      <c r="F298" s="1">
        <v>21</v>
      </c>
      <c r="G298" s="1">
        <v>15</v>
      </c>
      <c r="H298" s="1" t="s">
        <v>168</v>
      </c>
      <c r="I298" s="1" t="s">
        <v>202</v>
      </c>
      <c r="J298" s="1" t="s">
        <v>175</v>
      </c>
      <c r="K298" s="1" t="s">
        <v>216</v>
      </c>
    </row>
    <row r="299" spans="1:11" x14ac:dyDescent="0.25">
      <c r="A299" s="1" t="s">
        <v>215</v>
      </c>
      <c r="B299" s="1">
        <v>30</v>
      </c>
      <c r="C299" s="1" t="s">
        <v>24</v>
      </c>
      <c r="D299" s="1">
        <v>1</v>
      </c>
      <c r="E299" s="1" t="s">
        <v>195</v>
      </c>
      <c r="F299" s="1">
        <v>21</v>
      </c>
      <c r="G299" s="1">
        <v>15</v>
      </c>
      <c r="H299" s="1" t="s">
        <v>168</v>
      </c>
      <c r="I299" s="1" t="s">
        <v>204</v>
      </c>
      <c r="J299" s="1" t="s">
        <v>177</v>
      </c>
      <c r="K299" s="1" t="s">
        <v>216</v>
      </c>
    </row>
    <row r="300" spans="1:11" x14ac:dyDescent="0.25">
      <c r="A300" s="1" t="s">
        <v>215</v>
      </c>
      <c r="B300" s="1">
        <v>31</v>
      </c>
      <c r="C300" s="1" t="s">
        <v>24</v>
      </c>
      <c r="D300" s="1">
        <v>2</v>
      </c>
      <c r="E300" s="1" t="s">
        <v>195</v>
      </c>
      <c r="F300" s="1">
        <v>21</v>
      </c>
      <c r="G300" s="1">
        <v>18</v>
      </c>
      <c r="H300" s="1" t="s">
        <v>168</v>
      </c>
      <c r="I300" s="1" t="s">
        <v>204</v>
      </c>
      <c r="J300" s="1" t="s">
        <v>177</v>
      </c>
      <c r="K300" s="1" t="s">
        <v>216</v>
      </c>
    </row>
    <row r="301" spans="1:11" x14ac:dyDescent="0.25">
      <c r="A301" s="1" t="s">
        <v>215</v>
      </c>
      <c r="B301" s="1">
        <v>33</v>
      </c>
      <c r="C301" s="1" t="s">
        <v>27</v>
      </c>
      <c r="D301" s="1">
        <v>1</v>
      </c>
      <c r="E301" s="1" t="s">
        <v>195</v>
      </c>
      <c r="F301" s="1">
        <v>21</v>
      </c>
      <c r="G301" s="1">
        <v>17</v>
      </c>
      <c r="H301" s="1" t="s">
        <v>168</v>
      </c>
      <c r="I301" s="1" t="s">
        <v>206</v>
      </c>
      <c r="J301" s="1" t="s">
        <v>179</v>
      </c>
      <c r="K301" s="1" t="s">
        <v>216</v>
      </c>
    </row>
    <row r="302" spans="1:11" x14ac:dyDescent="0.25">
      <c r="A302" s="1" t="s">
        <v>215</v>
      </c>
      <c r="B302" s="1">
        <v>34</v>
      </c>
      <c r="C302" s="1" t="s">
        <v>27</v>
      </c>
      <c r="D302" s="1">
        <v>2</v>
      </c>
      <c r="E302" s="1" t="s">
        <v>195</v>
      </c>
      <c r="F302" s="1">
        <v>21</v>
      </c>
      <c r="G302" s="1">
        <v>11</v>
      </c>
      <c r="H302" s="1" t="s">
        <v>168</v>
      </c>
      <c r="I302" s="1" t="s">
        <v>206</v>
      </c>
      <c r="J302" s="1" t="s">
        <v>179</v>
      </c>
      <c r="K302" s="1" t="s">
        <v>216</v>
      </c>
    </row>
    <row r="303" spans="1:11" x14ac:dyDescent="0.25">
      <c r="A303" s="1" t="s">
        <v>215</v>
      </c>
      <c r="B303" s="1">
        <v>39</v>
      </c>
      <c r="C303" s="1" t="s">
        <v>12</v>
      </c>
      <c r="D303" s="1">
        <v>1</v>
      </c>
      <c r="E303" s="1" t="s">
        <v>146</v>
      </c>
      <c r="F303" s="1">
        <v>19</v>
      </c>
      <c r="G303" s="1">
        <v>21</v>
      </c>
      <c r="H303" s="1" t="s">
        <v>156</v>
      </c>
      <c r="I303" s="1" t="s">
        <v>148</v>
      </c>
      <c r="J303" s="1" t="s">
        <v>158</v>
      </c>
      <c r="K303" s="1" t="s">
        <v>216</v>
      </c>
    </row>
    <row r="304" spans="1:11" x14ac:dyDescent="0.25">
      <c r="A304" s="1" t="s">
        <v>215</v>
      </c>
      <c r="B304" s="1">
        <v>40</v>
      </c>
      <c r="C304" s="1" t="s">
        <v>12</v>
      </c>
      <c r="D304" s="1">
        <v>2</v>
      </c>
      <c r="E304" s="1" t="s">
        <v>146</v>
      </c>
      <c r="F304" s="1">
        <v>11</v>
      </c>
      <c r="G304" s="1">
        <v>10</v>
      </c>
      <c r="H304" s="1" t="s">
        <v>156</v>
      </c>
      <c r="I304" s="1" t="s">
        <v>148</v>
      </c>
      <c r="J304" s="1" t="s">
        <v>158</v>
      </c>
      <c r="K304" s="1" t="s">
        <v>216</v>
      </c>
    </row>
    <row r="305" spans="1:11" x14ac:dyDescent="0.25">
      <c r="A305" s="1" t="s">
        <v>215</v>
      </c>
      <c r="B305" s="1">
        <v>42</v>
      </c>
      <c r="C305" s="1" t="s">
        <v>18</v>
      </c>
      <c r="D305" s="1">
        <v>1</v>
      </c>
      <c r="E305" s="1" t="s">
        <v>146</v>
      </c>
      <c r="F305" s="1">
        <v>27</v>
      </c>
      <c r="G305" s="1">
        <v>29</v>
      </c>
      <c r="H305" s="1" t="s">
        <v>156</v>
      </c>
      <c r="I305" s="1" t="s">
        <v>151</v>
      </c>
      <c r="J305" s="1" t="s">
        <v>161</v>
      </c>
      <c r="K305" s="1" t="s">
        <v>216</v>
      </c>
    </row>
    <row r="306" spans="1:11" x14ac:dyDescent="0.25">
      <c r="A306" s="1" t="s">
        <v>215</v>
      </c>
      <c r="B306" s="1">
        <v>43</v>
      </c>
      <c r="C306" s="1" t="s">
        <v>18</v>
      </c>
      <c r="D306" s="1">
        <v>2</v>
      </c>
      <c r="E306" s="1" t="s">
        <v>146</v>
      </c>
      <c r="F306" s="1">
        <v>15</v>
      </c>
      <c r="G306" s="1">
        <v>21</v>
      </c>
      <c r="H306" s="1" t="s">
        <v>156</v>
      </c>
      <c r="I306" s="1" t="s">
        <v>151</v>
      </c>
      <c r="J306" s="1" t="s">
        <v>161</v>
      </c>
      <c r="K306" s="1" t="s">
        <v>216</v>
      </c>
    </row>
    <row r="307" spans="1:11" x14ac:dyDescent="0.25">
      <c r="A307" s="1" t="s">
        <v>215</v>
      </c>
      <c r="B307" s="1">
        <v>45</v>
      </c>
      <c r="C307" s="1" t="s">
        <v>21</v>
      </c>
      <c r="D307" s="1">
        <v>1</v>
      </c>
      <c r="E307" s="1" t="s">
        <v>146</v>
      </c>
      <c r="F307" s="1">
        <v>21</v>
      </c>
      <c r="G307" s="1">
        <v>18</v>
      </c>
      <c r="H307" s="1" t="s">
        <v>156</v>
      </c>
      <c r="I307" s="1" t="s">
        <v>153</v>
      </c>
      <c r="J307" s="1" t="s">
        <v>163</v>
      </c>
      <c r="K307" s="1" t="s">
        <v>216</v>
      </c>
    </row>
    <row r="308" spans="1:11" x14ac:dyDescent="0.25">
      <c r="A308" s="1" t="s">
        <v>215</v>
      </c>
      <c r="B308" s="1">
        <v>46</v>
      </c>
      <c r="C308" s="1" t="s">
        <v>21</v>
      </c>
      <c r="D308" s="1">
        <v>2</v>
      </c>
      <c r="E308" s="1" t="s">
        <v>146</v>
      </c>
      <c r="F308" s="1">
        <v>21</v>
      </c>
      <c r="G308" s="1">
        <v>17</v>
      </c>
      <c r="H308" s="1" t="s">
        <v>156</v>
      </c>
      <c r="I308" s="1" t="s">
        <v>153</v>
      </c>
      <c r="J308" s="1" t="s">
        <v>163</v>
      </c>
      <c r="K308" s="1" t="s">
        <v>216</v>
      </c>
    </row>
    <row r="309" spans="1:11" x14ac:dyDescent="0.25">
      <c r="A309" s="1" t="s">
        <v>215</v>
      </c>
      <c r="B309" s="1">
        <v>48</v>
      </c>
      <c r="C309" s="1" t="s">
        <v>24</v>
      </c>
      <c r="D309" s="1">
        <v>1</v>
      </c>
      <c r="E309" s="1" t="s">
        <v>146</v>
      </c>
      <c r="F309" s="1">
        <v>21</v>
      </c>
      <c r="G309" s="1">
        <v>12</v>
      </c>
      <c r="H309" s="1" t="s">
        <v>156</v>
      </c>
      <c r="I309" s="1" t="s">
        <v>209</v>
      </c>
      <c r="J309" s="1" t="s">
        <v>165</v>
      </c>
      <c r="K309" s="1" t="s">
        <v>216</v>
      </c>
    </row>
    <row r="310" spans="1:11" x14ac:dyDescent="0.25">
      <c r="A310" s="1" t="s">
        <v>215</v>
      </c>
      <c r="B310" s="1">
        <v>49</v>
      </c>
      <c r="C310" s="1" t="s">
        <v>24</v>
      </c>
      <c r="D310" s="1">
        <v>2</v>
      </c>
      <c r="E310" s="1" t="s">
        <v>146</v>
      </c>
      <c r="F310" s="1">
        <v>21</v>
      </c>
      <c r="G310" s="1">
        <v>19</v>
      </c>
      <c r="H310" s="1" t="s">
        <v>156</v>
      </c>
      <c r="I310" s="1" t="s">
        <v>209</v>
      </c>
      <c r="J310" s="1" t="s">
        <v>165</v>
      </c>
      <c r="K310" s="1" t="s">
        <v>216</v>
      </c>
    </row>
    <row r="311" spans="1:11" x14ac:dyDescent="0.25">
      <c r="A311" s="1" t="s">
        <v>215</v>
      </c>
      <c r="B311" s="1">
        <v>51</v>
      </c>
      <c r="C311" s="1" t="s">
        <v>27</v>
      </c>
      <c r="D311" s="1">
        <v>1</v>
      </c>
      <c r="E311" s="1" t="s">
        <v>146</v>
      </c>
      <c r="F311" s="1">
        <v>21</v>
      </c>
      <c r="G311" s="1">
        <v>18</v>
      </c>
      <c r="H311" s="1" t="s">
        <v>156</v>
      </c>
      <c r="I311" s="1" t="s">
        <v>210</v>
      </c>
      <c r="J311" s="1" t="s">
        <v>167</v>
      </c>
      <c r="K311" s="1" t="s">
        <v>216</v>
      </c>
    </row>
    <row r="312" spans="1:11" x14ac:dyDescent="0.25">
      <c r="A312" s="1" t="s">
        <v>215</v>
      </c>
      <c r="B312" s="1">
        <v>52</v>
      </c>
      <c r="C312" s="1" t="s">
        <v>27</v>
      </c>
      <c r="D312" s="1">
        <v>2</v>
      </c>
      <c r="E312" s="1" t="s">
        <v>146</v>
      </c>
      <c r="F312" s="1">
        <v>21</v>
      </c>
      <c r="G312" s="1">
        <v>15</v>
      </c>
      <c r="H312" s="1" t="s">
        <v>156</v>
      </c>
      <c r="I312" s="1" t="s">
        <v>210</v>
      </c>
      <c r="J312" s="1" t="s">
        <v>167</v>
      </c>
      <c r="K312" s="1" t="s">
        <v>216</v>
      </c>
    </row>
    <row r="313" spans="1:11" x14ac:dyDescent="0.25">
      <c r="A313" s="1" t="s">
        <v>215</v>
      </c>
      <c r="B313" s="1">
        <v>60</v>
      </c>
      <c r="C313" s="1" t="s">
        <v>18</v>
      </c>
      <c r="D313" s="1">
        <v>1</v>
      </c>
      <c r="E313" s="1" t="s">
        <v>147</v>
      </c>
      <c r="F313" s="1">
        <v>21</v>
      </c>
      <c r="G313" s="1">
        <v>15</v>
      </c>
      <c r="H313" s="1" t="s">
        <v>155</v>
      </c>
      <c r="I313" s="1" t="s">
        <v>152</v>
      </c>
      <c r="J313" s="1" t="s">
        <v>160</v>
      </c>
      <c r="K313" s="1" t="s">
        <v>216</v>
      </c>
    </row>
    <row r="314" spans="1:11" x14ac:dyDescent="0.25">
      <c r="A314" s="1" t="s">
        <v>215</v>
      </c>
      <c r="B314" s="1">
        <v>61</v>
      </c>
      <c r="C314" s="1" t="s">
        <v>18</v>
      </c>
      <c r="D314" s="1">
        <v>2</v>
      </c>
      <c r="E314" s="1" t="s">
        <v>147</v>
      </c>
      <c r="F314" s="1">
        <v>21</v>
      </c>
      <c r="G314" s="1">
        <v>17</v>
      </c>
      <c r="H314" s="1" t="s">
        <v>155</v>
      </c>
      <c r="I314" s="1" t="s">
        <v>152</v>
      </c>
      <c r="J314" s="1" t="s">
        <v>160</v>
      </c>
      <c r="K314" s="1" t="s">
        <v>216</v>
      </c>
    </row>
    <row r="315" spans="1:11" x14ac:dyDescent="0.25">
      <c r="A315" s="1" t="s">
        <v>215</v>
      </c>
      <c r="B315" s="1">
        <v>63</v>
      </c>
      <c r="C315" s="1" t="s">
        <v>21</v>
      </c>
      <c r="D315" s="1">
        <v>1</v>
      </c>
      <c r="E315" s="1" t="s">
        <v>147</v>
      </c>
      <c r="F315" s="1">
        <v>26</v>
      </c>
      <c r="G315" s="1">
        <v>24</v>
      </c>
      <c r="H315" s="1" t="s">
        <v>155</v>
      </c>
      <c r="I315" s="1" t="s">
        <v>154</v>
      </c>
      <c r="J315" s="1" t="s">
        <v>162</v>
      </c>
      <c r="K315" s="1" t="s">
        <v>216</v>
      </c>
    </row>
    <row r="316" spans="1:11" x14ac:dyDescent="0.25">
      <c r="A316" s="1" t="s">
        <v>215</v>
      </c>
      <c r="B316" s="1">
        <v>64</v>
      </c>
      <c r="C316" s="1" t="s">
        <v>21</v>
      </c>
      <c r="D316" s="1">
        <v>2</v>
      </c>
      <c r="E316" s="1" t="s">
        <v>147</v>
      </c>
      <c r="F316" s="1">
        <v>21</v>
      </c>
      <c r="G316" s="1">
        <v>19</v>
      </c>
      <c r="H316" s="1" t="s">
        <v>155</v>
      </c>
      <c r="I316" s="1" t="s">
        <v>154</v>
      </c>
      <c r="J316" s="1" t="s">
        <v>162</v>
      </c>
      <c r="K316" s="1" t="s">
        <v>216</v>
      </c>
    </row>
    <row r="317" spans="1:11" x14ac:dyDescent="0.25">
      <c r="A317" s="1" t="s">
        <v>215</v>
      </c>
      <c r="B317" s="1">
        <v>66</v>
      </c>
      <c r="C317" s="1" t="s">
        <v>24</v>
      </c>
      <c r="D317" s="1">
        <v>1</v>
      </c>
      <c r="E317" s="1" t="s">
        <v>147</v>
      </c>
      <c r="F317" s="1">
        <v>21</v>
      </c>
      <c r="G317" s="1">
        <v>19</v>
      </c>
      <c r="H317" s="1" t="s">
        <v>155</v>
      </c>
      <c r="I317" s="1" t="s">
        <v>211</v>
      </c>
      <c r="J317" s="1" t="s">
        <v>164</v>
      </c>
      <c r="K317" s="1" t="s">
        <v>216</v>
      </c>
    </row>
    <row r="318" spans="1:11" x14ac:dyDescent="0.25">
      <c r="A318" s="1" t="s">
        <v>215</v>
      </c>
      <c r="B318" s="1">
        <v>67</v>
      </c>
      <c r="C318" s="1" t="s">
        <v>24</v>
      </c>
      <c r="D318" s="1">
        <v>2</v>
      </c>
      <c r="E318" s="1" t="s">
        <v>147</v>
      </c>
      <c r="F318" s="1">
        <v>21</v>
      </c>
      <c r="G318" s="1">
        <v>12</v>
      </c>
      <c r="H318" s="1" t="s">
        <v>155</v>
      </c>
      <c r="I318" s="1" t="s">
        <v>211</v>
      </c>
      <c r="J318" s="1" t="s">
        <v>164</v>
      </c>
      <c r="K318" s="1" t="s">
        <v>216</v>
      </c>
    </row>
    <row r="319" spans="1:11" x14ac:dyDescent="0.25">
      <c r="A319" s="1" t="s">
        <v>215</v>
      </c>
      <c r="B319" s="1">
        <v>69</v>
      </c>
      <c r="C319" s="1" t="s">
        <v>27</v>
      </c>
      <c r="D319" s="1">
        <v>1</v>
      </c>
      <c r="E319" s="1" t="s">
        <v>147</v>
      </c>
      <c r="F319" s="1">
        <v>19</v>
      </c>
      <c r="G319" s="1">
        <v>21</v>
      </c>
      <c r="H319" s="1" t="s">
        <v>155</v>
      </c>
      <c r="I319" s="1" t="s">
        <v>212</v>
      </c>
      <c r="J319" s="1" t="s">
        <v>166</v>
      </c>
      <c r="K319" s="1" t="s">
        <v>216</v>
      </c>
    </row>
    <row r="320" spans="1:11" x14ac:dyDescent="0.25">
      <c r="A320" s="1" t="s">
        <v>215</v>
      </c>
      <c r="B320" s="1">
        <v>70</v>
      </c>
      <c r="C320" s="1" t="s">
        <v>27</v>
      </c>
      <c r="D320" s="1">
        <v>2</v>
      </c>
      <c r="E320" s="1" t="s">
        <v>147</v>
      </c>
      <c r="F320" s="1">
        <v>21</v>
      </c>
      <c r="G320" s="1">
        <v>23</v>
      </c>
      <c r="H320" s="1" t="s">
        <v>155</v>
      </c>
      <c r="I320" s="1" t="s">
        <v>212</v>
      </c>
      <c r="J320" s="1" t="s">
        <v>166</v>
      </c>
      <c r="K320" s="1" t="s">
        <v>216</v>
      </c>
    </row>
    <row r="321" spans="1:11" x14ac:dyDescent="0.25">
      <c r="A321" s="1" t="s">
        <v>215</v>
      </c>
      <c r="B321" s="1">
        <v>75</v>
      </c>
      <c r="C321" s="1" t="s">
        <v>12</v>
      </c>
      <c r="D321" s="1">
        <v>1</v>
      </c>
      <c r="E321" s="1" t="s">
        <v>14</v>
      </c>
      <c r="F321" s="1">
        <v>21</v>
      </c>
      <c r="G321" s="1">
        <v>14</v>
      </c>
      <c r="H321" s="1" t="s">
        <v>44</v>
      </c>
      <c r="I321" s="1" t="s">
        <v>16</v>
      </c>
      <c r="J321" s="1" t="s">
        <v>46</v>
      </c>
      <c r="K321" s="1" t="s">
        <v>216</v>
      </c>
    </row>
    <row r="322" spans="1:11" x14ac:dyDescent="0.25">
      <c r="A322" s="1" t="s">
        <v>215</v>
      </c>
      <c r="B322" s="1">
        <v>147</v>
      </c>
      <c r="C322" s="1" t="s">
        <v>12</v>
      </c>
      <c r="D322" s="1">
        <v>1</v>
      </c>
      <c r="E322" s="1" t="s">
        <v>70</v>
      </c>
      <c r="F322" s="1">
        <v>1</v>
      </c>
      <c r="G322" s="1">
        <v>0</v>
      </c>
      <c r="H322" s="1" t="s">
        <v>96</v>
      </c>
      <c r="I322" s="1" t="s">
        <v>72</v>
      </c>
      <c r="J322" s="1" t="s">
        <v>98</v>
      </c>
      <c r="K322" s="1" t="s">
        <v>221</v>
      </c>
    </row>
    <row r="323" spans="1:11" x14ac:dyDescent="0.25">
      <c r="A323" s="1" t="s">
        <v>215</v>
      </c>
      <c r="B323" s="1">
        <v>148</v>
      </c>
      <c r="C323" s="1" t="s">
        <v>12</v>
      </c>
      <c r="D323" s="1">
        <v>2</v>
      </c>
      <c r="E323" s="1" t="s">
        <v>70</v>
      </c>
      <c r="F323" s="1">
        <v>1</v>
      </c>
      <c r="G323" s="1">
        <v>0</v>
      </c>
      <c r="H323" s="1" t="s">
        <v>96</v>
      </c>
      <c r="I323" s="1" t="s">
        <v>72</v>
      </c>
      <c r="J323" s="1" t="s">
        <v>98</v>
      </c>
      <c r="K323" s="1" t="s">
        <v>221</v>
      </c>
    </row>
    <row r="324" spans="1:11" x14ac:dyDescent="0.25">
      <c r="A324" s="1" t="s">
        <v>215</v>
      </c>
      <c r="B324" s="1">
        <v>150</v>
      </c>
      <c r="C324" s="1" t="s">
        <v>18</v>
      </c>
      <c r="D324" s="1">
        <v>1</v>
      </c>
      <c r="E324" s="1" t="s">
        <v>70</v>
      </c>
      <c r="F324" s="1">
        <v>1</v>
      </c>
      <c r="G324" s="1">
        <v>0</v>
      </c>
      <c r="H324" s="1" t="s">
        <v>96</v>
      </c>
      <c r="I324" s="1" t="s">
        <v>75</v>
      </c>
      <c r="J324" s="1" t="s">
        <v>101</v>
      </c>
      <c r="K324" s="1" t="s">
        <v>221</v>
      </c>
    </row>
    <row r="325" spans="1:11" x14ac:dyDescent="0.25">
      <c r="A325" s="1" t="s">
        <v>215</v>
      </c>
      <c r="B325" s="1">
        <v>151</v>
      </c>
      <c r="C325" s="1" t="s">
        <v>18</v>
      </c>
      <c r="D325" s="1">
        <v>2</v>
      </c>
      <c r="E325" s="1" t="s">
        <v>70</v>
      </c>
      <c r="F325" s="1">
        <v>1</v>
      </c>
      <c r="G325" s="1">
        <v>0</v>
      </c>
      <c r="H325" s="1" t="s">
        <v>96</v>
      </c>
      <c r="I325" s="1" t="s">
        <v>75</v>
      </c>
      <c r="J325" s="1" t="s">
        <v>101</v>
      </c>
      <c r="K325" s="1" t="s">
        <v>221</v>
      </c>
    </row>
    <row r="326" spans="1:11" x14ac:dyDescent="0.25">
      <c r="A326" s="1" t="s">
        <v>215</v>
      </c>
      <c r="B326" s="1">
        <v>153</v>
      </c>
      <c r="C326" s="1" t="s">
        <v>21</v>
      </c>
      <c r="D326" s="1">
        <v>1</v>
      </c>
      <c r="E326" s="1" t="s">
        <v>70</v>
      </c>
      <c r="F326" s="1">
        <v>1</v>
      </c>
      <c r="G326" s="1">
        <v>0</v>
      </c>
      <c r="H326" s="1" t="s">
        <v>96</v>
      </c>
      <c r="I326" s="1" t="s">
        <v>77</v>
      </c>
      <c r="J326" s="1" t="s">
        <v>103</v>
      </c>
      <c r="K326" s="1" t="s">
        <v>221</v>
      </c>
    </row>
    <row r="327" spans="1:11" x14ac:dyDescent="0.25">
      <c r="A327" s="1" t="s">
        <v>215</v>
      </c>
      <c r="B327" s="1">
        <v>154</v>
      </c>
      <c r="C327" s="1" t="s">
        <v>21</v>
      </c>
      <c r="D327" s="1">
        <v>2</v>
      </c>
      <c r="E327" s="1" t="s">
        <v>70</v>
      </c>
      <c r="F327" s="1">
        <v>1</v>
      </c>
      <c r="G327" s="1">
        <v>0</v>
      </c>
      <c r="H327" s="1" t="s">
        <v>96</v>
      </c>
      <c r="I327" s="1" t="s">
        <v>77</v>
      </c>
      <c r="J327" s="1" t="s">
        <v>103</v>
      </c>
      <c r="K327" s="1" t="s">
        <v>221</v>
      </c>
    </row>
    <row r="328" spans="1:11" x14ac:dyDescent="0.25">
      <c r="A328" s="1" t="s">
        <v>215</v>
      </c>
      <c r="B328" s="1">
        <v>156</v>
      </c>
      <c r="C328" s="1" t="s">
        <v>24</v>
      </c>
      <c r="D328" s="1">
        <v>1</v>
      </c>
      <c r="E328" s="1" t="s">
        <v>70</v>
      </c>
      <c r="F328" s="1">
        <v>1</v>
      </c>
      <c r="G328" s="1">
        <v>0</v>
      </c>
      <c r="H328" s="1" t="s">
        <v>96</v>
      </c>
      <c r="I328" s="1" t="s">
        <v>79</v>
      </c>
      <c r="J328" s="1" t="s">
        <v>105</v>
      </c>
      <c r="K328" s="1" t="s">
        <v>221</v>
      </c>
    </row>
    <row r="329" spans="1:11" x14ac:dyDescent="0.25">
      <c r="A329" s="1" t="s">
        <v>215</v>
      </c>
      <c r="B329" s="1">
        <v>157</v>
      </c>
      <c r="C329" s="1" t="s">
        <v>24</v>
      </c>
      <c r="D329" s="1">
        <v>2</v>
      </c>
      <c r="E329" s="1" t="s">
        <v>70</v>
      </c>
      <c r="F329" s="1">
        <v>1</v>
      </c>
      <c r="G329" s="1">
        <v>0</v>
      </c>
      <c r="H329" s="1" t="s">
        <v>96</v>
      </c>
      <c r="I329" s="1" t="s">
        <v>79</v>
      </c>
      <c r="J329" s="1" t="s">
        <v>105</v>
      </c>
      <c r="K329" s="1" t="s">
        <v>221</v>
      </c>
    </row>
    <row r="330" spans="1:11" x14ac:dyDescent="0.25">
      <c r="A330" s="1" t="s">
        <v>215</v>
      </c>
      <c r="B330" s="1">
        <v>159</v>
      </c>
      <c r="C330" s="1" t="s">
        <v>27</v>
      </c>
      <c r="D330" s="1">
        <v>1</v>
      </c>
      <c r="E330" s="1" t="s">
        <v>70</v>
      </c>
      <c r="F330" s="1">
        <v>0</v>
      </c>
      <c r="G330" s="1">
        <v>1</v>
      </c>
      <c r="H330" s="1" t="s">
        <v>96</v>
      </c>
      <c r="I330" s="1" t="s">
        <v>81</v>
      </c>
      <c r="J330" s="1" t="s">
        <v>107</v>
      </c>
      <c r="K330" s="1" t="s">
        <v>221</v>
      </c>
    </row>
    <row r="331" spans="1:11" x14ac:dyDescent="0.25">
      <c r="A331" s="1" t="s">
        <v>215</v>
      </c>
      <c r="B331" s="1">
        <v>160</v>
      </c>
      <c r="C331" s="1" t="s">
        <v>27</v>
      </c>
      <c r="D331" s="1">
        <v>2</v>
      </c>
      <c r="E331" s="1" t="s">
        <v>70</v>
      </c>
      <c r="F331" s="1">
        <v>0</v>
      </c>
      <c r="G331" s="1">
        <v>1</v>
      </c>
      <c r="H331" s="1" t="s">
        <v>96</v>
      </c>
      <c r="I331" s="1" t="s">
        <v>81</v>
      </c>
      <c r="J331" s="1" t="s">
        <v>107</v>
      </c>
      <c r="K331" s="1" t="s">
        <v>221</v>
      </c>
    </row>
    <row r="332" spans="1:11" x14ac:dyDescent="0.25">
      <c r="A332" s="1" t="s">
        <v>215</v>
      </c>
      <c r="B332" s="1">
        <v>165</v>
      </c>
      <c r="C332" s="1" t="s">
        <v>12</v>
      </c>
      <c r="D332" s="1">
        <v>1</v>
      </c>
      <c r="E332" s="1" t="s">
        <v>57</v>
      </c>
      <c r="F332" s="1">
        <v>18</v>
      </c>
      <c r="G332" s="1">
        <v>21</v>
      </c>
      <c r="H332" s="1" t="s">
        <v>83</v>
      </c>
      <c r="I332" s="1" t="s">
        <v>59</v>
      </c>
      <c r="J332" s="1" t="s">
        <v>85</v>
      </c>
      <c r="K332" s="1" t="s">
        <v>221</v>
      </c>
    </row>
    <row r="333" spans="1:11" x14ac:dyDescent="0.25">
      <c r="A333" s="1" t="s">
        <v>215</v>
      </c>
      <c r="B333" s="1">
        <v>166</v>
      </c>
      <c r="C333" s="1" t="s">
        <v>12</v>
      </c>
      <c r="D333" s="1">
        <v>2</v>
      </c>
      <c r="E333" s="1" t="s">
        <v>57</v>
      </c>
      <c r="F333" s="1">
        <v>0</v>
      </c>
      <c r="G333" s="1">
        <v>1</v>
      </c>
      <c r="H333" s="1" t="s">
        <v>83</v>
      </c>
      <c r="I333" s="1" t="s">
        <v>59</v>
      </c>
      <c r="J333" s="1" t="s">
        <v>85</v>
      </c>
      <c r="K333" s="1" t="s">
        <v>221</v>
      </c>
    </row>
    <row r="334" spans="1:11" x14ac:dyDescent="0.25">
      <c r="A334" s="1" t="s">
        <v>215</v>
      </c>
      <c r="B334" s="1">
        <v>168</v>
      </c>
      <c r="C334" s="1" t="s">
        <v>18</v>
      </c>
      <c r="D334" s="1">
        <v>1</v>
      </c>
      <c r="E334" s="1" t="s">
        <v>57</v>
      </c>
      <c r="F334" s="1">
        <v>21</v>
      </c>
      <c r="G334" s="1">
        <v>18</v>
      </c>
      <c r="H334" s="1" t="s">
        <v>83</v>
      </c>
      <c r="I334" s="1" t="s">
        <v>62</v>
      </c>
      <c r="J334" s="1" t="s">
        <v>88</v>
      </c>
      <c r="K334" s="1" t="s">
        <v>221</v>
      </c>
    </row>
    <row r="335" spans="1:11" x14ac:dyDescent="0.25">
      <c r="A335" s="1" t="s">
        <v>215</v>
      </c>
      <c r="B335" s="1">
        <v>169</v>
      </c>
      <c r="C335" s="1" t="s">
        <v>18</v>
      </c>
      <c r="D335" s="1">
        <v>2</v>
      </c>
      <c r="E335" s="1" t="s">
        <v>57</v>
      </c>
      <c r="F335" s="1">
        <v>1</v>
      </c>
      <c r="G335" s="1">
        <v>0</v>
      </c>
      <c r="H335" s="1" t="s">
        <v>83</v>
      </c>
      <c r="I335" s="1" t="s">
        <v>62</v>
      </c>
      <c r="J335" s="1" t="s">
        <v>88</v>
      </c>
      <c r="K335" s="1" t="s">
        <v>221</v>
      </c>
    </row>
    <row r="336" spans="1:11" x14ac:dyDescent="0.25">
      <c r="A336" s="1" t="s">
        <v>215</v>
      </c>
      <c r="B336" s="1">
        <v>171</v>
      </c>
      <c r="C336" s="1" t="s">
        <v>21</v>
      </c>
      <c r="D336" s="1">
        <v>1</v>
      </c>
      <c r="E336" s="1" t="s">
        <v>57</v>
      </c>
      <c r="F336" s="1">
        <v>14</v>
      </c>
      <c r="G336" s="1">
        <v>21</v>
      </c>
      <c r="H336" s="1" t="s">
        <v>83</v>
      </c>
      <c r="I336" s="1" t="s">
        <v>64</v>
      </c>
      <c r="J336" s="1" t="s">
        <v>90</v>
      </c>
      <c r="K336" s="1" t="s">
        <v>221</v>
      </c>
    </row>
    <row r="337" spans="1:11" x14ac:dyDescent="0.25">
      <c r="A337" s="1" t="s">
        <v>215</v>
      </c>
      <c r="B337" s="1">
        <v>172</v>
      </c>
      <c r="C337" s="1" t="s">
        <v>21</v>
      </c>
      <c r="D337" s="1">
        <v>2</v>
      </c>
      <c r="E337" s="1" t="s">
        <v>57</v>
      </c>
      <c r="F337" s="1">
        <v>0</v>
      </c>
      <c r="G337" s="1">
        <v>1</v>
      </c>
      <c r="H337" s="1" t="s">
        <v>83</v>
      </c>
      <c r="I337" s="1" t="s">
        <v>64</v>
      </c>
      <c r="J337" s="1" t="s">
        <v>90</v>
      </c>
      <c r="K337" s="1" t="s">
        <v>221</v>
      </c>
    </row>
    <row r="338" spans="1:11" x14ac:dyDescent="0.25">
      <c r="A338" s="1" t="s">
        <v>215</v>
      </c>
      <c r="B338" s="1">
        <v>174</v>
      </c>
      <c r="C338" s="1" t="s">
        <v>24</v>
      </c>
      <c r="D338" s="1">
        <v>1</v>
      </c>
      <c r="E338" s="1" t="s">
        <v>57</v>
      </c>
      <c r="F338" s="1">
        <v>21</v>
      </c>
      <c r="G338" s="1">
        <v>13</v>
      </c>
      <c r="H338" s="1" t="s">
        <v>83</v>
      </c>
      <c r="I338" s="1" t="s">
        <v>66</v>
      </c>
      <c r="J338" s="1" t="s">
        <v>92</v>
      </c>
      <c r="K338" s="1" t="s">
        <v>221</v>
      </c>
    </row>
    <row r="339" spans="1:11" x14ac:dyDescent="0.25">
      <c r="A339" s="1" t="s">
        <v>215</v>
      </c>
      <c r="B339" s="1">
        <v>175</v>
      </c>
      <c r="C339" s="1" t="s">
        <v>24</v>
      </c>
      <c r="D339" s="1">
        <v>2</v>
      </c>
      <c r="E339" s="1" t="s">
        <v>57</v>
      </c>
      <c r="F339" s="1">
        <v>1</v>
      </c>
      <c r="G339" s="1">
        <v>0</v>
      </c>
      <c r="H339" s="1" t="s">
        <v>83</v>
      </c>
      <c r="I339" s="1" t="s">
        <v>66</v>
      </c>
      <c r="J339" s="1" t="s">
        <v>92</v>
      </c>
      <c r="K339" s="1" t="s">
        <v>221</v>
      </c>
    </row>
    <row r="340" spans="1:11" x14ac:dyDescent="0.25">
      <c r="A340" s="1" t="s">
        <v>215</v>
      </c>
      <c r="B340" s="1">
        <v>177</v>
      </c>
      <c r="C340" s="1" t="s">
        <v>27</v>
      </c>
      <c r="D340" s="1">
        <v>1</v>
      </c>
      <c r="E340" s="1" t="s">
        <v>57</v>
      </c>
      <c r="F340" s="1">
        <v>21</v>
      </c>
      <c r="G340" s="1">
        <v>17</v>
      </c>
      <c r="H340" s="1" t="s">
        <v>83</v>
      </c>
      <c r="I340" s="1" t="s">
        <v>68</v>
      </c>
      <c r="J340" s="1" t="s">
        <v>94</v>
      </c>
      <c r="K340" s="1" t="s">
        <v>221</v>
      </c>
    </row>
    <row r="341" spans="1:11" x14ac:dyDescent="0.25">
      <c r="A341" s="1" t="s">
        <v>215</v>
      </c>
      <c r="B341" s="1">
        <v>178</v>
      </c>
      <c r="C341" s="1" t="s">
        <v>27</v>
      </c>
      <c r="D341" s="1">
        <v>2</v>
      </c>
      <c r="E341" s="1" t="s">
        <v>57</v>
      </c>
      <c r="F341" s="1">
        <v>1</v>
      </c>
      <c r="G341" s="1">
        <v>0</v>
      </c>
      <c r="H341" s="1" t="s">
        <v>83</v>
      </c>
      <c r="I341" s="1" t="s">
        <v>68</v>
      </c>
      <c r="J341" s="1" t="s">
        <v>94</v>
      </c>
      <c r="K341" s="1" t="s">
        <v>221</v>
      </c>
    </row>
    <row r="342" spans="1:11" x14ac:dyDescent="0.25">
      <c r="A342" s="1" t="s">
        <v>215</v>
      </c>
      <c r="B342" s="1">
        <v>183</v>
      </c>
      <c r="C342" s="1" t="s">
        <v>12</v>
      </c>
      <c r="D342" s="1">
        <v>1</v>
      </c>
      <c r="E342" s="1" t="s">
        <v>95</v>
      </c>
      <c r="F342" s="1">
        <v>17</v>
      </c>
      <c r="G342" s="1">
        <v>21</v>
      </c>
      <c r="H342" s="1" t="s">
        <v>69</v>
      </c>
      <c r="I342" s="1" t="s">
        <v>97</v>
      </c>
      <c r="J342" s="1" t="s">
        <v>71</v>
      </c>
      <c r="K342" s="1" t="s">
        <v>221</v>
      </c>
    </row>
    <row r="343" spans="1:11" x14ac:dyDescent="0.25">
      <c r="A343" s="1" t="s">
        <v>215</v>
      </c>
      <c r="B343" s="1">
        <v>184</v>
      </c>
      <c r="C343" s="1" t="s">
        <v>12</v>
      </c>
      <c r="D343" s="1">
        <v>2</v>
      </c>
      <c r="E343" s="1" t="s">
        <v>95</v>
      </c>
      <c r="F343" s="1">
        <v>0</v>
      </c>
      <c r="G343" s="1">
        <v>1</v>
      </c>
      <c r="H343" s="1" t="s">
        <v>69</v>
      </c>
      <c r="I343" s="1" t="s">
        <v>97</v>
      </c>
      <c r="J343" s="1" t="s">
        <v>71</v>
      </c>
      <c r="K343" s="1" t="s">
        <v>221</v>
      </c>
    </row>
    <row r="344" spans="1:11" x14ac:dyDescent="0.25">
      <c r="A344" s="1" t="s">
        <v>215</v>
      </c>
      <c r="B344" s="1">
        <v>186</v>
      </c>
      <c r="C344" s="1" t="s">
        <v>18</v>
      </c>
      <c r="D344" s="1">
        <v>1</v>
      </c>
      <c r="E344" s="1" t="s">
        <v>95</v>
      </c>
      <c r="F344" s="1">
        <v>18</v>
      </c>
      <c r="G344" s="1">
        <v>21</v>
      </c>
      <c r="H344" s="1" t="s">
        <v>69</v>
      </c>
      <c r="I344" s="1" t="s">
        <v>100</v>
      </c>
      <c r="J344" s="1" t="s">
        <v>74</v>
      </c>
      <c r="K344" s="1" t="s">
        <v>221</v>
      </c>
    </row>
    <row r="345" spans="1:11" x14ac:dyDescent="0.25">
      <c r="A345" s="1" t="s">
        <v>215</v>
      </c>
      <c r="B345" s="1">
        <v>187</v>
      </c>
      <c r="C345" s="1" t="s">
        <v>18</v>
      </c>
      <c r="D345" s="1">
        <v>2</v>
      </c>
      <c r="E345" s="1" t="s">
        <v>95</v>
      </c>
      <c r="F345" s="1">
        <v>0</v>
      </c>
      <c r="G345" s="1">
        <v>1</v>
      </c>
      <c r="H345" s="1" t="s">
        <v>69</v>
      </c>
      <c r="I345" s="1" t="s">
        <v>100</v>
      </c>
      <c r="J345" s="1" t="s">
        <v>74</v>
      </c>
      <c r="K345" s="1" t="s">
        <v>221</v>
      </c>
    </row>
    <row r="346" spans="1:11" x14ac:dyDescent="0.25">
      <c r="A346" s="1" t="s">
        <v>215</v>
      </c>
      <c r="B346" s="1">
        <v>189</v>
      </c>
      <c r="C346" s="1" t="s">
        <v>21</v>
      </c>
      <c r="D346" s="1">
        <v>1</v>
      </c>
      <c r="E346" s="1" t="s">
        <v>95</v>
      </c>
      <c r="F346" s="1">
        <v>21</v>
      </c>
      <c r="G346" s="1">
        <v>23</v>
      </c>
      <c r="H346" s="1" t="s">
        <v>69</v>
      </c>
      <c r="I346" s="1" t="s">
        <v>102</v>
      </c>
      <c r="J346" s="1" t="s">
        <v>76</v>
      </c>
      <c r="K346" s="1" t="s">
        <v>221</v>
      </c>
    </row>
    <row r="347" spans="1:11" x14ac:dyDescent="0.25">
      <c r="A347" s="1" t="s">
        <v>215</v>
      </c>
      <c r="B347" s="1">
        <v>190</v>
      </c>
      <c r="C347" s="1" t="s">
        <v>21</v>
      </c>
      <c r="D347" s="1">
        <v>2</v>
      </c>
      <c r="E347" s="1" t="s">
        <v>95</v>
      </c>
      <c r="F347" s="1">
        <v>0</v>
      </c>
      <c r="G347" s="1">
        <v>1</v>
      </c>
      <c r="H347" s="1" t="s">
        <v>69</v>
      </c>
      <c r="I347" s="1" t="s">
        <v>102</v>
      </c>
      <c r="J347" s="1" t="s">
        <v>76</v>
      </c>
      <c r="K347" s="1" t="s">
        <v>221</v>
      </c>
    </row>
    <row r="348" spans="1:11" x14ac:dyDescent="0.25">
      <c r="A348" s="1" t="s">
        <v>215</v>
      </c>
      <c r="B348" s="1">
        <v>192</v>
      </c>
      <c r="C348" s="1" t="s">
        <v>24</v>
      </c>
      <c r="D348" s="1">
        <v>1</v>
      </c>
      <c r="E348" s="1" t="s">
        <v>95</v>
      </c>
      <c r="F348" s="1">
        <v>21</v>
      </c>
      <c r="G348" s="1">
        <v>19</v>
      </c>
      <c r="H348" s="1" t="s">
        <v>69</v>
      </c>
      <c r="I348" s="1" t="s">
        <v>104</v>
      </c>
      <c r="J348" s="1" t="s">
        <v>78</v>
      </c>
      <c r="K348" s="1" t="s">
        <v>221</v>
      </c>
    </row>
    <row r="349" spans="1:11" x14ac:dyDescent="0.25">
      <c r="A349" s="1" t="s">
        <v>215</v>
      </c>
      <c r="B349" s="1">
        <v>193</v>
      </c>
      <c r="C349" s="1" t="s">
        <v>24</v>
      </c>
      <c r="D349" s="1">
        <v>2</v>
      </c>
      <c r="E349" s="1" t="s">
        <v>95</v>
      </c>
      <c r="F349" s="1">
        <v>1</v>
      </c>
      <c r="G349" s="1">
        <v>0</v>
      </c>
      <c r="H349" s="1" t="s">
        <v>69</v>
      </c>
      <c r="I349" s="1" t="s">
        <v>104</v>
      </c>
      <c r="J349" s="1" t="s">
        <v>78</v>
      </c>
      <c r="K349" s="1" t="s">
        <v>221</v>
      </c>
    </row>
    <row r="350" spans="1:11" x14ac:dyDescent="0.25">
      <c r="A350" s="1" t="s">
        <v>215</v>
      </c>
      <c r="B350" s="1">
        <v>195</v>
      </c>
      <c r="C350" s="1" t="s">
        <v>27</v>
      </c>
      <c r="D350" s="1">
        <v>1</v>
      </c>
      <c r="E350" s="1" t="s">
        <v>95</v>
      </c>
      <c r="F350" s="1">
        <v>21</v>
      </c>
      <c r="G350" s="1">
        <v>15</v>
      </c>
      <c r="H350" s="1" t="s">
        <v>69</v>
      </c>
      <c r="I350" s="1" t="s">
        <v>106</v>
      </c>
      <c r="J350" s="1" t="s">
        <v>80</v>
      </c>
      <c r="K350" s="1" t="s">
        <v>221</v>
      </c>
    </row>
    <row r="351" spans="1:11" x14ac:dyDescent="0.25">
      <c r="A351" s="1" t="s">
        <v>215</v>
      </c>
      <c r="B351" s="1">
        <v>196</v>
      </c>
      <c r="C351" s="1" t="s">
        <v>27</v>
      </c>
      <c r="D351" s="1">
        <v>2</v>
      </c>
      <c r="E351" s="1" t="s">
        <v>95</v>
      </c>
      <c r="F351" s="1">
        <v>1</v>
      </c>
      <c r="G351" s="1">
        <v>0</v>
      </c>
      <c r="H351" s="1" t="s">
        <v>69</v>
      </c>
      <c r="I351" s="1" t="s">
        <v>106</v>
      </c>
      <c r="J351" s="1" t="s">
        <v>80</v>
      </c>
      <c r="K351" s="1" t="s">
        <v>221</v>
      </c>
    </row>
    <row r="352" spans="1:11" x14ac:dyDescent="0.25">
      <c r="A352" s="1" t="s">
        <v>215</v>
      </c>
      <c r="B352" s="1">
        <v>201</v>
      </c>
      <c r="C352" s="1" t="s">
        <v>12</v>
      </c>
      <c r="D352" s="1">
        <v>1</v>
      </c>
      <c r="E352" s="1" t="s">
        <v>82</v>
      </c>
      <c r="F352" s="1">
        <v>18</v>
      </c>
      <c r="G352" s="1">
        <v>21</v>
      </c>
      <c r="H352" s="1" t="s">
        <v>56</v>
      </c>
      <c r="I352" s="1" t="s">
        <v>84</v>
      </c>
      <c r="J352" s="1" t="s">
        <v>58</v>
      </c>
      <c r="K352" s="1" t="s">
        <v>221</v>
      </c>
    </row>
    <row r="353" spans="1:11" x14ac:dyDescent="0.25">
      <c r="A353" s="1" t="s">
        <v>215</v>
      </c>
      <c r="B353" s="1">
        <v>202</v>
      </c>
      <c r="C353" s="1" t="s">
        <v>12</v>
      </c>
      <c r="D353" s="1">
        <v>2</v>
      </c>
      <c r="E353" s="1" t="s">
        <v>82</v>
      </c>
      <c r="F353" s="1">
        <v>0</v>
      </c>
      <c r="G353" s="1">
        <v>1</v>
      </c>
      <c r="H353" s="1" t="s">
        <v>56</v>
      </c>
      <c r="I353" s="1" t="s">
        <v>84</v>
      </c>
      <c r="J353" s="1" t="s">
        <v>58</v>
      </c>
      <c r="K353" s="1" t="s">
        <v>221</v>
      </c>
    </row>
    <row r="354" spans="1:11" x14ac:dyDescent="0.25">
      <c r="A354" s="1" t="s">
        <v>215</v>
      </c>
      <c r="B354" s="1">
        <v>204</v>
      </c>
      <c r="C354" s="1" t="s">
        <v>18</v>
      </c>
      <c r="D354" s="1">
        <v>1</v>
      </c>
      <c r="E354" s="1" t="s">
        <v>82</v>
      </c>
      <c r="F354" s="1">
        <v>21</v>
      </c>
      <c r="G354" s="1">
        <v>12</v>
      </c>
      <c r="H354" s="1" t="s">
        <v>56</v>
      </c>
      <c r="I354" s="1" t="s">
        <v>87</v>
      </c>
      <c r="J354" s="1" t="s">
        <v>61</v>
      </c>
      <c r="K354" s="1" t="s">
        <v>221</v>
      </c>
    </row>
    <row r="355" spans="1:11" x14ac:dyDescent="0.25">
      <c r="A355" s="1" t="s">
        <v>215</v>
      </c>
      <c r="B355" s="1">
        <v>205</v>
      </c>
      <c r="C355" s="1" t="s">
        <v>18</v>
      </c>
      <c r="D355" s="1">
        <v>2</v>
      </c>
      <c r="E355" s="1" t="s">
        <v>82</v>
      </c>
      <c r="F355" s="1">
        <v>1</v>
      </c>
      <c r="G355" s="1">
        <v>0</v>
      </c>
      <c r="H355" s="1" t="s">
        <v>56</v>
      </c>
      <c r="I355" s="1" t="s">
        <v>87</v>
      </c>
      <c r="J355" s="1" t="s">
        <v>61</v>
      </c>
      <c r="K355" s="1" t="s">
        <v>221</v>
      </c>
    </row>
    <row r="356" spans="1:11" x14ac:dyDescent="0.25">
      <c r="A356" s="1" t="s">
        <v>215</v>
      </c>
      <c r="B356" s="1">
        <v>207</v>
      </c>
      <c r="C356" s="1" t="s">
        <v>21</v>
      </c>
      <c r="D356" s="1">
        <v>1</v>
      </c>
      <c r="E356" s="1" t="s">
        <v>82</v>
      </c>
      <c r="F356" s="1">
        <v>21</v>
      </c>
      <c r="G356" s="1">
        <v>15</v>
      </c>
      <c r="H356" s="1" t="s">
        <v>56</v>
      </c>
      <c r="I356" s="1" t="s">
        <v>89</v>
      </c>
      <c r="J356" s="1" t="s">
        <v>63</v>
      </c>
      <c r="K356" s="1" t="s">
        <v>221</v>
      </c>
    </row>
    <row r="357" spans="1:11" x14ac:dyDescent="0.25">
      <c r="A357" s="1" t="s">
        <v>215</v>
      </c>
      <c r="B357" s="1">
        <v>208</v>
      </c>
      <c r="C357" s="1" t="s">
        <v>21</v>
      </c>
      <c r="D357" s="1">
        <v>2</v>
      </c>
      <c r="E357" s="1" t="s">
        <v>82</v>
      </c>
      <c r="F357" s="1">
        <v>1</v>
      </c>
      <c r="G357" s="1">
        <v>0</v>
      </c>
      <c r="H357" s="1" t="s">
        <v>56</v>
      </c>
      <c r="I357" s="1" t="s">
        <v>89</v>
      </c>
      <c r="J357" s="1" t="s">
        <v>63</v>
      </c>
      <c r="K357" s="1" t="s">
        <v>221</v>
      </c>
    </row>
    <row r="358" spans="1:11" x14ac:dyDescent="0.25">
      <c r="A358" s="1" t="s">
        <v>215</v>
      </c>
      <c r="B358" s="1">
        <v>210</v>
      </c>
      <c r="C358" s="1" t="s">
        <v>24</v>
      </c>
      <c r="D358" s="1">
        <v>1</v>
      </c>
      <c r="E358" s="1" t="s">
        <v>82</v>
      </c>
      <c r="F358" s="1">
        <v>17</v>
      </c>
      <c r="G358" s="1">
        <v>21</v>
      </c>
      <c r="H358" s="1" t="s">
        <v>56</v>
      </c>
      <c r="I358" s="1" t="s">
        <v>91</v>
      </c>
      <c r="J358" s="1" t="s">
        <v>65</v>
      </c>
      <c r="K358" s="1" t="s">
        <v>221</v>
      </c>
    </row>
    <row r="359" spans="1:11" x14ac:dyDescent="0.25">
      <c r="A359" s="1" t="s">
        <v>215</v>
      </c>
      <c r="B359" s="1">
        <v>211</v>
      </c>
      <c r="C359" s="1" t="s">
        <v>24</v>
      </c>
      <c r="D359" s="1">
        <v>2</v>
      </c>
      <c r="E359" s="1" t="s">
        <v>82</v>
      </c>
      <c r="F359" s="1">
        <v>0</v>
      </c>
      <c r="G359" s="1">
        <v>1</v>
      </c>
      <c r="H359" s="1" t="s">
        <v>56</v>
      </c>
      <c r="I359" s="1" t="s">
        <v>91</v>
      </c>
      <c r="J359" s="1" t="s">
        <v>65</v>
      </c>
      <c r="K359" s="1" t="s">
        <v>221</v>
      </c>
    </row>
    <row r="360" spans="1:11" x14ac:dyDescent="0.25">
      <c r="A360" s="1" t="s">
        <v>215</v>
      </c>
      <c r="B360" s="1">
        <v>213</v>
      </c>
      <c r="C360" s="1" t="s">
        <v>27</v>
      </c>
      <c r="D360" s="1">
        <v>1</v>
      </c>
      <c r="E360" s="1" t="s">
        <v>82</v>
      </c>
      <c r="F360" s="1">
        <v>16</v>
      </c>
      <c r="G360" s="1">
        <v>21</v>
      </c>
      <c r="H360" s="1" t="s">
        <v>56</v>
      </c>
      <c r="I360" s="1" t="s">
        <v>93</v>
      </c>
      <c r="J360" s="1" t="s">
        <v>67</v>
      </c>
      <c r="K360" s="1" t="s">
        <v>221</v>
      </c>
    </row>
    <row r="361" spans="1:11" x14ac:dyDescent="0.25">
      <c r="A361" s="1" t="s">
        <v>215</v>
      </c>
      <c r="B361" s="1">
        <v>214</v>
      </c>
      <c r="C361" s="1" t="s">
        <v>27</v>
      </c>
      <c r="D361" s="1">
        <v>2</v>
      </c>
      <c r="E361" s="1" t="s">
        <v>82</v>
      </c>
      <c r="F361" s="1">
        <v>0</v>
      </c>
      <c r="G361" s="1">
        <v>1</v>
      </c>
      <c r="H361" s="1" t="s">
        <v>56</v>
      </c>
      <c r="I361" s="1" t="s">
        <v>93</v>
      </c>
      <c r="J361" s="1" t="s">
        <v>67</v>
      </c>
      <c r="K361" s="1" t="s">
        <v>221</v>
      </c>
    </row>
    <row r="362" spans="1:11" x14ac:dyDescent="0.25">
      <c r="A362" s="1" t="s">
        <v>215</v>
      </c>
      <c r="B362" s="1">
        <v>219</v>
      </c>
      <c r="C362" s="1" t="s">
        <v>12</v>
      </c>
      <c r="D362" s="1">
        <v>1</v>
      </c>
      <c r="E362" s="1" t="s">
        <v>108</v>
      </c>
      <c r="F362" s="1">
        <v>1</v>
      </c>
      <c r="G362" s="1">
        <v>0</v>
      </c>
      <c r="H362" s="1" t="s">
        <v>225</v>
      </c>
      <c r="I362" s="1" t="s">
        <v>110</v>
      </c>
      <c r="J362" s="1"/>
      <c r="K362" s="1" t="s">
        <v>226</v>
      </c>
    </row>
    <row r="363" spans="1:11" x14ac:dyDescent="0.25">
      <c r="A363" s="1" t="s">
        <v>215</v>
      </c>
      <c r="B363" s="1">
        <v>220</v>
      </c>
      <c r="C363" s="1" t="s">
        <v>12</v>
      </c>
      <c r="D363" s="1">
        <v>2</v>
      </c>
      <c r="E363" s="1" t="s">
        <v>108</v>
      </c>
      <c r="F363" s="1">
        <v>1</v>
      </c>
      <c r="G363" s="1">
        <v>0</v>
      </c>
      <c r="H363" s="1" t="s">
        <v>225</v>
      </c>
      <c r="I363" s="1" t="s">
        <v>110</v>
      </c>
      <c r="J363" s="1"/>
      <c r="K363" s="1" t="s">
        <v>226</v>
      </c>
    </row>
    <row r="364" spans="1:11" x14ac:dyDescent="0.25">
      <c r="A364" s="1" t="s">
        <v>215</v>
      </c>
      <c r="B364" s="1">
        <v>222</v>
      </c>
      <c r="C364" s="1" t="s">
        <v>18</v>
      </c>
      <c r="D364" s="1">
        <v>1</v>
      </c>
      <c r="E364" s="1" t="s">
        <v>108</v>
      </c>
      <c r="F364" s="1">
        <v>1</v>
      </c>
      <c r="G364" s="1">
        <v>0</v>
      </c>
      <c r="H364" s="1" t="s">
        <v>225</v>
      </c>
      <c r="I364" s="1" t="s">
        <v>113</v>
      </c>
      <c r="J364" s="1"/>
      <c r="K364" s="1" t="s">
        <v>226</v>
      </c>
    </row>
    <row r="365" spans="1:11" x14ac:dyDescent="0.25">
      <c r="A365" s="1" t="s">
        <v>215</v>
      </c>
      <c r="B365" s="1">
        <v>223</v>
      </c>
      <c r="C365" s="1" t="s">
        <v>18</v>
      </c>
      <c r="D365" s="1">
        <v>2</v>
      </c>
      <c r="E365" s="1" t="s">
        <v>108</v>
      </c>
      <c r="F365" s="1">
        <v>1</v>
      </c>
      <c r="G365" s="1">
        <v>0</v>
      </c>
      <c r="H365" s="1" t="s">
        <v>225</v>
      </c>
      <c r="I365" s="1" t="s">
        <v>113</v>
      </c>
      <c r="J365" s="1"/>
      <c r="K365" s="1" t="s">
        <v>226</v>
      </c>
    </row>
    <row r="366" spans="1:11" x14ac:dyDescent="0.25">
      <c r="A366" s="1" t="s">
        <v>215</v>
      </c>
      <c r="B366" s="1">
        <v>225</v>
      </c>
      <c r="C366" s="1" t="s">
        <v>21</v>
      </c>
      <c r="D366" s="1">
        <v>1</v>
      </c>
      <c r="E366" s="1" t="s">
        <v>108</v>
      </c>
      <c r="F366" s="1">
        <v>1</v>
      </c>
      <c r="G366" s="1">
        <v>0</v>
      </c>
      <c r="H366" s="1" t="s">
        <v>225</v>
      </c>
      <c r="I366" s="1" t="s">
        <v>115</v>
      </c>
      <c r="J366" s="1"/>
      <c r="K366" s="1" t="s">
        <v>226</v>
      </c>
    </row>
    <row r="367" spans="1:11" x14ac:dyDescent="0.25">
      <c r="A367" s="1" t="s">
        <v>215</v>
      </c>
      <c r="B367" s="1">
        <v>226</v>
      </c>
      <c r="C367" s="1" t="s">
        <v>21</v>
      </c>
      <c r="D367" s="1">
        <v>2</v>
      </c>
      <c r="E367" s="1" t="s">
        <v>108</v>
      </c>
      <c r="F367" s="1">
        <v>1</v>
      </c>
      <c r="G367" s="1">
        <v>0</v>
      </c>
      <c r="H367" s="1" t="s">
        <v>225</v>
      </c>
      <c r="I367" s="1" t="s">
        <v>115</v>
      </c>
      <c r="J367" s="1"/>
      <c r="K367" s="1" t="s">
        <v>226</v>
      </c>
    </row>
    <row r="368" spans="1:11" x14ac:dyDescent="0.25">
      <c r="A368" s="1" t="s">
        <v>215</v>
      </c>
      <c r="B368" s="1">
        <v>228</v>
      </c>
      <c r="C368" s="1" t="s">
        <v>24</v>
      </c>
      <c r="D368" s="1">
        <v>1</v>
      </c>
      <c r="E368" s="1" t="s">
        <v>108</v>
      </c>
      <c r="F368" s="1">
        <v>1</v>
      </c>
      <c r="G368" s="1">
        <v>0</v>
      </c>
      <c r="H368" s="1" t="s">
        <v>225</v>
      </c>
      <c r="I368" s="1" t="s">
        <v>117</v>
      </c>
      <c r="J368" s="1"/>
      <c r="K368" s="1" t="s">
        <v>226</v>
      </c>
    </row>
    <row r="369" spans="1:11" x14ac:dyDescent="0.25">
      <c r="A369" s="1" t="s">
        <v>215</v>
      </c>
      <c r="B369" s="1">
        <v>229</v>
      </c>
      <c r="C369" s="1" t="s">
        <v>24</v>
      </c>
      <c r="D369" s="1">
        <v>2</v>
      </c>
      <c r="E369" s="1" t="s">
        <v>108</v>
      </c>
      <c r="F369" s="1">
        <v>1</v>
      </c>
      <c r="G369" s="1">
        <v>0</v>
      </c>
      <c r="H369" s="1" t="s">
        <v>225</v>
      </c>
      <c r="I369" s="1" t="s">
        <v>117</v>
      </c>
      <c r="J369" s="1"/>
      <c r="K369" s="1" t="s">
        <v>226</v>
      </c>
    </row>
    <row r="370" spans="1:11" x14ac:dyDescent="0.25">
      <c r="A370" s="1" t="s">
        <v>215</v>
      </c>
      <c r="B370" s="1">
        <v>231</v>
      </c>
      <c r="C370" s="1" t="s">
        <v>27</v>
      </c>
      <c r="D370" s="1">
        <v>1</v>
      </c>
      <c r="E370" s="1" t="s">
        <v>108</v>
      </c>
      <c r="F370" s="1">
        <v>1</v>
      </c>
      <c r="G370" s="1">
        <v>0</v>
      </c>
      <c r="H370" s="1" t="s">
        <v>225</v>
      </c>
      <c r="I370" s="1" t="s">
        <v>119</v>
      </c>
      <c r="J370" s="1"/>
      <c r="K370" s="1" t="s">
        <v>226</v>
      </c>
    </row>
    <row r="371" spans="1:11" x14ac:dyDescent="0.25">
      <c r="A371" s="1" t="s">
        <v>215</v>
      </c>
      <c r="B371" s="1">
        <v>232</v>
      </c>
      <c r="C371" s="1" t="s">
        <v>27</v>
      </c>
      <c r="D371" s="1">
        <v>2</v>
      </c>
      <c r="E371" s="1" t="s">
        <v>108</v>
      </c>
      <c r="F371" s="1">
        <v>1</v>
      </c>
      <c r="G371" s="1">
        <v>0</v>
      </c>
      <c r="H371" s="1" t="s">
        <v>225</v>
      </c>
      <c r="I371" s="1" t="s">
        <v>119</v>
      </c>
      <c r="J371" s="1"/>
      <c r="K371" s="1" t="s">
        <v>226</v>
      </c>
    </row>
    <row r="372" spans="1:11" x14ac:dyDescent="0.25">
      <c r="A372" s="1" t="s">
        <v>215</v>
      </c>
      <c r="B372" s="1">
        <v>237</v>
      </c>
      <c r="C372" s="1" t="s">
        <v>12</v>
      </c>
      <c r="D372" s="1">
        <v>1</v>
      </c>
      <c r="E372" s="1" t="s">
        <v>121</v>
      </c>
      <c r="F372" s="1">
        <v>1</v>
      </c>
      <c r="G372" s="1">
        <v>0</v>
      </c>
      <c r="H372" s="1" t="s">
        <v>225</v>
      </c>
      <c r="I372" s="1" t="s">
        <v>123</v>
      </c>
      <c r="J372" s="1"/>
      <c r="K372" s="1" t="s">
        <v>226</v>
      </c>
    </row>
    <row r="373" spans="1:11" x14ac:dyDescent="0.25">
      <c r="A373" s="1" t="s">
        <v>215</v>
      </c>
      <c r="B373" s="1">
        <v>238</v>
      </c>
      <c r="C373" s="1" t="s">
        <v>12</v>
      </c>
      <c r="D373" s="1">
        <v>2</v>
      </c>
      <c r="E373" s="1" t="s">
        <v>121</v>
      </c>
      <c r="F373" s="1">
        <v>1</v>
      </c>
      <c r="G373" s="1">
        <v>0</v>
      </c>
      <c r="H373" s="1" t="s">
        <v>225</v>
      </c>
      <c r="I373" s="1" t="s">
        <v>123</v>
      </c>
      <c r="J373" s="1"/>
      <c r="K373" s="1" t="s">
        <v>226</v>
      </c>
    </row>
    <row r="374" spans="1:11" x14ac:dyDescent="0.25">
      <c r="A374" s="1" t="s">
        <v>215</v>
      </c>
      <c r="B374" s="1">
        <v>240</v>
      </c>
      <c r="C374" s="1" t="s">
        <v>18</v>
      </c>
      <c r="D374" s="1">
        <v>1</v>
      </c>
      <c r="E374" s="1" t="s">
        <v>121</v>
      </c>
      <c r="F374" s="1">
        <v>1</v>
      </c>
      <c r="G374" s="1">
        <v>0</v>
      </c>
      <c r="H374" s="1" t="s">
        <v>225</v>
      </c>
      <c r="I374" s="1" t="s">
        <v>126</v>
      </c>
      <c r="J374" s="1"/>
      <c r="K374" s="1" t="s">
        <v>226</v>
      </c>
    </row>
    <row r="375" spans="1:11" x14ac:dyDescent="0.25">
      <c r="A375" s="1" t="s">
        <v>215</v>
      </c>
      <c r="B375" s="1">
        <v>241</v>
      </c>
      <c r="C375" s="1" t="s">
        <v>18</v>
      </c>
      <c r="D375" s="1">
        <v>2</v>
      </c>
      <c r="E375" s="1" t="s">
        <v>121</v>
      </c>
      <c r="F375" s="1">
        <v>1</v>
      </c>
      <c r="G375" s="1">
        <v>0</v>
      </c>
      <c r="H375" s="1" t="s">
        <v>225</v>
      </c>
      <c r="I375" s="1" t="s">
        <v>126</v>
      </c>
      <c r="J375" s="1"/>
      <c r="K375" s="1" t="s">
        <v>226</v>
      </c>
    </row>
    <row r="376" spans="1:11" x14ac:dyDescent="0.25">
      <c r="A376" s="1" t="s">
        <v>215</v>
      </c>
      <c r="B376" s="1">
        <v>243</v>
      </c>
      <c r="C376" s="1" t="s">
        <v>21</v>
      </c>
      <c r="D376" s="1">
        <v>1</v>
      </c>
      <c r="E376" s="1" t="s">
        <v>121</v>
      </c>
      <c r="F376" s="1">
        <v>1</v>
      </c>
      <c r="G376" s="1">
        <v>0</v>
      </c>
      <c r="H376" s="1" t="s">
        <v>225</v>
      </c>
      <c r="I376" s="1" t="s">
        <v>128</v>
      </c>
      <c r="J376" s="1"/>
      <c r="K376" s="1" t="s">
        <v>226</v>
      </c>
    </row>
    <row r="377" spans="1:11" x14ac:dyDescent="0.25">
      <c r="A377" s="1" t="s">
        <v>215</v>
      </c>
      <c r="B377" s="1">
        <v>244</v>
      </c>
      <c r="C377" s="1" t="s">
        <v>21</v>
      </c>
      <c r="D377" s="1">
        <v>2</v>
      </c>
      <c r="E377" s="1" t="s">
        <v>121</v>
      </c>
      <c r="F377" s="1">
        <v>1</v>
      </c>
      <c r="G377" s="1">
        <v>0</v>
      </c>
      <c r="H377" s="1" t="s">
        <v>225</v>
      </c>
      <c r="I377" s="1" t="s">
        <v>128</v>
      </c>
      <c r="J377" s="1"/>
      <c r="K377" s="1" t="s">
        <v>226</v>
      </c>
    </row>
    <row r="378" spans="1:11" x14ac:dyDescent="0.25">
      <c r="A378" s="1" t="s">
        <v>215</v>
      </c>
      <c r="B378" s="1">
        <v>246</v>
      </c>
      <c r="C378" s="1" t="s">
        <v>24</v>
      </c>
      <c r="D378" s="1">
        <v>1</v>
      </c>
      <c r="E378" s="1" t="s">
        <v>121</v>
      </c>
      <c r="F378" s="1">
        <v>1</v>
      </c>
      <c r="G378" s="1">
        <v>0</v>
      </c>
      <c r="H378" s="1" t="s">
        <v>225</v>
      </c>
      <c r="I378" s="1" t="s">
        <v>130</v>
      </c>
      <c r="J378" s="1"/>
      <c r="K378" s="1" t="s">
        <v>226</v>
      </c>
    </row>
    <row r="379" spans="1:11" x14ac:dyDescent="0.25">
      <c r="A379" s="1" t="s">
        <v>215</v>
      </c>
      <c r="B379" s="1">
        <v>247</v>
      </c>
      <c r="C379" s="1" t="s">
        <v>24</v>
      </c>
      <c r="D379" s="1">
        <v>2</v>
      </c>
      <c r="E379" s="1" t="s">
        <v>121</v>
      </c>
      <c r="F379" s="1">
        <v>1</v>
      </c>
      <c r="G379" s="1">
        <v>0</v>
      </c>
      <c r="H379" s="1" t="s">
        <v>225</v>
      </c>
      <c r="I379" s="1" t="s">
        <v>130</v>
      </c>
      <c r="J379" s="1"/>
      <c r="K379" s="1" t="s">
        <v>226</v>
      </c>
    </row>
    <row r="380" spans="1:11" x14ac:dyDescent="0.25">
      <c r="A380" s="1" t="s">
        <v>215</v>
      </c>
      <c r="B380" s="1">
        <v>249</v>
      </c>
      <c r="C380" s="1" t="s">
        <v>27</v>
      </c>
      <c r="D380" s="1">
        <v>1</v>
      </c>
      <c r="E380" s="1" t="s">
        <v>121</v>
      </c>
      <c r="F380" s="1">
        <v>1</v>
      </c>
      <c r="G380" s="1">
        <v>0</v>
      </c>
      <c r="H380" s="1" t="s">
        <v>225</v>
      </c>
      <c r="I380" s="1" t="s">
        <v>132</v>
      </c>
      <c r="J380" s="1"/>
      <c r="K380" s="1" t="s">
        <v>226</v>
      </c>
    </row>
    <row r="381" spans="1:11" x14ac:dyDescent="0.25">
      <c r="A381" s="1" t="s">
        <v>215</v>
      </c>
      <c r="B381" s="1">
        <v>250</v>
      </c>
      <c r="C381" s="1" t="s">
        <v>27</v>
      </c>
      <c r="D381" s="1">
        <v>2</v>
      </c>
      <c r="E381" s="1" t="s">
        <v>121</v>
      </c>
      <c r="F381" s="1">
        <v>1</v>
      </c>
      <c r="G381" s="1">
        <v>0</v>
      </c>
      <c r="H381" s="1" t="s">
        <v>225</v>
      </c>
      <c r="I381" s="1" t="s">
        <v>132</v>
      </c>
      <c r="J381" s="1"/>
      <c r="K381" s="1" t="s">
        <v>226</v>
      </c>
    </row>
    <row r="382" spans="1:11" x14ac:dyDescent="0.25">
      <c r="A382" s="1" t="s">
        <v>215</v>
      </c>
      <c r="B382" s="1">
        <v>255</v>
      </c>
      <c r="C382" s="1" t="s">
        <v>12</v>
      </c>
      <c r="D382" s="1">
        <v>1</v>
      </c>
      <c r="E382" s="1" t="s">
        <v>109</v>
      </c>
      <c r="F382" s="1">
        <v>21</v>
      </c>
      <c r="G382" s="1">
        <v>15</v>
      </c>
      <c r="H382" s="1" t="s">
        <v>135</v>
      </c>
      <c r="I382" s="1" t="s">
        <v>111</v>
      </c>
      <c r="J382" s="1" t="s">
        <v>137</v>
      </c>
      <c r="K382" s="1" t="s">
        <v>226</v>
      </c>
    </row>
    <row r="383" spans="1:11" x14ac:dyDescent="0.25">
      <c r="A383" s="1" t="s">
        <v>215</v>
      </c>
      <c r="B383" s="1">
        <v>256</v>
      </c>
      <c r="C383" s="1" t="s">
        <v>12</v>
      </c>
      <c r="D383" s="1">
        <v>2</v>
      </c>
      <c r="E383" s="1" t="s">
        <v>109</v>
      </c>
      <c r="F383" s="1">
        <v>1</v>
      </c>
      <c r="G383" s="1">
        <v>0</v>
      </c>
      <c r="H383" s="1" t="s">
        <v>135</v>
      </c>
      <c r="I383" s="1" t="s">
        <v>111</v>
      </c>
      <c r="J383" s="1" t="s">
        <v>137</v>
      </c>
      <c r="K383" s="1" t="s">
        <v>226</v>
      </c>
    </row>
    <row r="384" spans="1:11" x14ac:dyDescent="0.25">
      <c r="A384" s="1" t="s">
        <v>215</v>
      </c>
      <c r="B384" s="1">
        <v>258</v>
      </c>
      <c r="C384" s="1" t="s">
        <v>18</v>
      </c>
      <c r="D384" s="1">
        <v>1</v>
      </c>
      <c r="E384" s="1" t="s">
        <v>109</v>
      </c>
      <c r="F384" s="1">
        <v>22</v>
      </c>
      <c r="G384" s="1">
        <v>20</v>
      </c>
      <c r="H384" s="1" t="s">
        <v>135</v>
      </c>
      <c r="I384" s="1" t="s">
        <v>114</v>
      </c>
      <c r="J384" s="1" t="s">
        <v>140</v>
      </c>
      <c r="K384" s="1" t="s">
        <v>226</v>
      </c>
    </row>
    <row r="385" spans="1:11" x14ac:dyDescent="0.25">
      <c r="A385" s="1" t="s">
        <v>215</v>
      </c>
      <c r="B385" s="1">
        <v>259</v>
      </c>
      <c r="C385" s="1" t="s">
        <v>18</v>
      </c>
      <c r="D385" s="1">
        <v>2</v>
      </c>
      <c r="E385" s="1" t="s">
        <v>109</v>
      </c>
      <c r="F385" s="1">
        <v>1</v>
      </c>
      <c r="G385" s="1">
        <v>0</v>
      </c>
      <c r="H385" s="1" t="s">
        <v>135</v>
      </c>
      <c r="I385" s="1" t="s">
        <v>114</v>
      </c>
      <c r="J385" s="1" t="s">
        <v>140</v>
      </c>
      <c r="K385" s="1" t="s">
        <v>226</v>
      </c>
    </row>
    <row r="386" spans="1:11" x14ac:dyDescent="0.25">
      <c r="A386" s="1" t="s">
        <v>215</v>
      </c>
      <c r="B386" s="1">
        <v>261</v>
      </c>
      <c r="C386" s="1" t="s">
        <v>21</v>
      </c>
      <c r="D386" s="1">
        <v>1</v>
      </c>
      <c r="E386" s="1" t="s">
        <v>109</v>
      </c>
      <c r="F386" s="1">
        <v>21</v>
      </c>
      <c r="G386" s="1">
        <v>18</v>
      </c>
      <c r="H386" s="1" t="s">
        <v>135</v>
      </c>
      <c r="I386" s="1" t="s">
        <v>116</v>
      </c>
      <c r="J386" s="1" t="s">
        <v>142</v>
      </c>
      <c r="K386" s="1" t="s">
        <v>226</v>
      </c>
    </row>
    <row r="387" spans="1:11" x14ac:dyDescent="0.25">
      <c r="A387" s="1" t="s">
        <v>215</v>
      </c>
      <c r="B387" s="1">
        <v>262</v>
      </c>
      <c r="C387" s="1" t="s">
        <v>21</v>
      </c>
      <c r="D387" s="1">
        <v>2</v>
      </c>
      <c r="E387" s="1" t="s">
        <v>109</v>
      </c>
      <c r="F387" s="1">
        <v>1</v>
      </c>
      <c r="G387" s="1">
        <v>0</v>
      </c>
      <c r="H387" s="1" t="s">
        <v>135</v>
      </c>
      <c r="I387" s="1" t="s">
        <v>116</v>
      </c>
      <c r="J387" s="1" t="s">
        <v>142</v>
      </c>
      <c r="K387" s="1" t="s">
        <v>226</v>
      </c>
    </row>
    <row r="388" spans="1:11" x14ac:dyDescent="0.25">
      <c r="A388" s="1" t="s">
        <v>215</v>
      </c>
      <c r="B388" s="1">
        <v>264</v>
      </c>
      <c r="C388" s="1" t="s">
        <v>24</v>
      </c>
      <c r="D388" s="1">
        <v>1</v>
      </c>
      <c r="E388" s="1" t="s">
        <v>109</v>
      </c>
      <c r="F388" s="1">
        <v>21</v>
      </c>
      <c r="G388" s="1">
        <v>17</v>
      </c>
      <c r="H388" s="1" t="s">
        <v>135</v>
      </c>
      <c r="I388" s="1" t="s">
        <v>118</v>
      </c>
      <c r="J388" s="1" t="s">
        <v>144</v>
      </c>
      <c r="K388" s="1" t="s">
        <v>226</v>
      </c>
    </row>
    <row r="389" spans="1:11" x14ac:dyDescent="0.25">
      <c r="A389" s="1" t="s">
        <v>215</v>
      </c>
      <c r="B389" s="1">
        <v>265</v>
      </c>
      <c r="C389" s="1" t="s">
        <v>24</v>
      </c>
      <c r="D389" s="1">
        <v>2</v>
      </c>
      <c r="E389" s="1" t="s">
        <v>109</v>
      </c>
      <c r="F389" s="1">
        <v>1</v>
      </c>
      <c r="G389" s="1">
        <v>0</v>
      </c>
      <c r="H389" s="1" t="s">
        <v>135</v>
      </c>
      <c r="I389" s="1" t="s">
        <v>118</v>
      </c>
      <c r="J389" s="1" t="s">
        <v>144</v>
      </c>
      <c r="K389" s="1" t="s">
        <v>226</v>
      </c>
    </row>
    <row r="390" spans="1:11" x14ac:dyDescent="0.25">
      <c r="A390" s="1" t="s">
        <v>215</v>
      </c>
      <c r="B390" s="1">
        <v>267</v>
      </c>
      <c r="C390" s="1" t="s">
        <v>27</v>
      </c>
      <c r="D390" s="1">
        <v>1</v>
      </c>
      <c r="E390" s="1" t="s">
        <v>109</v>
      </c>
      <c r="F390" s="1">
        <v>1</v>
      </c>
      <c r="G390" s="1">
        <v>0</v>
      </c>
      <c r="H390" s="1" t="s">
        <v>135</v>
      </c>
      <c r="I390" s="1" t="s">
        <v>120</v>
      </c>
      <c r="J390" s="1"/>
      <c r="K390" s="1" t="s">
        <v>226</v>
      </c>
    </row>
    <row r="391" spans="1:11" x14ac:dyDescent="0.25">
      <c r="A391" s="1" t="s">
        <v>215</v>
      </c>
      <c r="B391" s="1">
        <v>268</v>
      </c>
      <c r="C391" s="1" t="s">
        <v>27</v>
      </c>
      <c r="D391" s="1">
        <v>2</v>
      </c>
      <c r="E391" s="1" t="s">
        <v>109</v>
      </c>
      <c r="F391" s="1">
        <v>1</v>
      </c>
      <c r="G391" s="1">
        <v>0</v>
      </c>
      <c r="H391" s="1" t="s">
        <v>135</v>
      </c>
      <c r="I391" s="1" t="s">
        <v>120</v>
      </c>
      <c r="J391" s="1"/>
      <c r="K391" s="1" t="s">
        <v>226</v>
      </c>
    </row>
    <row r="392" spans="1:11" x14ac:dyDescent="0.25">
      <c r="A392" s="1" t="s">
        <v>215</v>
      </c>
      <c r="B392" s="1">
        <v>273</v>
      </c>
      <c r="C392" s="1" t="s">
        <v>12</v>
      </c>
      <c r="D392" s="1">
        <v>1</v>
      </c>
      <c r="E392" s="1" t="s">
        <v>122</v>
      </c>
      <c r="F392" s="1">
        <v>1</v>
      </c>
      <c r="G392" s="1">
        <v>0</v>
      </c>
      <c r="H392" s="1" t="s">
        <v>134</v>
      </c>
      <c r="I392" s="1" t="s">
        <v>124</v>
      </c>
      <c r="J392" s="1" t="s">
        <v>136</v>
      </c>
      <c r="K392" s="1" t="s">
        <v>226</v>
      </c>
    </row>
    <row r="393" spans="1:11" x14ac:dyDescent="0.25">
      <c r="A393" s="1" t="s">
        <v>215</v>
      </c>
      <c r="B393" s="1">
        <v>274</v>
      </c>
      <c r="C393" s="1" t="s">
        <v>12</v>
      </c>
      <c r="D393" s="1">
        <v>2</v>
      </c>
      <c r="E393" s="1" t="s">
        <v>122</v>
      </c>
      <c r="F393" s="1">
        <v>1</v>
      </c>
      <c r="G393" s="1">
        <v>0</v>
      </c>
      <c r="H393" s="1" t="s">
        <v>134</v>
      </c>
      <c r="I393" s="1" t="s">
        <v>124</v>
      </c>
      <c r="J393" s="1" t="s">
        <v>136</v>
      </c>
      <c r="K393" s="1" t="s">
        <v>226</v>
      </c>
    </row>
    <row r="394" spans="1:11" x14ac:dyDescent="0.25">
      <c r="A394" s="1" t="s">
        <v>215</v>
      </c>
      <c r="B394" s="1">
        <v>276</v>
      </c>
      <c r="C394" s="1" t="s">
        <v>18</v>
      </c>
      <c r="D394" s="1">
        <v>1</v>
      </c>
      <c r="E394" s="1" t="s">
        <v>122</v>
      </c>
      <c r="F394" s="1">
        <v>1</v>
      </c>
      <c r="G394" s="1">
        <v>0</v>
      </c>
      <c r="H394" s="1" t="s">
        <v>134</v>
      </c>
      <c r="I394" s="1" t="s">
        <v>127</v>
      </c>
      <c r="J394" s="1" t="s">
        <v>139</v>
      </c>
      <c r="K394" s="1" t="s">
        <v>226</v>
      </c>
    </row>
    <row r="395" spans="1:11" x14ac:dyDescent="0.25">
      <c r="A395" s="1" t="s">
        <v>215</v>
      </c>
      <c r="B395" s="1">
        <v>277</v>
      </c>
      <c r="C395" s="1" t="s">
        <v>18</v>
      </c>
      <c r="D395" s="1">
        <v>2</v>
      </c>
      <c r="E395" s="1" t="s">
        <v>122</v>
      </c>
      <c r="F395" s="1">
        <v>1</v>
      </c>
      <c r="G395" s="1">
        <v>0</v>
      </c>
      <c r="H395" s="1" t="s">
        <v>134</v>
      </c>
      <c r="I395" s="1" t="s">
        <v>127</v>
      </c>
      <c r="J395" s="1" t="s">
        <v>139</v>
      </c>
      <c r="K395" s="1" t="s">
        <v>226</v>
      </c>
    </row>
    <row r="396" spans="1:11" x14ac:dyDescent="0.25">
      <c r="A396" s="1" t="s">
        <v>215</v>
      </c>
      <c r="B396" s="1">
        <v>279</v>
      </c>
      <c r="C396" s="1" t="s">
        <v>21</v>
      </c>
      <c r="D396" s="1">
        <v>1</v>
      </c>
      <c r="E396" s="1" t="s">
        <v>122</v>
      </c>
      <c r="F396" s="1">
        <v>1</v>
      </c>
      <c r="G396" s="1">
        <v>0</v>
      </c>
      <c r="H396" s="1" t="s">
        <v>134</v>
      </c>
      <c r="I396" s="1" t="s">
        <v>129</v>
      </c>
      <c r="J396" s="1" t="s">
        <v>141</v>
      </c>
      <c r="K396" s="1" t="s">
        <v>226</v>
      </c>
    </row>
    <row r="397" spans="1:11" x14ac:dyDescent="0.25">
      <c r="A397" s="1" t="s">
        <v>215</v>
      </c>
      <c r="B397" s="1">
        <v>280</v>
      </c>
      <c r="C397" s="1" t="s">
        <v>21</v>
      </c>
      <c r="D397" s="1">
        <v>2</v>
      </c>
      <c r="E397" s="1" t="s">
        <v>122</v>
      </c>
      <c r="F397" s="1">
        <v>1</v>
      </c>
      <c r="G397" s="1">
        <v>0</v>
      </c>
      <c r="H397" s="1" t="s">
        <v>134</v>
      </c>
      <c r="I397" s="1" t="s">
        <v>129</v>
      </c>
      <c r="J397" s="1" t="s">
        <v>141</v>
      </c>
      <c r="K397" s="1" t="s">
        <v>226</v>
      </c>
    </row>
    <row r="398" spans="1:11" x14ac:dyDescent="0.25">
      <c r="A398" s="1" t="s">
        <v>215</v>
      </c>
      <c r="B398" s="1">
        <v>76</v>
      </c>
      <c r="C398" s="1" t="s">
        <v>12</v>
      </c>
      <c r="D398" s="1">
        <v>2</v>
      </c>
      <c r="E398" s="1" t="s">
        <v>14</v>
      </c>
      <c r="F398" s="1">
        <v>1</v>
      </c>
      <c r="G398" s="1">
        <v>0</v>
      </c>
      <c r="H398" s="1" t="s">
        <v>44</v>
      </c>
      <c r="I398" s="1" t="s">
        <v>16</v>
      </c>
      <c r="J398" s="1" t="s">
        <v>46</v>
      </c>
      <c r="K398" s="1" t="s">
        <v>229</v>
      </c>
    </row>
    <row r="399" spans="1:11" x14ac:dyDescent="0.25">
      <c r="A399" s="1" t="s">
        <v>215</v>
      </c>
      <c r="B399" s="1">
        <v>78</v>
      </c>
      <c r="C399" s="1" t="s">
        <v>18</v>
      </c>
      <c r="D399" s="1">
        <v>1</v>
      </c>
      <c r="E399" s="1" t="s">
        <v>14</v>
      </c>
      <c r="F399" s="1">
        <v>21</v>
      </c>
      <c r="G399" s="1">
        <v>14</v>
      </c>
      <c r="H399" s="1" t="s">
        <v>44</v>
      </c>
      <c r="I399" s="1" t="s">
        <v>20</v>
      </c>
      <c r="J399" s="1" t="s">
        <v>49</v>
      </c>
      <c r="K399" s="1" t="s">
        <v>229</v>
      </c>
    </row>
    <row r="400" spans="1:11" x14ac:dyDescent="0.25">
      <c r="A400" s="1" t="s">
        <v>215</v>
      </c>
      <c r="B400" s="1">
        <v>79</v>
      </c>
      <c r="C400" s="1" t="s">
        <v>18</v>
      </c>
      <c r="D400" s="1">
        <v>2</v>
      </c>
      <c r="E400" s="1" t="s">
        <v>14</v>
      </c>
      <c r="F400" s="1">
        <v>1</v>
      </c>
      <c r="G400" s="1">
        <v>0</v>
      </c>
      <c r="H400" s="1" t="s">
        <v>44</v>
      </c>
      <c r="I400" s="1" t="s">
        <v>20</v>
      </c>
      <c r="J400" s="1" t="s">
        <v>49</v>
      </c>
      <c r="K400" s="1" t="s">
        <v>229</v>
      </c>
    </row>
    <row r="401" spans="1:11" x14ac:dyDescent="0.25">
      <c r="A401" s="1" t="s">
        <v>215</v>
      </c>
      <c r="B401" s="1">
        <v>81</v>
      </c>
      <c r="C401" s="1" t="s">
        <v>21</v>
      </c>
      <c r="D401" s="1">
        <v>1</v>
      </c>
      <c r="E401" s="1" t="s">
        <v>14</v>
      </c>
      <c r="F401" s="1">
        <v>21</v>
      </c>
      <c r="G401" s="1">
        <v>15</v>
      </c>
      <c r="H401" s="1" t="s">
        <v>44</v>
      </c>
      <c r="I401" s="1" t="s">
        <v>23</v>
      </c>
      <c r="J401" s="1" t="s">
        <v>51</v>
      </c>
      <c r="K401" s="1" t="s">
        <v>229</v>
      </c>
    </row>
    <row r="402" spans="1:11" x14ac:dyDescent="0.25">
      <c r="A402" s="1" t="s">
        <v>215</v>
      </c>
      <c r="B402" s="1">
        <v>82</v>
      </c>
      <c r="C402" s="1" t="s">
        <v>21</v>
      </c>
      <c r="D402" s="1">
        <v>2</v>
      </c>
      <c r="E402" s="1" t="s">
        <v>14</v>
      </c>
      <c r="F402" s="1">
        <v>1</v>
      </c>
      <c r="G402" s="1">
        <v>0</v>
      </c>
      <c r="H402" s="1" t="s">
        <v>44</v>
      </c>
      <c r="I402" s="1" t="s">
        <v>23</v>
      </c>
      <c r="J402" s="1" t="s">
        <v>51</v>
      </c>
      <c r="K402" s="1" t="s">
        <v>229</v>
      </c>
    </row>
    <row r="403" spans="1:11" x14ac:dyDescent="0.25">
      <c r="A403" s="1" t="s">
        <v>215</v>
      </c>
      <c r="B403" s="1">
        <v>84</v>
      </c>
      <c r="C403" s="1" t="s">
        <v>24</v>
      </c>
      <c r="D403" s="1">
        <v>1</v>
      </c>
      <c r="E403" s="1" t="s">
        <v>14</v>
      </c>
      <c r="F403" s="1">
        <v>21</v>
      </c>
      <c r="G403" s="1">
        <v>10</v>
      </c>
      <c r="H403" s="1" t="s">
        <v>44</v>
      </c>
      <c r="I403" s="1" t="s">
        <v>26</v>
      </c>
      <c r="J403" s="1" t="s">
        <v>53</v>
      </c>
      <c r="K403" s="1" t="s">
        <v>229</v>
      </c>
    </row>
    <row r="404" spans="1:11" x14ac:dyDescent="0.25">
      <c r="A404" s="1" t="s">
        <v>215</v>
      </c>
      <c r="B404" s="1">
        <v>85</v>
      </c>
      <c r="C404" s="1" t="s">
        <v>24</v>
      </c>
      <c r="D404" s="1">
        <v>2</v>
      </c>
      <c r="E404" s="1" t="s">
        <v>14</v>
      </c>
      <c r="F404" s="1">
        <v>1</v>
      </c>
      <c r="G404" s="1">
        <v>0</v>
      </c>
      <c r="H404" s="1" t="s">
        <v>44</v>
      </c>
      <c r="I404" s="1" t="s">
        <v>26</v>
      </c>
      <c r="J404" s="1" t="s">
        <v>53</v>
      </c>
      <c r="K404" s="1" t="s">
        <v>229</v>
      </c>
    </row>
    <row r="405" spans="1:11" x14ac:dyDescent="0.25">
      <c r="A405" s="1" t="s">
        <v>215</v>
      </c>
      <c r="B405" s="1">
        <v>87</v>
      </c>
      <c r="C405" s="1" t="s">
        <v>27</v>
      </c>
      <c r="D405" s="1">
        <v>1</v>
      </c>
      <c r="E405" s="1" t="s">
        <v>14</v>
      </c>
      <c r="F405" s="1">
        <v>21</v>
      </c>
      <c r="G405" s="1">
        <v>13</v>
      </c>
      <c r="H405" s="1" t="s">
        <v>44</v>
      </c>
      <c r="I405" s="1" t="s">
        <v>29</v>
      </c>
      <c r="J405" s="1" t="s">
        <v>55</v>
      </c>
      <c r="K405" s="1" t="s">
        <v>229</v>
      </c>
    </row>
    <row r="406" spans="1:11" x14ac:dyDescent="0.25">
      <c r="A406" s="1" t="s">
        <v>215</v>
      </c>
      <c r="B406" s="1">
        <v>88</v>
      </c>
      <c r="C406" s="1" t="s">
        <v>27</v>
      </c>
      <c r="D406" s="1">
        <v>2</v>
      </c>
      <c r="E406" s="1" t="s">
        <v>14</v>
      </c>
      <c r="F406" s="1">
        <v>1</v>
      </c>
      <c r="G406" s="1">
        <v>0</v>
      </c>
      <c r="H406" s="1" t="s">
        <v>44</v>
      </c>
      <c r="I406" s="1" t="s">
        <v>29</v>
      </c>
      <c r="J406" s="1" t="s">
        <v>55</v>
      </c>
      <c r="K406" s="1" t="s">
        <v>229</v>
      </c>
    </row>
    <row r="407" spans="1:11" x14ac:dyDescent="0.25">
      <c r="A407" s="1" t="s">
        <v>215</v>
      </c>
      <c r="B407" s="1">
        <v>93</v>
      </c>
      <c r="C407" s="1" t="s">
        <v>12</v>
      </c>
      <c r="D407" s="1">
        <v>1</v>
      </c>
      <c r="E407" s="1" t="s">
        <v>182</v>
      </c>
      <c r="F407" s="1">
        <v>1</v>
      </c>
      <c r="G407" s="1">
        <v>0</v>
      </c>
      <c r="H407" s="1" t="s">
        <v>31</v>
      </c>
      <c r="I407" s="1" t="s">
        <v>184</v>
      </c>
      <c r="J407" s="1" t="s">
        <v>33</v>
      </c>
      <c r="K407" s="1" t="s">
        <v>229</v>
      </c>
    </row>
    <row r="408" spans="1:11" x14ac:dyDescent="0.25">
      <c r="A408" s="1" t="s">
        <v>215</v>
      </c>
      <c r="B408" s="1">
        <v>94</v>
      </c>
      <c r="C408" s="1" t="s">
        <v>12</v>
      </c>
      <c r="D408" s="1">
        <v>2</v>
      </c>
      <c r="E408" s="1" t="s">
        <v>182</v>
      </c>
      <c r="F408" s="1">
        <v>1</v>
      </c>
      <c r="G408" s="1">
        <v>0</v>
      </c>
      <c r="H408" s="1" t="s">
        <v>31</v>
      </c>
      <c r="I408" s="1" t="s">
        <v>184</v>
      </c>
      <c r="J408" s="1" t="s">
        <v>33</v>
      </c>
      <c r="K408" s="1" t="s">
        <v>229</v>
      </c>
    </row>
    <row r="409" spans="1:11" x14ac:dyDescent="0.25">
      <c r="A409" s="1" t="s">
        <v>215</v>
      </c>
      <c r="B409" s="1">
        <v>96</v>
      </c>
      <c r="C409" s="1" t="s">
        <v>18</v>
      </c>
      <c r="D409" s="1">
        <v>1</v>
      </c>
      <c r="E409" s="1" t="s">
        <v>182</v>
      </c>
      <c r="F409" s="1">
        <v>1</v>
      </c>
      <c r="G409" s="1">
        <v>0</v>
      </c>
      <c r="H409" s="1" t="s">
        <v>31</v>
      </c>
      <c r="I409" s="1" t="s">
        <v>187</v>
      </c>
      <c r="J409" s="1" t="s">
        <v>36</v>
      </c>
      <c r="K409" s="1" t="s">
        <v>229</v>
      </c>
    </row>
    <row r="410" spans="1:11" x14ac:dyDescent="0.25">
      <c r="A410" s="1" t="s">
        <v>215</v>
      </c>
      <c r="B410" s="1">
        <v>97</v>
      </c>
      <c r="C410" s="1" t="s">
        <v>18</v>
      </c>
      <c r="D410" s="1">
        <v>2</v>
      </c>
      <c r="E410" s="1" t="s">
        <v>182</v>
      </c>
      <c r="F410" s="1">
        <v>1</v>
      </c>
      <c r="G410" s="1">
        <v>0</v>
      </c>
      <c r="H410" s="1" t="s">
        <v>31</v>
      </c>
      <c r="I410" s="1" t="s">
        <v>187</v>
      </c>
      <c r="J410" s="1" t="s">
        <v>36</v>
      </c>
      <c r="K410" s="1" t="s">
        <v>229</v>
      </c>
    </row>
    <row r="411" spans="1:11" x14ac:dyDescent="0.25">
      <c r="A411" s="1" t="s">
        <v>215</v>
      </c>
      <c r="B411" s="1">
        <v>99</v>
      </c>
      <c r="C411" s="1" t="s">
        <v>21</v>
      </c>
      <c r="D411" s="1">
        <v>1</v>
      </c>
      <c r="E411" s="1" t="s">
        <v>182</v>
      </c>
      <c r="F411" s="1">
        <v>1</v>
      </c>
      <c r="G411" s="1">
        <v>0</v>
      </c>
      <c r="H411" s="1" t="s">
        <v>31</v>
      </c>
      <c r="I411" s="1" t="s">
        <v>189</v>
      </c>
      <c r="J411" s="1" t="s">
        <v>38</v>
      </c>
      <c r="K411" s="1" t="s">
        <v>229</v>
      </c>
    </row>
    <row r="412" spans="1:11" x14ac:dyDescent="0.25">
      <c r="A412" s="1" t="s">
        <v>215</v>
      </c>
      <c r="B412" s="1">
        <v>100</v>
      </c>
      <c r="C412" s="1" t="s">
        <v>21</v>
      </c>
      <c r="D412" s="1">
        <v>2</v>
      </c>
      <c r="E412" s="1" t="s">
        <v>182</v>
      </c>
      <c r="F412" s="1">
        <v>1</v>
      </c>
      <c r="G412" s="1">
        <v>0</v>
      </c>
      <c r="H412" s="1" t="s">
        <v>31</v>
      </c>
      <c r="I412" s="1" t="s">
        <v>189</v>
      </c>
      <c r="J412" s="1" t="s">
        <v>38</v>
      </c>
      <c r="K412" s="1" t="s">
        <v>229</v>
      </c>
    </row>
    <row r="413" spans="1:11" x14ac:dyDescent="0.25">
      <c r="A413" s="1" t="s">
        <v>215</v>
      </c>
      <c r="B413" s="1">
        <v>102</v>
      </c>
      <c r="C413" s="1" t="s">
        <v>24</v>
      </c>
      <c r="D413" s="1">
        <v>1</v>
      </c>
      <c r="E413" s="1" t="s">
        <v>182</v>
      </c>
      <c r="F413" s="1">
        <v>1</v>
      </c>
      <c r="G413" s="1">
        <v>0</v>
      </c>
      <c r="H413" s="1" t="s">
        <v>31</v>
      </c>
      <c r="I413" s="1" t="s">
        <v>191</v>
      </c>
      <c r="J413" s="1" t="s">
        <v>40</v>
      </c>
      <c r="K413" s="1" t="s">
        <v>229</v>
      </c>
    </row>
    <row r="414" spans="1:11" x14ac:dyDescent="0.25">
      <c r="A414" s="1" t="s">
        <v>215</v>
      </c>
      <c r="B414" s="1">
        <v>103</v>
      </c>
      <c r="C414" s="1" t="s">
        <v>24</v>
      </c>
      <c r="D414" s="1">
        <v>2</v>
      </c>
      <c r="E414" s="1" t="s">
        <v>182</v>
      </c>
      <c r="F414" s="1">
        <v>1</v>
      </c>
      <c r="G414" s="1">
        <v>0</v>
      </c>
      <c r="H414" s="1" t="s">
        <v>31</v>
      </c>
      <c r="I414" s="1" t="s">
        <v>191</v>
      </c>
      <c r="J414" s="1" t="s">
        <v>40</v>
      </c>
      <c r="K414" s="1" t="s">
        <v>229</v>
      </c>
    </row>
    <row r="415" spans="1:11" x14ac:dyDescent="0.25">
      <c r="A415" s="1" t="s">
        <v>215</v>
      </c>
      <c r="B415" s="1">
        <v>105</v>
      </c>
      <c r="C415" s="1" t="s">
        <v>27</v>
      </c>
      <c r="D415" s="1">
        <v>1</v>
      </c>
      <c r="E415" s="1" t="s">
        <v>182</v>
      </c>
      <c r="F415" s="1">
        <v>0</v>
      </c>
      <c r="G415" s="1">
        <v>1</v>
      </c>
      <c r="H415" s="1" t="s">
        <v>31</v>
      </c>
      <c r="I415" s="1" t="s">
        <v>193</v>
      </c>
      <c r="J415" s="1" t="s">
        <v>42</v>
      </c>
      <c r="K415" s="1" t="s">
        <v>229</v>
      </c>
    </row>
    <row r="416" spans="1:11" x14ac:dyDescent="0.25">
      <c r="A416" s="1" t="s">
        <v>215</v>
      </c>
      <c r="B416" s="1">
        <v>106</v>
      </c>
      <c r="C416" s="1" t="s">
        <v>27</v>
      </c>
      <c r="D416" s="1">
        <v>2</v>
      </c>
      <c r="E416" s="1" t="s">
        <v>182</v>
      </c>
      <c r="F416" s="1">
        <v>0</v>
      </c>
      <c r="G416" s="1">
        <v>1</v>
      </c>
      <c r="H416" s="1" t="s">
        <v>31</v>
      </c>
      <c r="I416" s="1" t="s">
        <v>193</v>
      </c>
      <c r="J416" s="1" t="s">
        <v>42</v>
      </c>
      <c r="K416" s="1" t="s">
        <v>229</v>
      </c>
    </row>
    <row r="417" spans="1:11" x14ac:dyDescent="0.25">
      <c r="A417" s="1" t="s">
        <v>215</v>
      </c>
      <c r="B417" s="1">
        <v>111</v>
      </c>
      <c r="C417" s="1" t="s">
        <v>12</v>
      </c>
      <c r="D417" s="1">
        <v>1</v>
      </c>
      <c r="E417" s="1" t="s">
        <v>13</v>
      </c>
      <c r="F417" s="1">
        <v>21</v>
      </c>
      <c r="G417" s="1">
        <v>12</v>
      </c>
      <c r="H417" s="1" t="s">
        <v>43</v>
      </c>
      <c r="I417" s="1" t="s">
        <v>15</v>
      </c>
      <c r="J417" s="1" t="s">
        <v>45</v>
      </c>
      <c r="K417" s="1" t="s">
        <v>229</v>
      </c>
    </row>
    <row r="418" spans="1:11" x14ac:dyDescent="0.25">
      <c r="A418" s="1" t="s">
        <v>215</v>
      </c>
      <c r="B418" s="1">
        <v>112</v>
      </c>
      <c r="C418" s="1" t="s">
        <v>12</v>
      </c>
      <c r="D418" s="1">
        <v>2</v>
      </c>
      <c r="E418" s="1" t="s">
        <v>13</v>
      </c>
      <c r="F418" s="1">
        <v>1</v>
      </c>
      <c r="G418" s="1">
        <v>0</v>
      </c>
      <c r="H418" s="1" t="s">
        <v>43</v>
      </c>
      <c r="I418" s="1" t="s">
        <v>15</v>
      </c>
      <c r="J418" s="1" t="s">
        <v>45</v>
      </c>
      <c r="K418" s="1" t="s">
        <v>229</v>
      </c>
    </row>
    <row r="419" spans="1:11" x14ac:dyDescent="0.25">
      <c r="A419" s="1" t="s">
        <v>215</v>
      </c>
      <c r="B419" s="1">
        <v>114</v>
      </c>
      <c r="C419" s="1" t="s">
        <v>18</v>
      </c>
      <c r="D419" s="1">
        <v>1</v>
      </c>
      <c r="E419" s="1" t="s">
        <v>13</v>
      </c>
      <c r="F419" s="1">
        <v>21</v>
      </c>
      <c r="G419" s="1">
        <v>17</v>
      </c>
      <c r="H419" s="1" t="s">
        <v>43</v>
      </c>
      <c r="I419" s="1" t="s">
        <v>19</v>
      </c>
      <c r="J419" s="1" t="s">
        <v>48</v>
      </c>
      <c r="K419" s="1" t="s">
        <v>229</v>
      </c>
    </row>
    <row r="420" spans="1:11" x14ac:dyDescent="0.25">
      <c r="A420" s="1" t="s">
        <v>215</v>
      </c>
      <c r="B420" s="1">
        <v>115</v>
      </c>
      <c r="C420" s="1" t="s">
        <v>18</v>
      </c>
      <c r="D420" s="1">
        <v>2</v>
      </c>
      <c r="E420" s="1" t="s">
        <v>13</v>
      </c>
      <c r="F420" s="1">
        <v>1</v>
      </c>
      <c r="G420" s="1">
        <v>0</v>
      </c>
      <c r="H420" s="1" t="s">
        <v>43</v>
      </c>
      <c r="I420" s="1" t="s">
        <v>19</v>
      </c>
      <c r="J420" s="1" t="s">
        <v>48</v>
      </c>
      <c r="K420" s="1" t="s">
        <v>229</v>
      </c>
    </row>
    <row r="421" spans="1:11" x14ac:dyDescent="0.25">
      <c r="A421" s="1" t="s">
        <v>215</v>
      </c>
      <c r="B421" s="1">
        <v>117</v>
      </c>
      <c r="C421" s="1" t="s">
        <v>21</v>
      </c>
      <c r="D421" s="1">
        <v>1</v>
      </c>
      <c r="E421" s="1" t="s">
        <v>13</v>
      </c>
      <c r="F421" s="1">
        <v>21</v>
      </c>
      <c r="G421" s="1">
        <v>8</v>
      </c>
      <c r="H421" s="1" t="s">
        <v>43</v>
      </c>
      <c r="I421" s="1" t="s">
        <v>22</v>
      </c>
      <c r="J421" s="1" t="s">
        <v>50</v>
      </c>
      <c r="K421" s="1" t="s">
        <v>229</v>
      </c>
    </row>
    <row r="422" spans="1:11" x14ac:dyDescent="0.25">
      <c r="A422" s="1" t="s">
        <v>215</v>
      </c>
      <c r="B422" s="1">
        <v>118</v>
      </c>
      <c r="C422" s="1" t="s">
        <v>21</v>
      </c>
      <c r="D422" s="1">
        <v>2</v>
      </c>
      <c r="E422" s="1" t="s">
        <v>13</v>
      </c>
      <c r="F422" s="1">
        <v>1</v>
      </c>
      <c r="G422" s="1">
        <v>0</v>
      </c>
      <c r="H422" s="1" t="s">
        <v>43</v>
      </c>
      <c r="I422" s="1" t="s">
        <v>22</v>
      </c>
      <c r="J422" s="1" t="s">
        <v>50</v>
      </c>
      <c r="K422" s="1" t="s">
        <v>229</v>
      </c>
    </row>
    <row r="423" spans="1:11" x14ac:dyDescent="0.25">
      <c r="A423" s="1" t="s">
        <v>215</v>
      </c>
      <c r="B423" s="1">
        <v>120</v>
      </c>
      <c r="C423" s="1" t="s">
        <v>24</v>
      </c>
      <c r="D423" s="1">
        <v>1</v>
      </c>
      <c r="E423" s="1" t="s">
        <v>13</v>
      </c>
      <c r="F423" s="1">
        <v>21</v>
      </c>
      <c r="G423" s="1">
        <v>13</v>
      </c>
      <c r="H423" s="1" t="s">
        <v>43</v>
      </c>
      <c r="I423" s="1" t="s">
        <v>25</v>
      </c>
      <c r="J423" s="1" t="s">
        <v>52</v>
      </c>
      <c r="K423" s="1" t="s">
        <v>229</v>
      </c>
    </row>
    <row r="424" spans="1:11" x14ac:dyDescent="0.25">
      <c r="A424" s="1" t="s">
        <v>215</v>
      </c>
      <c r="B424" s="1">
        <v>121</v>
      </c>
      <c r="C424" s="1" t="s">
        <v>24</v>
      </c>
      <c r="D424" s="1">
        <v>2</v>
      </c>
      <c r="E424" s="1" t="s">
        <v>13</v>
      </c>
      <c r="F424" s="1">
        <v>1</v>
      </c>
      <c r="G424" s="1">
        <v>0</v>
      </c>
      <c r="H424" s="1" t="s">
        <v>43</v>
      </c>
      <c r="I424" s="1" t="s">
        <v>25</v>
      </c>
      <c r="J424" s="1" t="s">
        <v>52</v>
      </c>
      <c r="K424" s="1" t="s">
        <v>229</v>
      </c>
    </row>
    <row r="425" spans="1:11" x14ac:dyDescent="0.25">
      <c r="A425" s="1" t="s">
        <v>215</v>
      </c>
      <c r="B425" s="1">
        <v>123</v>
      </c>
      <c r="C425" s="1" t="s">
        <v>27</v>
      </c>
      <c r="D425" s="1">
        <v>1</v>
      </c>
      <c r="E425" s="1" t="s">
        <v>13</v>
      </c>
      <c r="F425" s="1">
        <v>21</v>
      </c>
      <c r="G425" s="1">
        <v>11</v>
      </c>
      <c r="H425" s="1" t="s">
        <v>43</v>
      </c>
      <c r="I425" s="1" t="s">
        <v>28</v>
      </c>
      <c r="J425" s="1" t="s">
        <v>54</v>
      </c>
      <c r="K425" s="1" t="s">
        <v>229</v>
      </c>
    </row>
    <row r="426" spans="1:11" x14ac:dyDescent="0.25">
      <c r="A426" s="1" t="s">
        <v>215</v>
      </c>
      <c r="B426" s="1">
        <v>124</v>
      </c>
      <c r="C426" s="1" t="s">
        <v>27</v>
      </c>
      <c r="D426" s="1">
        <v>2</v>
      </c>
      <c r="E426" s="1" t="s">
        <v>13</v>
      </c>
      <c r="F426" s="1">
        <v>1</v>
      </c>
      <c r="G426" s="1">
        <v>0</v>
      </c>
      <c r="H426" s="1" t="s">
        <v>43</v>
      </c>
      <c r="I426" s="1" t="s">
        <v>28</v>
      </c>
      <c r="J426" s="1" t="s">
        <v>54</v>
      </c>
      <c r="K426" s="1" t="s">
        <v>229</v>
      </c>
    </row>
    <row r="427" spans="1:11" x14ac:dyDescent="0.25">
      <c r="A427" s="1" t="s">
        <v>215</v>
      </c>
      <c r="B427" s="1">
        <v>129</v>
      </c>
      <c r="C427" s="1" t="s">
        <v>12</v>
      </c>
      <c r="D427" s="1">
        <v>1</v>
      </c>
      <c r="E427" s="1" t="s">
        <v>30</v>
      </c>
      <c r="F427" s="1">
        <v>13</v>
      </c>
      <c r="G427" s="1">
        <v>21</v>
      </c>
      <c r="H427" s="1" t="s">
        <v>181</v>
      </c>
      <c r="I427" s="1" t="s">
        <v>32</v>
      </c>
      <c r="J427" s="1" t="s">
        <v>183</v>
      </c>
      <c r="K427" s="1" t="s">
        <v>229</v>
      </c>
    </row>
    <row r="428" spans="1:11" x14ac:dyDescent="0.25">
      <c r="A428" s="1" t="s">
        <v>215</v>
      </c>
      <c r="B428" s="1">
        <v>130</v>
      </c>
      <c r="C428" s="1" t="s">
        <v>12</v>
      </c>
      <c r="D428" s="1">
        <v>2</v>
      </c>
      <c r="E428" s="1" t="s">
        <v>30</v>
      </c>
      <c r="F428" s="1">
        <v>0</v>
      </c>
      <c r="G428" s="1">
        <v>1</v>
      </c>
      <c r="H428" s="1" t="s">
        <v>181</v>
      </c>
      <c r="I428" s="1" t="s">
        <v>32</v>
      </c>
      <c r="J428" s="1" t="s">
        <v>183</v>
      </c>
      <c r="K428" s="1" t="s">
        <v>229</v>
      </c>
    </row>
    <row r="429" spans="1:11" x14ac:dyDescent="0.25">
      <c r="A429" s="1" t="s">
        <v>215</v>
      </c>
      <c r="B429" s="1">
        <v>132</v>
      </c>
      <c r="C429" s="1" t="s">
        <v>18</v>
      </c>
      <c r="D429" s="1">
        <v>1</v>
      </c>
      <c r="E429" s="1" t="s">
        <v>30</v>
      </c>
      <c r="F429" s="1">
        <v>17</v>
      </c>
      <c r="G429" s="1">
        <v>16</v>
      </c>
      <c r="H429" s="1" t="s">
        <v>181</v>
      </c>
      <c r="I429" s="1" t="s">
        <v>35</v>
      </c>
      <c r="J429" s="1" t="s">
        <v>186</v>
      </c>
      <c r="K429" s="1" t="s">
        <v>229</v>
      </c>
    </row>
    <row r="430" spans="1:11" x14ac:dyDescent="0.25">
      <c r="A430" s="1" t="s">
        <v>215</v>
      </c>
      <c r="B430" s="1">
        <v>135</v>
      </c>
      <c r="C430" s="1" t="s">
        <v>21</v>
      </c>
      <c r="D430" s="1">
        <v>1</v>
      </c>
      <c r="E430" s="1" t="s">
        <v>30</v>
      </c>
      <c r="F430" s="1">
        <v>17</v>
      </c>
      <c r="G430" s="1">
        <v>21</v>
      </c>
      <c r="H430" s="1" t="s">
        <v>181</v>
      </c>
      <c r="I430" s="1" t="s">
        <v>37</v>
      </c>
      <c r="J430" s="1" t="s">
        <v>188</v>
      </c>
      <c r="K430" s="1" t="s">
        <v>229</v>
      </c>
    </row>
    <row r="431" spans="1:11" x14ac:dyDescent="0.25">
      <c r="A431" s="1" t="s">
        <v>215</v>
      </c>
      <c r="B431" s="1">
        <v>136</v>
      </c>
      <c r="C431" s="1" t="s">
        <v>21</v>
      </c>
      <c r="D431" s="1">
        <v>2</v>
      </c>
      <c r="E431" s="1" t="s">
        <v>30</v>
      </c>
      <c r="F431" s="1">
        <v>0</v>
      </c>
      <c r="G431" s="1">
        <v>1</v>
      </c>
      <c r="H431" s="1" t="s">
        <v>181</v>
      </c>
      <c r="I431" s="1" t="s">
        <v>37</v>
      </c>
      <c r="J431" s="1" t="s">
        <v>188</v>
      </c>
      <c r="K431" s="1" t="s">
        <v>229</v>
      </c>
    </row>
    <row r="432" spans="1:11" x14ac:dyDescent="0.25">
      <c r="A432" s="1" t="s">
        <v>215</v>
      </c>
      <c r="B432" s="1">
        <v>138</v>
      </c>
      <c r="C432" s="1" t="s">
        <v>24</v>
      </c>
      <c r="D432" s="1">
        <v>1</v>
      </c>
      <c r="E432" s="1" t="s">
        <v>30</v>
      </c>
      <c r="F432" s="1">
        <v>13</v>
      </c>
      <c r="G432" s="1">
        <v>21</v>
      </c>
      <c r="H432" s="1" t="s">
        <v>181</v>
      </c>
      <c r="I432" s="1" t="s">
        <v>39</v>
      </c>
      <c r="J432" s="1" t="s">
        <v>190</v>
      </c>
      <c r="K432" s="1" t="s">
        <v>229</v>
      </c>
    </row>
    <row r="433" spans="1:11" x14ac:dyDescent="0.25">
      <c r="A433" s="1" t="s">
        <v>215</v>
      </c>
      <c r="B433" s="1">
        <v>139</v>
      </c>
      <c r="C433" s="1" t="s">
        <v>24</v>
      </c>
      <c r="D433" s="1">
        <v>2</v>
      </c>
      <c r="E433" s="1" t="s">
        <v>30</v>
      </c>
      <c r="F433" s="1">
        <v>0</v>
      </c>
      <c r="G433" s="1">
        <v>1</v>
      </c>
      <c r="H433" s="1" t="s">
        <v>181</v>
      </c>
      <c r="I433" s="1" t="s">
        <v>39</v>
      </c>
      <c r="J433" s="1" t="s">
        <v>190</v>
      </c>
      <c r="K433" s="1" t="s">
        <v>229</v>
      </c>
    </row>
    <row r="434" spans="1:11" x14ac:dyDescent="0.25">
      <c r="A434" s="1" t="s">
        <v>215</v>
      </c>
      <c r="B434" s="1">
        <v>141</v>
      </c>
      <c r="C434" s="1" t="s">
        <v>27</v>
      </c>
      <c r="D434" s="1">
        <v>1</v>
      </c>
      <c r="E434" s="1" t="s">
        <v>30</v>
      </c>
      <c r="F434" s="1">
        <v>21</v>
      </c>
      <c r="G434" s="1">
        <v>16</v>
      </c>
      <c r="H434" s="1" t="s">
        <v>181</v>
      </c>
      <c r="I434" s="1" t="s">
        <v>41</v>
      </c>
      <c r="J434" s="1" t="s">
        <v>192</v>
      </c>
      <c r="K434" s="1" t="s">
        <v>229</v>
      </c>
    </row>
    <row r="435" spans="1:11" x14ac:dyDescent="0.25">
      <c r="A435" s="1" t="s">
        <v>215</v>
      </c>
      <c r="B435" s="1">
        <v>142</v>
      </c>
      <c r="C435" s="1" t="s">
        <v>27</v>
      </c>
      <c r="D435" s="1">
        <v>2</v>
      </c>
      <c r="E435" s="1" t="s">
        <v>30</v>
      </c>
      <c r="F435" s="1">
        <v>1</v>
      </c>
      <c r="G435" s="1">
        <v>0</v>
      </c>
      <c r="H435" s="1" t="s">
        <v>181</v>
      </c>
      <c r="I435" s="1" t="s">
        <v>41</v>
      </c>
      <c r="J435" s="1" t="s">
        <v>192</v>
      </c>
      <c r="K435" s="1" t="s">
        <v>229</v>
      </c>
    </row>
    <row r="436" spans="1:11" x14ac:dyDescent="0.25">
      <c r="A436" s="1" t="s">
        <v>217</v>
      </c>
      <c r="B436" s="1">
        <v>3</v>
      </c>
      <c r="C436" s="1" t="s">
        <v>12</v>
      </c>
      <c r="D436" s="1">
        <v>1</v>
      </c>
      <c r="E436" s="1" t="s">
        <v>194</v>
      </c>
      <c r="F436" s="1">
        <v>22</v>
      </c>
      <c r="G436" s="1">
        <v>20</v>
      </c>
      <c r="H436" s="1" t="s">
        <v>147</v>
      </c>
      <c r="I436" s="1" t="s">
        <v>196</v>
      </c>
      <c r="J436" s="1" t="s">
        <v>149</v>
      </c>
      <c r="K436" s="1" t="s">
        <v>218</v>
      </c>
    </row>
    <row r="437" spans="1:11" x14ac:dyDescent="0.25">
      <c r="A437" s="1" t="s">
        <v>217</v>
      </c>
      <c r="B437" s="1">
        <v>4</v>
      </c>
      <c r="C437" s="1" t="s">
        <v>12</v>
      </c>
      <c r="D437" s="1">
        <v>2</v>
      </c>
      <c r="E437" s="1" t="s">
        <v>194</v>
      </c>
      <c r="F437" s="1">
        <v>29</v>
      </c>
      <c r="G437" s="1">
        <v>27</v>
      </c>
      <c r="H437" s="1" t="s">
        <v>147</v>
      </c>
      <c r="I437" s="1" t="s">
        <v>196</v>
      </c>
      <c r="J437" s="1" t="s">
        <v>149</v>
      </c>
      <c r="K437" s="1" t="s">
        <v>218</v>
      </c>
    </row>
    <row r="438" spans="1:11" x14ac:dyDescent="0.25">
      <c r="A438" s="1" t="s">
        <v>217</v>
      </c>
      <c r="B438" s="1">
        <v>6</v>
      </c>
      <c r="C438" s="1" t="s">
        <v>18</v>
      </c>
      <c r="D438" s="1">
        <v>1</v>
      </c>
      <c r="E438" s="1" t="s">
        <v>194</v>
      </c>
      <c r="F438" s="1">
        <v>21</v>
      </c>
      <c r="G438" s="1">
        <v>16</v>
      </c>
      <c r="H438" s="1" t="s">
        <v>147</v>
      </c>
      <c r="I438" s="1" t="s">
        <v>199</v>
      </c>
      <c r="J438" s="1" t="s">
        <v>152</v>
      </c>
      <c r="K438" s="1" t="s">
        <v>218</v>
      </c>
    </row>
    <row r="439" spans="1:11" x14ac:dyDescent="0.25">
      <c r="A439" s="1" t="s">
        <v>217</v>
      </c>
      <c r="B439" s="1">
        <v>7</v>
      </c>
      <c r="C439" s="1" t="s">
        <v>18</v>
      </c>
      <c r="D439" s="1">
        <v>2</v>
      </c>
      <c r="E439" s="1" t="s">
        <v>194</v>
      </c>
      <c r="F439" s="1">
        <v>21</v>
      </c>
      <c r="G439" s="1">
        <v>15</v>
      </c>
      <c r="H439" s="1" t="s">
        <v>147</v>
      </c>
      <c r="I439" s="1" t="s">
        <v>199</v>
      </c>
      <c r="J439" s="1" t="s">
        <v>152</v>
      </c>
      <c r="K439" s="1" t="s">
        <v>218</v>
      </c>
    </row>
    <row r="440" spans="1:11" x14ac:dyDescent="0.25">
      <c r="A440" s="1" t="s">
        <v>217</v>
      </c>
      <c r="B440" s="1">
        <v>9</v>
      </c>
      <c r="C440" s="1" t="s">
        <v>21</v>
      </c>
      <c r="D440" s="1">
        <v>1</v>
      </c>
      <c r="E440" s="1" t="s">
        <v>194</v>
      </c>
      <c r="F440" s="1">
        <v>21</v>
      </c>
      <c r="G440" s="1">
        <v>11</v>
      </c>
      <c r="H440" s="1" t="s">
        <v>147</v>
      </c>
      <c r="I440" s="1" t="s">
        <v>201</v>
      </c>
      <c r="J440" s="1" t="s">
        <v>154</v>
      </c>
      <c r="K440" s="1" t="s">
        <v>218</v>
      </c>
    </row>
    <row r="441" spans="1:11" x14ac:dyDescent="0.25">
      <c r="A441" s="1" t="s">
        <v>217</v>
      </c>
      <c r="B441" s="1">
        <v>10</v>
      </c>
      <c r="C441" s="1" t="s">
        <v>21</v>
      </c>
      <c r="D441" s="1">
        <v>2</v>
      </c>
      <c r="E441" s="1" t="s">
        <v>194</v>
      </c>
      <c r="F441" s="1">
        <v>21</v>
      </c>
      <c r="G441" s="1">
        <v>13</v>
      </c>
      <c r="H441" s="1" t="s">
        <v>147</v>
      </c>
      <c r="I441" s="1" t="s">
        <v>201</v>
      </c>
      <c r="J441" s="1" t="s">
        <v>154</v>
      </c>
      <c r="K441" s="1" t="s">
        <v>218</v>
      </c>
    </row>
    <row r="442" spans="1:11" x14ac:dyDescent="0.25">
      <c r="A442" s="1" t="s">
        <v>217</v>
      </c>
      <c r="B442" s="1">
        <v>12</v>
      </c>
      <c r="C442" s="1" t="s">
        <v>24</v>
      </c>
      <c r="D442" s="1">
        <v>1</v>
      </c>
      <c r="E442" s="1" t="s">
        <v>194</v>
      </c>
      <c r="F442" s="1">
        <v>21</v>
      </c>
      <c r="G442" s="1">
        <v>14</v>
      </c>
      <c r="H442" s="1" t="s">
        <v>147</v>
      </c>
      <c r="I442" s="1" t="s">
        <v>203</v>
      </c>
      <c r="J442" s="1" t="s">
        <v>211</v>
      </c>
      <c r="K442" s="1" t="s">
        <v>218</v>
      </c>
    </row>
    <row r="443" spans="1:11" x14ac:dyDescent="0.25">
      <c r="A443" s="1" t="s">
        <v>217</v>
      </c>
      <c r="B443" s="1">
        <v>13</v>
      </c>
      <c r="C443" s="1" t="s">
        <v>24</v>
      </c>
      <c r="D443" s="1">
        <v>2</v>
      </c>
      <c r="E443" s="1" t="s">
        <v>194</v>
      </c>
      <c r="F443" s="1">
        <v>21</v>
      </c>
      <c r="G443" s="1">
        <v>12</v>
      </c>
      <c r="H443" s="1" t="s">
        <v>147</v>
      </c>
      <c r="I443" s="1" t="s">
        <v>203</v>
      </c>
      <c r="J443" s="1" t="s">
        <v>211</v>
      </c>
      <c r="K443" s="1" t="s">
        <v>218</v>
      </c>
    </row>
    <row r="444" spans="1:11" x14ac:dyDescent="0.25">
      <c r="A444" s="1" t="s">
        <v>217</v>
      </c>
      <c r="B444" s="1">
        <v>15</v>
      </c>
      <c r="C444" s="1" t="s">
        <v>27</v>
      </c>
      <c r="D444" s="1">
        <v>1</v>
      </c>
      <c r="E444" s="1" t="s">
        <v>194</v>
      </c>
      <c r="F444" s="1">
        <v>21</v>
      </c>
      <c r="G444" s="1">
        <v>11</v>
      </c>
      <c r="H444" s="1" t="s">
        <v>147</v>
      </c>
      <c r="I444" s="1" t="s">
        <v>205</v>
      </c>
      <c r="J444" s="1" t="s">
        <v>212</v>
      </c>
      <c r="K444" s="1" t="s">
        <v>218</v>
      </c>
    </row>
    <row r="445" spans="1:11" x14ac:dyDescent="0.25">
      <c r="A445" s="1" t="s">
        <v>217</v>
      </c>
      <c r="B445" s="1">
        <v>16</v>
      </c>
      <c r="C445" s="1" t="s">
        <v>27</v>
      </c>
      <c r="D445" s="1">
        <v>2</v>
      </c>
      <c r="E445" s="1" t="s">
        <v>194</v>
      </c>
      <c r="F445" s="1">
        <v>21</v>
      </c>
      <c r="G445" s="1">
        <v>15</v>
      </c>
      <c r="H445" s="1" t="s">
        <v>147</v>
      </c>
      <c r="I445" s="1" t="s">
        <v>205</v>
      </c>
      <c r="J445" s="1" t="s">
        <v>212</v>
      </c>
      <c r="K445" s="1" t="s">
        <v>218</v>
      </c>
    </row>
    <row r="446" spans="1:11" x14ac:dyDescent="0.25">
      <c r="A446" s="1" t="s">
        <v>217</v>
      </c>
      <c r="B446" s="1">
        <v>21</v>
      </c>
      <c r="C446" s="1" t="s">
        <v>12</v>
      </c>
      <c r="D446" s="1">
        <v>1</v>
      </c>
      <c r="E446" s="1" t="s">
        <v>195</v>
      </c>
      <c r="F446" s="1">
        <v>16</v>
      </c>
      <c r="G446" s="1">
        <v>21</v>
      </c>
      <c r="H446" s="1" t="s">
        <v>146</v>
      </c>
      <c r="I446" s="1" t="s">
        <v>197</v>
      </c>
      <c r="J446" s="1" t="s">
        <v>148</v>
      </c>
      <c r="K446" s="1" t="s">
        <v>218</v>
      </c>
    </row>
    <row r="447" spans="1:11" x14ac:dyDescent="0.25">
      <c r="A447" s="1" t="s">
        <v>217</v>
      </c>
      <c r="B447" s="1">
        <v>22</v>
      </c>
      <c r="C447" s="1" t="s">
        <v>12</v>
      </c>
      <c r="D447" s="1">
        <v>2</v>
      </c>
      <c r="E447" s="1" t="s">
        <v>195</v>
      </c>
      <c r="F447" s="1">
        <v>18</v>
      </c>
      <c r="G447" s="1">
        <v>21</v>
      </c>
      <c r="H447" s="1" t="s">
        <v>146</v>
      </c>
      <c r="I447" s="1" t="s">
        <v>197</v>
      </c>
      <c r="J447" s="1" t="s">
        <v>148</v>
      </c>
      <c r="K447" s="1" t="s">
        <v>218</v>
      </c>
    </row>
    <row r="448" spans="1:11" x14ac:dyDescent="0.25">
      <c r="A448" s="1" t="s">
        <v>217</v>
      </c>
      <c r="B448" s="1">
        <v>24</v>
      </c>
      <c r="C448" s="1" t="s">
        <v>18</v>
      </c>
      <c r="D448" s="1">
        <v>1</v>
      </c>
      <c r="E448" s="1" t="s">
        <v>195</v>
      </c>
      <c r="F448" s="1">
        <v>22</v>
      </c>
      <c r="G448" s="1">
        <v>20</v>
      </c>
      <c r="H448" s="1" t="s">
        <v>146</v>
      </c>
      <c r="I448" s="1" t="s">
        <v>200</v>
      </c>
      <c r="J448" s="1" t="s">
        <v>151</v>
      </c>
      <c r="K448" s="1" t="s">
        <v>218</v>
      </c>
    </row>
    <row r="449" spans="1:11" x14ac:dyDescent="0.25">
      <c r="A449" s="1" t="s">
        <v>217</v>
      </c>
      <c r="B449" s="1">
        <v>25</v>
      </c>
      <c r="C449" s="1" t="s">
        <v>18</v>
      </c>
      <c r="D449" s="1">
        <v>2</v>
      </c>
      <c r="E449" s="1" t="s">
        <v>195</v>
      </c>
      <c r="F449" s="1">
        <v>21</v>
      </c>
      <c r="G449" s="1">
        <v>19</v>
      </c>
      <c r="H449" s="1" t="s">
        <v>146</v>
      </c>
      <c r="I449" s="1" t="s">
        <v>200</v>
      </c>
      <c r="J449" s="1" t="s">
        <v>151</v>
      </c>
      <c r="K449" s="1" t="s">
        <v>218</v>
      </c>
    </row>
    <row r="450" spans="1:11" x14ac:dyDescent="0.25">
      <c r="A450" s="1" t="s">
        <v>217</v>
      </c>
      <c r="B450" s="1">
        <v>27</v>
      </c>
      <c r="C450" s="1" t="s">
        <v>21</v>
      </c>
      <c r="D450" s="1">
        <v>1</v>
      </c>
      <c r="E450" s="1" t="s">
        <v>195</v>
      </c>
      <c r="F450" s="1">
        <v>21</v>
      </c>
      <c r="G450" s="1">
        <v>9</v>
      </c>
      <c r="H450" s="1" t="s">
        <v>146</v>
      </c>
      <c r="I450" s="1" t="s">
        <v>202</v>
      </c>
      <c r="J450" s="1" t="s">
        <v>153</v>
      </c>
      <c r="K450" s="1" t="s">
        <v>218</v>
      </c>
    </row>
    <row r="451" spans="1:11" x14ac:dyDescent="0.25">
      <c r="A451" s="1" t="s">
        <v>217</v>
      </c>
      <c r="B451" s="1">
        <v>28</v>
      </c>
      <c r="C451" s="1" t="s">
        <v>21</v>
      </c>
      <c r="D451" s="1">
        <v>2</v>
      </c>
      <c r="E451" s="1" t="s">
        <v>195</v>
      </c>
      <c r="F451" s="1">
        <v>21</v>
      </c>
      <c r="G451" s="1">
        <v>14</v>
      </c>
      <c r="H451" s="1" t="s">
        <v>146</v>
      </c>
      <c r="I451" s="1" t="s">
        <v>202</v>
      </c>
      <c r="J451" s="1" t="s">
        <v>153</v>
      </c>
      <c r="K451" s="1" t="s">
        <v>218</v>
      </c>
    </row>
    <row r="452" spans="1:11" x14ac:dyDescent="0.25">
      <c r="A452" s="1" t="s">
        <v>217</v>
      </c>
      <c r="B452" s="1">
        <v>30</v>
      </c>
      <c r="C452" s="1" t="s">
        <v>24</v>
      </c>
      <c r="D452" s="1">
        <v>1</v>
      </c>
      <c r="E452" s="1" t="s">
        <v>195</v>
      </c>
      <c r="F452" s="1">
        <v>21</v>
      </c>
      <c r="G452" s="1">
        <v>19</v>
      </c>
      <c r="H452" s="1" t="s">
        <v>146</v>
      </c>
      <c r="I452" s="1" t="s">
        <v>204</v>
      </c>
      <c r="J452" s="1" t="s">
        <v>209</v>
      </c>
      <c r="K452" s="1" t="s">
        <v>218</v>
      </c>
    </row>
    <row r="453" spans="1:11" x14ac:dyDescent="0.25">
      <c r="A453" s="1" t="s">
        <v>217</v>
      </c>
      <c r="B453" s="1">
        <v>31</v>
      </c>
      <c r="C453" s="1" t="s">
        <v>24</v>
      </c>
      <c r="D453" s="1">
        <v>2</v>
      </c>
      <c r="E453" s="1" t="s">
        <v>195</v>
      </c>
      <c r="F453" s="1">
        <v>18</v>
      </c>
      <c r="G453" s="1">
        <v>21</v>
      </c>
      <c r="H453" s="1" t="s">
        <v>146</v>
      </c>
      <c r="I453" s="1" t="s">
        <v>204</v>
      </c>
      <c r="J453" s="1" t="s">
        <v>209</v>
      </c>
      <c r="K453" s="1" t="s">
        <v>218</v>
      </c>
    </row>
    <row r="454" spans="1:11" x14ac:dyDescent="0.25">
      <c r="A454" s="1" t="s">
        <v>217</v>
      </c>
      <c r="B454" s="1">
        <v>33</v>
      </c>
      <c r="C454" s="1" t="s">
        <v>27</v>
      </c>
      <c r="D454" s="1">
        <v>1</v>
      </c>
      <c r="E454" s="1" t="s">
        <v>195</v>
      </c>
      <c r="F454" s="1">
        <v>21</v>
      </c>
      <c r="G454" s="1">
        <v>17</v>
      </c>
      <c r="H454" s="1" t="s">
        <v>146</v>
      </c>
      <c r="I454" s="1" t="s">
        <v>206</v>
      </c>
      <c r="J454" s="1" t="s">
        <v>210</v>
      </c>
      <c r="K454" s="1" t="s">
        <v>218</v>
      </c>
    </row>
    <row r="455" spans="1:11" x14ac:dyDescent="0.25">
      <c r="A455" s="1" t="s">
        <v>217</v>
      </c>
      <c r="B455" s="1">
        <v>34</v>
      </c>
      <c r="C455" s="1" t="s">
        <v>27</v>
      </c>
      <c r="D455" s="1">
        <v>2</v>
      </c>
      <c r="E455" s="1" t="s">
        <v>195</v>
      </c>
      <c r="F455" s="1">
        <v>21</v>
      </c>
      <c r="G455" s="1">
        <v>14</v>
      </c>
      <c r="H455" s="1" t="s">
        <v>146</v>
      </c>
      <c r="I455" s="1" t="s">
        <v>206</v>
      </c>
      <c r="J455" s="1" t="s">
        <v>210</v>
      </c>
      <c r="K455" s="1" t="s">
        <v>218</v>
      </c>
    </row>
    <row r="456" spans="1:11" x14ac:dyDescent="0.25">
      <c r="A456" s="1" t="s">
        <v>217</v>
      </c>
      <c r="B456" s="1">
        <v>111</v>
      </c>
      <c r="C456" s="1" t="s">
        <v>12</v>
      </c>
      <c r="D456" s="1">
        <v>1</v>
      </c>
      <c r="E456" s="1" t="s">
        <v>30</v>
      </c>
      <c r="F456" s="1">
        <v>1</v>
      </c>
      <c r="G456" s="1">
        <v>0</v>
      </c>
      <c r="H456" s="1" t="s">
        <v>44</v>
      </c>
      <c r="I456" s="1" t="s">
        <v>32</v>
      </c>
      <c r="J456" s="1" t="s">
        <v>46</v>
      </c>
      <c r="K456" s="1" t="s">
        <v>219</v>
      </c>
    </row>
    <row r="457" spans="1:11" x14ac:dyDescent="0.25">
      <c r="A457" s="1" t="s">
        <v>217</v>
      </c>
      <c r="B457" s="1">
        <v>112</v>
      </c>
      <c r="C457" s="1" t="s">
        <v>12</v>
      </c>
      <c r="D457" s="1">
        <v>2</v>
      </c>
      <c r="E457" s="1" t="s">
        <v>30</v>
      </c>
      <c r="F457" s="1">
        <v>1</v>
      </c>
      <c r="G457" s="1">
        <v>0</v>
      </c>
      <c r="H457" s="1" t="s">
        <v>44</v>
      </c>
      <c r="I457" s="1" t="s">
        <v>32</v>
      </c>
      <c r="J457" s="1" t="s">
        <v>46</v>
      </c>
      <c r="K457" s="1" t="s">
        <v>219</v>
      </c>
    </row>
    <row r="458" spans="1:11" x14ac:dyDescent="0.25">
      <c r="A458" s="1" t="s">
        <v>217</v>
      </c>
      <c r="B458" s="1">
        <v>114</v>
      </c>
      <c r="C458" s="1" t="s">
        <v>18</v>
      </c>
      <c r="D458" s="1">
        <v>1</v>
      </c>
      <c r="E458" s="1" t="s">
        <v>30</v>
      </c>
      <c r="F458" s="1">
        <v>21</v>
      </c>
      <c r="G458" s="1">
        <v>18</v>
      </c>
      <c r="H458" s="1" t="s">
        <v>44</v>
      </c>
      <c r="I458" s="1" t="s">
        <v>35</v>
      </c>
      <c r="J458" s="1" t="s">
        <v>49</v>
      </c>
      <c r="K458" s="1" t="s">
        <v>219</v>
      </c>
    </row>
    <row r="459" spans="1:11" x14ac:dyDescent="0.25">
      <c r="A459" s="1" t="s">
        <v>217</v>
      </c>
      <c r="B459" s="1">
        <v>115</v>
      </c>
      <c r="C459" s="1" t="s">
        <v>18</v>
      </c>
      <c r="D459" s="1">
        <v>2</v>
      </c>
      <c r="E459" s="1" t="s">
        <v>30</v>
      </c>
      <c r="F459" s="1">
        <v>1</v>
      </c>
      <c r="G459" s="1">
        <v>0</v>
      </c>
      <c r="H459" s="1" t="s">
        <v>44</v>
      </c>
      <c r="I459" s="1" t="s">
        <v>35</v>
      </c>
      <c r="J459" s="1" t="s">
        <v>49</v>
      </c>
      <c r="K459" s="1" t="s">
        <v>219</v>
      </c>
    </row>
    <row r="460" spans="1:11" x14ac:dyDescent="0.25">
      <c r="A460" s="1" t="s">
        <v>217</v>
      </c>
      <c r="B460" s="1">
        <v>117</v>
      </c>
      <c r="C460" s="1" t="s">
        <v>21</v>
      </c>
      <c r="D460" s="1">
        <v>1</v>
      </c>
      <c r="E460" s="1" t="s">
        <v>30</v>
      </c>
      <c r="F460" s="1">
        <v>21</v>
      </c>
      <c r="G460" s="1">
        <v>18</v>
      </c>
      <c r="H460" s="1" t="s">
        <v>44</v>
      </c>
      <c r="I460" s="1" t="s">
        <v>37</v>
      </c>
      <c r="J460" s="1" t="s">
        <v>51</v>
      </c>
      <c r="K460" s="1" t="s">
        <v>219</v>
      </c>
    </row>
    <row r="461" spans="1:11" x14ac:dyDescent="0.25">
      <c r="A461" s="1" t="s">
        <v>217</v>
      </c>
      <c r="B461" s="1">
        <v>118</v>
      </c>
      <c r="C461" s="1" t="s">
        <v>21</v>
      </c>
      <c r="D461" s="1">
        <v>2</v>
      </c>
      <c r="E461" s="1" t="s">
        <v>30</v>
      </c>
      <c r="F461" s="1">
        <v>1</v>
      </c>
      <c r="G461" s="1">
        <v>0</v>
      </c>
      <c r="H461" s="1" t="s">
        <v>44</v>
      </c>
      <c r="I461" s="1" t="s">
        <v>37</v>
      </c>
      <c r="J461" s="1" t="s">
        <v>51</v>
      </c>
      <c r="K461" s="1" t="s">
        <v>219</v>
      </c>
    </row>
    <row r="462" spans="1:11" x14ac:dyDescent="0.25">
      <c r="A462" s="1" t="s">
        <v>217</v>
      </c>
      <c r="B462" s="1">
        <v>120</v>
      </c>
      <c r="C462" s="1" t="s">
        <v>24</v>
      </c>
      <c r="D462" s="1">
        <v>1</v>
      </c>
      <c r="E462" s="1" t="s">
        <v>30</v>
      </c>
      <c r="F462" s="1">
        <v>21</v>
      </c>
      <c r="G462" s="1">
        <v>10</v>
      </c>
      <c r="H462" s="1" t="s">
        <v>44</v>
      </c>
      <c r="I462" s="1" t="s">
        <v>39</v>
      </c>
      <c r="J462" s="1" t="s">
        <v>53</v>
      </c>
      <c r="K462" s="1" t="s">
        <v>219</v>
      </c>
    </row>
    <row r="463" spans="1:11" x14ac:dyDescent="0.25">
      <c r="A463" s="1" t="s">
        <v>217</v>
      </c>
      <c r="B463" s="1">
        <v>121</v>
      </c>
      <c r="C463" s="1" t="s">
        <v>24</v>
      </c>
      <c r="D463" s="1">
        <v>2</v>
      </c>
      <c r="E463" s="1" t="s">
        <v>30</v>
      </c>
      <c r="F463" s="1">
        <v>1</v>
      </c>
      <c r="G463" s="1">
        <v>0</v>
      </c>
      <c r="H463" s="1" t="s">
        <v>44</v>
      </c>
      <c r="I463" s="1" t="s">
        <v>39</v>
      </c>
      <c r="J463" s="1" t="s">
        <v>53</v>
      </c>
      <c r="K463" s="1" t="s">
        <v>219</v>
      </c>
    </row>
    <row r="464" spans="1:11" x14ac:dyDescent="0.25">
      <c r="A464" s="1" t="s">
        <v>217</v>
      </c>
      <c r="B464" s="1">
        <v>123</v>
      </c>
      <c r="C464" s="1" t="s">
        <v>27</v>
      </c>
      <c r="D464" s="1">
        <v>1</v>
      </c>
      <c r="E464" s="1" t="s">
        <v>30</v>
      </c>
      <c r="F464" s="1">
        <v>21</v>
      </c>
      <c r="G464" s="1">
        <v>10</v>
      </c>
      <c r="H464" s="1" t="s">
        <v>44</v>
      </c>
      <c r="I464" s="1" t="s">
        <v>41</v>
      </c>
      <c r="J464" s="1" t="s">
        <v>55</v>
      </c>
      <c r="K464" s="1" t="s">
        <v>219</v>
      </c>
    </row>
    <row r="465" spans="1:11" x14ac:dyDescent="0.25">
      <c r="A465" s="1" t="s">
        <v>217</v>
      </c>
      <c r="B465" s="1">
        <v>124</v>
      </c>
      <c r="C465" s="1" t="s">
        <v>27</v>
      </c>
      <c r="D465" s="1">
        <v>2</v>
      </c>
      <c r="E465" s="1" t="s">
        <v>30</v>
      </c>
      <c r="F465" s="1">
        <v>1</v>
      </c>
      <c r="G465" s="1">
        <v>0</v>
      </c>
      <c r="H465" s="1" t="s">
        <v>44</v>
      </c>
      <c r="I465" s="1" t="s">
        <v>41</v>
      </c>
      <c r="J465" s="1" t="s">
        <v>55</v>
      </c>
      <c r="K465" s="1" t="s">
        <v>219</v>
      </c>
    </row>
    <row r="466" spans="1:11" x14ac:dyDescent="0.25">
      <c r="A466" s="1" t="s">
        <v>217</v>
      </c>
      <c r="B466" s="1">
        <v>129</v>
      </c>
      <c r="C466" s="1" t="s">
        <v>12</v>
      </c>
      <c r="D466" s="1">
        <v>1</v>
      </c>
      <c r="E466" s="1" t="s">
        <v>43</v>
      </c>
      <c r="F466" s="1">
        <v>0</v>
      </c>
      <c r="G466" s="1">
        <v>1</v>
      </c>
      <c r="H466" s="1" t="s">
        <v>31</v>
      </c>
      <c r="I466" s="1" t="s">
        <v>45</v>
      </c>
      <c r="J466" s="1" t="s">
        <v>33</v>
      </c>
      <c r="K466" s="1" t="s">
        <v>219</v>
      </c>
    </row>
    <row r="467" spans="1:11" x14ac:dyDescent="0.25">
      <c r="A467" s="1" t="s">
        <v>217</v>
      </c>
      <c r="B467" s="1">
        <v>130</v>
      </c>
      <c r="C467" s="1" t="s">
        <v>12</v>
      </c>
      <c r="D467" s="1">
        <v>2</v>
      </c>
      <c r="E467" s="1" t="s">
        <v>43</v>
      </c>
      <c r="F467" s="1">
        <v>0</v>
      </c>
      <c r="G467" s="1">
        <v>1</v>
      </c>
      <c r="H467" s="1" t="s">
        <v>31</v>
      </c>
      <c r="I467" s="1" t="s">
        <v>45</v>
      </c>
      <c r="J467" s="1" t="s">
        <v>33</v>
      </c>
      <c r="K467" s="1" t="s">
        <v>219</v>
      </c>
    </row>
    <row r="468" spans="1:11" x14ac:dyDescent="0.25">
      <c r="A468" s="1" t="s">
        <v>217</v>
      </c>
      <c r="B468" s="1">
        <v>132</v>
      </c>
      <c r="C468" s="1" t="s">
        <v>18</v>
      </c>
      <c r="D468" s="1">
        <v>1</v>
      </c>
      <c r="E468" s="1" t="s">
        <v>43</v>
      </c>
      <c r="F468" s="1">
        <v>0</v>
      </c>
      <c r="G468" s="1">
        <v>1</v>
      </c>
      <c r="H468" s="1" t="s">
        <v>31</v>
      </c>
      <c r="I468" s="1" t="s">
        <v>48</v>
      </c>
      <c r="J468" s="1" t="s">
        <v>36</v>
      </c>
      <c r="K468" s="1" t="s">
        <v>219</v>
      </c>
    </row>
    <row r="469" spans="1:11" x14ac:dyDescent="0.25">
      <c r="A469" s="1" t="s">
        <v>217</v>
      </c>
      <c r="B469" s="1">
        <v>133</v>
      </c>
      <c r="C469" s="1" t="s">
        <v>18</v>
      </c>
      <c r="D469" s="1">
        <v>2</v>
      </c>
      <c r="E469" s="1" t="s">
        <v>43</v>
      </c>
      <c r="F469" s="1">
        <v>0</v>
      </c>
      <c r="G469" s="1">
        <v>1</v>
      </c>
      <c r="H469" s="1" t="s">
        <v>31</v>
      </c>
      <c r="I469" s="1" t="s">
        <v>48</v>
      </c>
      <c r="J469" s="1" t="s">
        <v>36</v>
      </c>
      <c r="K469" s="1" t="s">
        <v>219</v>
      </c>
    </row>
    <row r="470" spans="1:11" x14ac:dyDescent="0.25">
      <c r="A470" s="1" t="s">
        <v>217</v>
      </c>
      <c r="B470" s="1">
        <v>135</v>
      </c>
      <c r="C470" s="1" t="s">
        <v>21</v>
      </c>
      <c r="D470" s="1">
        <v>1</v>
      </c>
      <c r="E470" s="1" t="s">
        <v>43</v>
      </c>
      <c r="F470" s="1">
        <v>0</v>
      </c>
      <c r="G470" s="1">
        <v>1</v>
      </c>
      <c r="H470" s="1" t="s">
        <v>31</v>
      </c>
      <c r="I470" s="1" t="s">
        <v>50</v>
      </c>
      <c r="J470" s="1" t="s">
        <v>38</v>
      </c>
      <c r="K470" s="1" t="s">
        <v>219</v>
      </c>
    </row>
    <row r="471" spans="1:11" x14ac:dyDescent="0.25">
      <c r="A471" s="1" t="s">
        <v>217</v>
      </c>
      <c r="B471" s="1">
        <v>136</v>
      </c>
      <c r="C471" s="1" t="s">
        <v>21</v>
      </c>
      <c r="D471" s="1">
        <v>2</v>
      </c>
      <c r="E471" s="1" t="s">
        <v>43</v>
      </c>
      <c r="F471" s="1">
        <v>0</v>
      </c>
      <c r="G471" s="1">
        <v>1</v>
      </c>
      <c r="H471" s="1" t="s">
        <v>31</v>
      </c>
      <c r="I471" s="1" t="s">
        <v>50</v>
      </c>
      <c r="J471" s="1" t="s">
        <v>38</v>
      </c>
      <c r="K471" s="1" t="s">
        <v>219</v>
      </c>
    </row>
    <row r="472" spans="1:11" x14ac:dyDescent="0.25">
      <c r="A472" s="1" t="s">
        <v>217</v>
      </c>
      <c r="B472" s="1">
        <v>138</v>
      </c>
      <c r="C472" s="1" t="s">
        <v>24</v>
      </c>
      <c r="D472" s="1">
        <v>1</v>
      </c>
      <c r="E472" s="1" t="s">
        <v>43</v>
      </c>
      <c r="F472" s="1">
        <v>0</v>
      </c>
      <c r="G472" s="1">
        <v>1</v>
      </c>
      <c r="H472" s="1" t="s">
        <v>31</v>
      </c>
      <c r="I472" s="1" t="s">
        <v>52</v>
      </c>
      <c r="J472" s="1" t="s">
        <v>40</v>
      </c>
      <c r="K472" s="1" t="s">
        <v>219</v>
      </c>
    </row>
    <row r="473" spans="1:11" x14ac:dyDescent="0.25">
      <c r="A473" s="1" t="s">
        <v>217</v>
      </c>
      <c r="B473" s="1">
        <v>139</v>
      </c>
      <c r="C473" s="1" t="s">
        <v>24</v>
      </c>
      <c r="D473" s="1">
        <v>2</v>
      </c>
      <c r="E473" s="1" t="s">
        <v>43</v>
      </c>
      <c r="F473" s="1">
        <v>0</v>
      </c>
      <c r="G473" s="1">
        <v>1</v>
      </c>
      <c r="H473" s="1" t="s">
        <v>31</v>
      </c>
      <c r="I473" s="1" t="s">
        <v>52</v>
      </c>
      <c r="J473" s="1" t="s">
        <v>40</v>
      </c>
      <c r="K473" s="1" t="s">
        <v>219</v>
      </c>
    </row>
    <row r="474" spans="1:11" x14ac:dyDescent="0.25">
      <c r="A474" s="1" t="s">
        <v>217</v>
      </c>
      <c r="B474" s="1">
        <v>141</v>
      </c>
      <c r="C474" s="1" t="s">
        <v>27</v>
      </c>
      <c r="D474" s="1">
        <v>1</v>
      </c>
      <c r="E474" s="1" t="s">
        <v>43</v>
      </c>
      <c r="F474" s="1">
        <v>1</v>
      </c>
      <c r="G474" s="1">
        <v>0</v>
      </c>
      <c r="H474" s="1" t="s">
        <v>31</v>
      </c>
      <c r="I474" s="1" t="s">
        <v>54</v>
      </c>
      <c r="J474" s="1" t="s">
        <v>42</v>
      </c>
      <c r="K474" s="1" t="s">
        <v>219</v>
      </c>
    </row>
    <row r="475" spans="1:11" x14ac:dyDescent="0.25">
      <c r="A475" s="1" t="s">
        <v>217</v>
      </c>
      <c r="B475" s="1">
        <v>142</v>
      </c>
      <c r="C475" s="1" t="s">
        <v>27</v>
      </c>
      <c r="D475" s="1">
        <v>2</v>
      </c>
      <c r="E475" s="1" t="s">
        <v>43</v>
      </c>
      <c r="F475" s="1">
        <v>1</v>
      </c>
      <c r="G475" s="1">
        <v>0</v>
      </c>
      <c r="H475" s="1" t="s">
        <v>31</v>
      </c>
      <c r="I475" s="1" t="s">
        <v>54</v>
      </c>
      <c r="J475" s="1" t="s">
        <v>42</v>
      </c>
      <c r="K475" s="1" t="s">
        <v>219</v>
      </c>
    </row>
    <row r="476" spans="1:11" x14ac:dyDescent="0.25">
      <c r="A476" s="1" t="s">
        <v>217</v>
      </c>
      <c r="B476" s="1">
        <v>147</v>
      </c>
      <c r="C476" s="1" t="s">
        <v>12</v>
      </c>
      <c r="D476" s="1">
        <v>1</v>
      </c>
      <c r="E476" s="1" t="s">
        <v>70</v>
      </c>
      <c r="F476" s="1">
        <v>22</v>
      </c>
      <c r="G476" s="1">
        <v>24</v>
      </c>
      <c r="H476" s="1" t="s">
        <v>56</v>
      </c>
      <c r="I476" s="1" t="s">
        <v>72</v>
      </c>
      <c r="J476" s="1" t="s">
        <v>58</v>
      </c>
      <c r="K476" s="1" t="s">
        <v>220</v>
      </c>
    </row>
    <row r="477" spans="1:11" x14ac:dyDescent="0.25">
      <c r="A477" s="1" t="s">
        <v>217</v>
      </c>
      <c r="B477" s="1">
        <v>148</v>
      </c>
      <c r="C477" s="1" t="s">
        <v>12</v>
      </c>
      <c r="D477" s="1">
        <v>2</v>
      </c>
      <c r="E477" s="1" t="s">
        <v>70</v>
      </c>
      <c r="F477" s="1">
        <v>0</v>
      </c>
      <c r="G477" s="1">
        <v>1</v>
      </c>
      <c r="H477" s="1" t="s">
        <v>56</v>
      </c>
      <c r="I477" s="1" t="s">
        <v>72</v>
      </c>
      <c r="J477" s="1" t="s">
        <v>58</v>
      </c>
      <c r="K477" s="1" t="s">
        <v>220</v>
      </c>
    </row>
    <row r="478" spans="1:11" x14ac:dyDescent="0.25">
      <c r="A478" s="1" t="s">
        <v>217</v>
      </c>
      <c r="B478" s="1">
        <v>150</v>
      </c>
      <c r="C478" s="1" t="s">
        <v>18</v>
      </c>
      <c r="D478" s="1">
        <v>1</v>
      </c>
      <c r="E478" s="1" t="s">
        <v>70</v>
      </c>
      <c r="F478" s="1">
        <v>21</v>
      </c>
      <c r="G478" s="1">
        <v>16</v>
      </c>
      <c r="H478" s="1" t="s">
        <v>56</v>
      </c>
      <c r="I478" s="1" t="s">
        <v>75</v>
      </c>
      <c r="J478" s="1" t="s">
        <v>61</v>
      </c>
      <c r="K478" s="1" t="s">
        <v>220</v>
      </c>
    </row>
    <row r="479" spans="1:11" x14ac:dyDescent="0.25">
      <c r="A479" s="1" t="s">
        <v>217</v>
      </c>
      <c r="B479" s="1">
        <v>151</v>
      </c>
      <c r="C479" s="1" t="s">
        <v>18</v>
      </c>
      <c r="D479" s="1">
        <v>2</v>
      </c>
      <c r="E479" s="1" t="s">
        <v>70</v>
      </c>
      <c r="F479" s="1">
        <v>1</v>
      </c>
      <c r="G479" s="1">
        <v>0</v>
      </c>
      <c r="H479" s="1" t="s">
        <v>56</v>
      </c>
      <c r="I479" s="1" t="s">
        <v>75</v>
      </c>
      <c r="J479" s="1" t="s">
        <v>61</v>
      </c>
      <c r="K479" s="1" t="s">
        <v>220</v>
      </c>
    </row>
    <row r="480" spans="1:11" x14ac:dyDescent="0.25">
      <c r="A480" s="1" t="s">
        <v>217</v>
      </c>
      <c r="B480" s="1">
        <v>153</v>
      </c>
      <c r="C480" s="1" t="s">
        <v>21</v>
      </c>
      <c r="D480" s="1">
        <v>1</v>
      </c>
      <c r="E480" s="1" t="s">
        <v>70</v>
      </c>
      <c r="F480" s="1">
        <v>21</v>
      </c>
      <c r="G480" s="1">
        <v>14</v>
      </c>
      <c r="H480" s="1" t="s">
        <v>56</v>
      </c>
      <c r="I480" s="1" t="s">
        <v>77</v>
      </c>
      <c r="J480" s="1" t="s">
        <v>63</v>
      </c>
      <c r="K480" s="1" t="s">
        <v>220</v>
      </c>
    </row>
    <row r="481" spans="1:11" x14ac:dyDescent="0.25">
      <c r="A481" s="1" t="s">
        <v>217</v>
      </c>
      <c r="B481" s="1">
        <v>154</v>
      </c>
      <c r="C481" s="1" t="s">
        <v>21</v>
      </c>
      <c r="D481" s="1">
        <v>2</v>
      </c>
      <c r="E481" s="1" t="s">
        <v>70</v>
      </c>
      <c r="F481" s="1">
        <v>1</v>
      </c>
      <c r="G481" s="1">
        <v>0</v>
      </c>
      <c r="H481" s="1" t="s">
        <v>56</v>
      </c>
      <c r="I481" s="1" t="s">
        <v>77</v>
      </c>
      <c r="J481" s="1" t="s">
        <v>63</v>
      </c>
      <c r="K481" s="1" t="s">
        <v>220</v>
      </c>
    </row>
    <row r="482" spans="1:11" x14ac:dyDescent="0.25">
      <c r="A482" s="1" t="s">
        <v>217</v>
      </c>
      <c r="B482" s="1">
        <v>156</v>
      </c>
      <c r="C482" s="1" t="s">
        <v>24</v>
      </c>
      <c r="D482" s="1">
        <v>1</v>
      </c>
      <c r="E482" s="1" t="s">
        <v>70</v>
      </c>
      <c r="F482" s="1">
        <v>21</v>
      </c>
      <c r="G482" s="1">
        <v>23</v>
      </c>
      <c r="H482" s="1" t="s">
        <v>56</v>
      </c>
      <c r="I482" s="1" t="s">
        <v>79</v>
      </c>
      <c r="J482" s="1" t="s">
        <v>65</v>
      </c>
      <c r="K482" s="1" t="s">
        <v>220</v>
      </c>
    </row>
    <row r="483" spans="1:11" x14ac:dyDescent="0.25">
      <c r="A483" s="1" t="s">
        <v>217</v>
      </c>
      <c r="B483" s="1">
        <v>157</v>
      </c>
      <c r="C483" s="1" t="s">
        <v>24</v>
      </c>
      <c r="D483" s="1">
        <v>2</v>
      </c>
      <c r="E483" s="1" t="s">
        <v>70</v>
      </c>
      <c r="F483" s="1">
        <v>0</v>
      </c>
      <c r="G483" s="1">
        <v>1</v>
      </c>
      <c r="H483" s="1" t="s">
        <v>56</v>
      </c>
      <c r="I483" s="1" t="s">
        <v>79</v>
      </c>
      <c r="J483" s="1" t="s">
        <v>65</v>
      </c>
      <c r="K483" s="1" t="s">
        <v>220</v>
      </c>
    </row>
    <row r="484" spans="1:11" x14ac:dyDescent="0.25">
      <c r="A484" s="1" t="s">
        <v>217</v>
      </c>
      <c r="B484" s="1">
        <v>159</v>
      </c>
      <c r="C484" s="1" t="s">
        <v>27</v>
      </c>
      <c r="D484" s="1">
        <v>1</v>
      </c>
      <c r="E484" s="1" t="s">
        <v>70</v>
      </c>
      <c r="F484" s="1">
        <v>17</v>
      </c>
      <c r="G484" s="1">
        <v>21</v>
      </c>
      <c r="H484" s="1" t="s">
        <v>56</v>
      </c>
      <c r="I484" s="1" t="s">
        <v>81</v>
      </c>
      <c r="J484" s="1" t="s">
        <v>67</v>
      </c>
      <c r="K484" s="1" t="s">
        <v>220</v>
      </c>
    </row>
    <row r="485" spans="1:11" x14ac:dyDescent="0.25">
      <c r="A485" s="1" t="s">
        <v>217</v>
      </c>
      <c r="B485" s="1">
        <v>160</v>
      </c>
      <c r="C485" s="1" t="s">
        <v>27</v>
      </c>
      <c r="D485" s="1">
        <v>2</v>
      </c>
      <c r="E485" s="1" t="s">
        <v>70</v>
      </c>
      <c r="F485" s="1">
        <v>0</v>
      </c>
      <c r="G485" s="1">
        <v>1</v>
      </c>
      <c r="H485" s="1" t="s">
        <v>56</v>
      </c>
      <c r="I485" s="1" t="s">
        <v>81</v>
      </c>
      <c r="J485" s="1" t="s">
        <v>67</v>
      </c>
      <c r="K485" s="1" t="s">
        <v>220</v>
      </c>
    </row>
    <row r="486" spans="1:11" x14ac:dyDescent="0.25">
      <c r="A486" s="1" t="s">
        <v>217</v>
      </c>
      <c r="B486" s="1">
        <v>165</v>
      </c>
      <c r="C486" s="1" t="s">
        <v>12</v>
      </c>
      <c r="D486" s="1">
        <v>1</v>
      </c>
      <c r="E486" s="1" t="s">
        <v>57</v>
      </c>
      <c r="F486" s="1">
        <v>21</v>
      </c>
      <c r="G486" s="1">
        <v>19</v>
      </c>
      <c r="H486" s="1" t="s">
        <v>69</v>
      </c>
      <c r="I486" s="1" t="s">
        <v>59</v>
      </c>
      <c r="J486" s="1" t="s">
        <v>71</v>
      </c>
      <c r="K486" s="1" t="s">
        <v>220</v>
      </c>
    </row>
    <row r="487" spans="1:11" x14ac:dyDescent="0.25">
      <c r="A487" s="1" t="s">
        <v>217</v>
      </c>
      <c r="B487" s="1">
        <v>166</v>
      </c>
      <c r="C487" s="1" t="s">
        <v>12</v>
      </c>
      <c r="D487" s="1">
        <v>2</v>
      </c>
      <c r="E487" s="1" t="s">
        <v>57</v>
      </c>
      <c r="F487" s="1">
        <v>1</v>
      </c>
      <c r="G487" s="1">
        <v>0</v>
      </c>
      <c r="H487" s="1" t="s">
        <v>69</v>
      </c>
      <c r="I487" s="1" t="s">
        <v>59</v>
      </c>
      <c r="J487" s="1" t="s">
        <v>71</v>
      </c>
      <c r="K487" s="1" t="s">
        <v>220</v>
      </c>
    </row>
    <row r="488" spans="1:11" x14ac:dyDescent="0.25">
      <c r="A488" s="1" t="s">
        <v>217</v>
      </c>
      <c r="B488" s="1">
        <v>168</v>
      </c>
      <c r="C488" s="1" t="s">
        <v>18</v>
      </c>
      <c r="D488" s="1">
        <v>1</v>
      </c>
      <c r="E488" s="1" t="s">
        <v>57</v>
      </c>
      <c r="F488" s="1">
        <v>21</v>
      </c>
      <c r="G488" s="1">
        <v>14</v>
      </c>
      <c r="H488" s="1" t="s">
        <v>69</v>
      </c>
      <c r="I488" s="1" t="s">
        <v>62</v>
      </c>
      <c r="J488" s="1" t="s">
        <v>74</v>
      </c>
      <c r="K488" s="1" t="s">
        <v>220</v>
      </c>
    </row>
    <row r="489" spans="1:11" x14ac:dyDescent="0.25">
      <c r="A489" s="1" t="s">
        <v>217</v>
      </c>
      <c r="B489" s="1">
        <v>169</v>
      </c>
      <c r="C489" s="1" t="s">
        <v>18</v>
      </c>
      <c r="D489" s="1">
        <v>2</v>
      </c>
      <c r="E489" s="1" t="s">
        <v>57</v>
      </c>
      <c r="F489" s="1">
        <v>1</v>
      </c>
      <c r="G489" s="1">
        <v>0</v>
      </c>
      <c r="H489" s="1" t="s">
        <v>69</v>
      </c>
      <c r="I489" s="1" t="s">
        <v>62</v>
      </c>
      <c r="J489" s="1" t="s">
        <v>74</v>
      </c>
      <c r="K489" s="1" t="s">
        <v>220</v>
      </c>
    </row>
    <row r="490" spans="1:11" x14ac:dyDescent="0.25">
      <c r="A490" s="1" t="s">
        <v>217</v>
      </c>
      <c r="B490" s="1">
        <v>171</v>
      </c>
      <c r="C490" s="1" t="s">
        <v>21</v>
      </c>
      <c r="D490" s="1">
        <v>1</v>
      </c>
      <c r="E490" s="1" t="s">
        <v>57</v>
      </c>
      <c r="F490" s="1">
        <v>19</v>
      </c>
      <c r="G490" s="1">
        <v>21</v>
      </c>
      <c r="H490" s="1" t="s">
        <v>69</v>
      </c>
      <c r="I490" s="1" t="s">
        <v>64</v>
      </c>
      <c r="J490" s="1" t="s">
        <v>76</v>
      </c>
      <c r="K490" s="1" t="s">
        <v>220</v>
      </c>
    </row>
    <row r="491" spans="1:11" x14ac:dyDescent="0.25">
      <c r="A491" s="1" t="s">
        <v>217</v>
      </c>
      <c r="B491" s="1">
        <v>172</v>
      </c>
      <c r="C491" s="1" t="s">
        <v>21</v>
      </c>
      <c r="D491" s="1">
        <v>2</v>
      </c>
      <c r="E491" s="1" t="s">
        <v>57</v>
      </c>
      <c r="F491" s="1">
        <v>0</v>
      </c>
      <c r="G491" s="1">
        <v>1</v>
      </c>
      <c r="H491" s="1" t="s">
        <v>69</v>
      </c>
      <c r="I491" s="1" t="s">
        <v>64</v>
      </c>
      <c r="J491" s="1" t="s">
        <v>76</v>
      </c>
      <c r="K491" s="1" t="s">
        <v>220</v>
      </c>
    </row>
    <row r="492" spans="1:11" x14ac:dyDescent="0.25">
      <c r="A492" s="1" t="s">
        <v>217</v>
      </c>
      <c r="B492" s="1">
        <v>174</v>
      </c>
      <c r="C492" s="1" t="s">
        <v>24</v>
      </c>
      <c r="D492" s="1">
        <v>1</v>
      </c>
      <c r="E492" s="1" t="s">
        <v>57</v>
      </c>
      <c r="F492" s="1">
        <v>18</v>
      </c>
      <c r="G492" s="1">
        <v>21</v>
      </c>
      <c r="H492" s="1" t="s">
        <v>69</v>
      </c>
      <c r="I492" s="1" t="s">
        <v>66</v>
      </c>
      <c r="J492" s="1" t="s">
        <v>78</v>
      </c>
      <c r="K492" s="1" t="s">
        <v>220</v>
      </c>
    </row>
    <row r="493" spans="1:11" x14ac:dyDescent="0.25">
      <c r="A493" s="1" t="s">
        <v>217</v>
      </c>
      <c r="B493" s="1">
        <v>175</v>
      </c>
      <c r="C493" s="1" t="s">
        <v>24</v>
      </c>
      <c r="D493" s="1">
        <v>2</v>
      </c>
      <c r="E493" s="1" t="s">
        <v>57</v>
      </c>
      <c r="F493" s="1">
        <v>0</v>
      </c>
      <c r="G493" s="1">
        <v>1</v>
      </c>
      <c r="H493" s="1" t="s">
        <v>69</v>
      </c>
      <c r="I493" s="1" t="s">
        <v>66</v>
      </c>
      <c r="J493" s="1" t="s">
        <v>78</v>
      </c>
      <c r="K493" s="1" t="s">
        <v>220</v>
      </c>
    </row>
    <row r="494" spans="1:11" x14ac:dyDescent="0.25">
      <c r="A494" s="1" t="s">
        <v>217</v>
      </c>
      <c r="B494" s="1">
        <v>177</v>
      </c>
      <c r="C494" s="1" t="s">
        <v>27</v>
      </c>
      <c r="D494" s="1">
        <v>1</v>
      </c>
      <c r="E494" s="1" t="s">
        <v>57</v>
      </c>
      <c r="F494" s="1">
        <v>21</v>
      </c>
      <c r="G494" s="1">
        <v>10</v>
      </c>
      <c r="H494" s="1" t="s">
        <v>69</v>
      </c>
      <c r="I494" s="1" t="s">
        <v>68</v>
      </c>
      <c r="J494" s="1" t="s">
        <v>80</v>
      </c>
      <c r="K494" s="1" t="s">
        <v>220</v>
      </c>
    </row>
    <row r="495" spans="1:11" x14ac:dyDescent="0.25">
      <c r="A495" s="1" t="s">
        <v>217</v>
      </c>
      <c r="B495" s="1">
        <v>178</v>
      </c>
      <c r="C495" s="1" t="s">
        <v>27</v>
      </c>
      <c r="D495" s="1">
        <v>2</v>
      </c>
      <c r="E495" s="1" t="s">
        <v>57</v>
      </c>
      <c r="F495" s="1">
        <v>1</v>
      </c>
      <c r="G495" s="1">
        <v>0</v>
      </c>
      <c r="H495" s="1" t="s">
        <v>69</v>
      </c>
      <c r="I495" s="1" t="s">
        <v>68</v>
      </c>
      <c r="J495" s="1" t="s">
        <v>80</v>
      </c>
      <c r="K495" s="1" t="s">
        <v>220</v>
      </c>
    </row>
    <row r="496" spans="1:11" x14ac:dyDescent="0.25">
      <c r="A496" s="1" t="s">
        <v>217</v>
      </c>
      <c r="B496" s="1">
        <v>183</v>
      </c>
      <c r="C496" s="1" t="s">
        <v>12</v>
      </c>
      <c r="D496" s="1">
        <v>1</v>
      </c>
      <c r="E496" s="1" t="s">
        <v>82</v>
      </c>
      <c r="F496" s="1">
        <v>18</v>
      </c>
      <c r="G496" s="1">
        <v>21</v>
      </c>
      <c r="H496" s="1" t="s">
        <v>96</v>
      </c>
      <c r="I496" s="1" t="s">
        <v>84</v>
      </c>
      <c r="J496" s="1" t="s">
        <v>98</v>
      </c>
      <c r="K496" s="1" t="s">
        <v>223</v>
      </c>
    </row>
    <row r="497" spans="1:11" x14ac:dyDescent="0.25">
      <c r="A497" s="1" t="s">
        <v>217</v>
      </c>
      <c r="B497" s="1">
        <v>184</v>
      </c>
      <c r="C497" s="1" t="s">
        <v>12</v>
      </c>
      <c r="D497" s="1">
        <v>2</v>
      </c>
      <c r="E497" s="1" t="s">
        <v>82</v>
      </c>
      <c r="F497" s="1">
        <v>0</v>
      </c>
      <c r="G497" s="1">
        <v>1</v>
      </c>
      <c r="H497" s="1" t="s">
        <v>96</v>
      </c>
      <c r="I497" s="1" t="s">
        <v>84</v>
      </c>
      <c r="J497" s="1" t="s">
        <v>98</v>
      </c>
      <c r="K497" s="1" t="s">
        <v>223</v>
      </c>
    </row>
    <row r="498" spans="1:11" x14ac:dyDescent="0.25">
      <c r="A498" s="1" t="s">
        <v>217</v>
      </c>
      <c r="B498" s="1">
        <v>186</v>
      </c>
      <c r="C498" s="1" t="s">
        <v>18</v>
      </c>
      <c r="D498" s="1">
        <v>1</v>
      </c>
      <c r="E498" s="1" t="s">
        <v>82</v>
      </c>
      <c r="F498" s="1">
        <v>22</v>
      </c>
      <c r="G498" s="1">
        <v>20</v>
      </c>
      <c r="H498" s="1" t="s">
        <v>96</v>
      </c>
      <c r="I498" s="1" t="s">
        <v>87</v>
      </c>
      <c r="J498" s="1" t="s">
        <v>101</v>
      </c>
      <c r="K498" s="1" t="s">
        <v>223</v>
      </c>
    </row>
    <row r="499" spans="1:11" x14ac:dyDescent="0.25">
      <c r="A499" s="1" t="s">
        <v>217</v>
      </c>
      <c r="B499" s="1">
        <v>187</v>
      </c>
      <c r="C499" s="1" t="s">
        <v>18</v>
      </c>
      <c r="D499" s="1">
        <v>2</v>
      </c>
      <c r="E499" s="1" t="s">
        <v>82</v>
      </c>
      <c r="F499" s="1">
        <v>1</v>
      </c>
      <c r="G499" s="1">
        <v>0</v>
      </c>
      <c r="H499" s="1" t="s">
        <v>96</v>
      </c>
      <c r="I499" s="1" t="s">
        <v>87</v>
      </c>
      <c r="J499" s="1" t="s">
        <v>101</v>
      </c>
      <c r="K499" s="1" t="s">
        <v>223</v>
      </c>
    </row>
    <row r="500" spans="1:11" x14ac:dyDescent="0.25">
      <c r="A500" s="1" t="s">
        <v>217</v>
      </c>
      <c r="B500" s="1">
        <v>189</v>
      </c>
      <c r="C500" s="1" t="s">
        <v>21</v>
      </c>
      <c r="D500" s="1">
        <v>1</v>
      </c>
      <c r="E500" s="1" t="s">
        <v>82</v>
      </c>
      <c r="F500" s="1">
        <v>24</v>
      </c>
      <c r="G500" s="1">
        <v>22</v>
      </c>
      <c r="H500" s="1" t="s">
        <v>96</v>
      </c>
      <c r="I500" s="1" t="s">
        <v>89</v>
      </c>
      <c r="J500" s="1" t="s">
        <v>103</v>
      </c>
      <c r="K500" s="1" t="s">
        <v>223</v>
      </c>
    </row>
    <row r="501" spans="1:11" x14ac:dyDescent="0.25">
      <c r="A501" s="1" t="s">
        <v>217</v>
      </c>
      <c r="B501" s="1">
        <v>190</v>
      </c>
      <c r="C501" s="1" t="s">
        <v>21</v>
      </c>
      <c r="D501" s="1">
        <v>2</v>
      </c>
      <c r="E501" s="1" t="s">
        <v>82</v>
      </c>
      <c r="F501" s="1">
        <v>1</v>
      </c>
      <c r="G501" s="1">
        <v>0</v>
      </c>
      <c r="H501" s="1" t="s">
        <v>96</v>
      </c>
      <c r="I501" s="1" t="s">
        <v>89</v>
      </c>
      <c r="J501" s="1" t="s">
        <v>103</v>
      </c>
      <c r="K501" s="1" t="s">
        <v>223</v>
      </c>
    </row>
    <row r="502" spans="1:11" x14ac:dyDescent="0.25">
      <c r="A502" s="1" t="s">
        <v>217</v>
      </c>
      <c r="B502" s="1">
        <v>192</v>
      </c>
      <c r="C502" s="1" t="s">
        <v>24</v>
      </c>
      <c r="D502" s="1">
        <v>1</v>
      </c>
      <c r="E502" s="1" t="s">
        <v>82</v>
      </c>
      <c r="F502" s="1">
        <v>23</v>
      </c>
      <c r="G502" s="1">
        <v>21</v>
      </c>
      <c r="H502" s="1" t="s">
        <v>96</v>
      </c>
      <c r="I502" s="1" t="s">
        <v>91</v>
      </c>
      <c r="J502" s="1" t="s">
        <v>105</v>
      </c>
      <c r="K502" s="1" t="s">
        <v>223</v>
      </c>
    </row>
    <row r="503" spans="1:11" x14ac:dyDescent="0.25">
      <c r="A503" s="1" t="s">
        <v>217</v>
      </c>
      <c r="B503" s="1">
        <v>193</v>
      </c>
      <c r="C503" s="1" t="s">
        <v>24</v>
      </c>
      <c r="D503" s="1">
        <v>2</v>
      </c>
      <c r="E503" s="1" t="s">
        <v>82</v>
      </c>
      <c r="F503" s="1">
        <v>1</v>
      </c>
      <c r="G503" s="1">
        <v>0</v>
      </c>
      <c r="H503" s="1" t="s">
        <v>96</v>
      </c>
      <c r="I503" s="1" t="s">
        <v>91</v>
      </c>
      <c r="J503" s="1" t="s">
        <v>105</v>
      </c>
      <c r="K503" s="1" t="s">
        <v>223</v>
      </c>
    </row>
    <row r="504" spans="1:11" x14ac:dyDescent="0.25">
      <c r="A504" s="1" t="s">
        <v>217</v>
      </c>
      <c r="B504" s="1">
        <v>195</v>
      </c>
      <c r="C504" s="1" t="s">
        <v>27</v>
      </c>
      <c r="D504" s="1">
        <v>1</v>
      </c>
      <c r="E504" s="1" t="s">
        <v>82</v>
      </c>
      <c r="F504" s="1">
        <v>19</v>
      </c>
      <c r="G504" s="1">
        <v>21</v>
      </c>
      <c r="H504" s="1" t="s">
        <v>96</v>
      </c>
      <c r="I504" s="1" t="s">
        <v>93</v>
      </c>
      <c r="J504" s="1" t="s">
        <v>107</v>
      </c>
      <c r="K504" s="1" t="s">
        <v>223</v>
      </c>
    </row>
    <row r="505" spans="1:11" x14ac:dyDescent="0.25">
      <c r="A505" s="1" t="s">
        <v>217</v>
      </c>
      <c r="B505" s="1">
        <v>196</v>
      </c>
      <c r="C505" s="1" t="s">
        <v>27</v>
      </c>
      <c r="D505" s="1">
        <v>2</v>
      </c>
      <c r="E505" s="1" t="s">
        <v>82</v>
      </c>
      <c r="F505" s="1">
        <v>0</v>
      </c>
      <c r="G505" s="1">
        <v>1</v>
      </c>
      <c r="H505" s="1" t="s">
        <v>96</v>
      </c>
      <c r="I505" s="1" t="s">
        <v>93</v>
      </c>
      <c r="J505" s="1" t="s">
        <v>107</v>
      </c>
      <c r="K505" s="1" t="s">
        <v>223</v>
      </c>
    </row>
    <row r="506" spans="1:11" x14ac:dyDescent="0.25">
      <c r="A506" s="1" t="s">
        <v>217</v>
      </c>
      <c r="B506" s="1">
        <v>201</v>
      </c>
      <c r="C506" s="1" t="s">
        <v>12</v>
      </c>
      <c r="D506" s="1">
        <v>1</v>
      </c>
      <c r="E506" s="1" t="s">
        <v>95</v>
      </c>
      <c r="F506" s="1">
        <v>16</v>
      </c>
      <c r="G506" s="1">
        <v>21</v>
      </c>
      <c r="H506" s="1" t="s">
        <v>83</v>
      </c>
      <c r="I506" s="1" t="s">
        <v>97</v>
      </c>
      <c r="J506" s="1" t="s">
        <v>85</v>
      </c>
      <c r="K506" s="1" t="s">
        <v>223</v>
      </c>
    </row>
    <row r="507" spans="1:11" x14ac:dyDescent="0.25">
      <c r="A507" s="1" t="s">
        <v>217</v>
      </c>
      <c r="B507" s="1">
        <v>202</v>
      </c>
      <c r="C507" s="1" t="s">
        <v>12</v>
      </c>
      <c r="D507" s="1">
        <v>2</v>
      </c>
      <c r="E507" s="1" t="s">
        <v>95</v>
      </c>
      <c r="F507" s="1">
        <v>0</v>
      </c>
      <c r="G507" s="1">
        <v>1</v>
      </c>
      <c r="H507" s="1" t="s">
        <v>83</v>
      </c>
      <c r="I507" s="1" t="s">
        <v>97</v>
      </c>
      <c r="J507" s="1" t="s">
        <v>85</v>
      </c>
      <c r="K507" s="1" t="s">
        <v>223</v>
      </c>
    </row>
    <row r="508" spans="1:11" x14ac:dyDescent="0.25">
      <c r="A508" s="1" t="s">
        <v>217</v>
      </c>
      <c r="B508" s="1">
        <v>204</v>
      </c>
      <c r="C508" s="1" t="s">
        <v>18</v>
      </c>
      <c r="D508" s="1">
        <v>1</v>
      </c>
      <c r="E508" s="1" t="s">
        <v>95</v>
      </c>
      <c r="F508" s="1">
        <v>17</v>
      </c>
      <c r="G508" s="1">
        <v>21</v>
      </c>
      <c r="H508" s="1" t="s">
        <v>83</v>
      </c>
      <c r="I508" s="1" t="s">
        <v>100</v>
      </c>
      <c r="J508" s="1" t="s">
        <v>88</v>
      </c>
      <c r="K508" s="1" t="s">
        <v>223</v>
      </c>
    </row>
    <row r="509" spans="1:11" x14ac:dyDescent="0.25">
      <c r="A509" s="1" t="s">
        <v>217</v>
      </c>
      <c r="B509" s="1">
        <v>205</v>
      </c>
      <c r="C509" s="1" t="s">
        <v>18</v>
      </c>
      <c r="D509" s="1">
        <v>2</v>
      </c>
      <c r="E509" s="1" t="s">
        <v>95</v>
      </c>
      <c r="F509" s="1">
        <v>0</v>
      </c>
      <c r="G509" s="1">
        <v>1</v>
      </c>
      <c r="H509" s="1" t="s">
        <v>83</v>
      </c>
      <c r="I509" s="1" t="s">
        <v>100</v>
      </c>
      <c r="J509" s="1" t="s">
        <v>88</v>
      </c>
      <c r="K509" s="1" t="s">
        <v>223</v>
      </c>
    </row>
    <row r="510" spans="1:11" x14ac:dyDescent="0.25">
      <c r="A510" s="1" t="s">
        <v>217</v>
      </c>
      <c r="B510" s="1">
        <v>207</v>
      </c>
      <c r="C510" s="1" t="s">
        <v>21</v>
      </c>
      <c r="D510" s="1">
        <v>1</v>
      </c>
      <c r="E510" s="1" t="s">
        <v>95</v>
      </c>
      <c r="F510" s="1">
        <v>10</v>
      </c>
      <c r="G510" s="1">
        <v>21</v>
      </c>
      <c r="H510" s="1" t="s">
        <v>83</v>
      </c>
      <c r="I510" s="1" t="s">
        <v>102</v>
      </c>
      <c r="J510" s="1" t="s">
        <v>90</v>
      </c>
      <c r="K510" s="1" t="s">
        <v>223</v>
      </c>
    </row>
    <row r="511" spans="1:11" x14ac:dyDescent="0.25">
      <c r="A511" s="1" t="s">
        <v>217</v>
      </c>
      <c r="B511" s="1">
        <v>208</v>
      </c>
      <c r="C511" s="1" t="s">
        <v>21</v>
      </c>
      <c r="D511" s="1">
        <v>2</v>
      </c>
      <c r="E511" s="1" t="s">
        <v>95</v>
      </c>
      <c r="F511" s="1">
        <v>0</v>
      </c>
      <c r="G511" s="1">
        <v>1</v>
      </c>
      <c r="H511" s="1" t="s">
        <v>83</v>
      </c>
      <c r="I511" s="1" t="s">
        <v>102</v>
      </c>
      <c r="J511" s="1" t="s">
        <v>90</v>
      </c>
      <c r="K511" s="1" t="s">
        <v>223</v>
      </c>
    </row>
    <row r="512" spans="1:11" x14ac:dyDescent="0.25">
      <c r="A512" s="1" t="s">
        <v>217</v>
      </c>
      <c r="B512" s="1">
        <v>210</v>
      </c>
      <c r="C512" s="1" t="s">
        <v>24</v>
      </c>
      <c r="D512" s="1">
        <v>1</v>
      </c>
      <c r="E512" s="1" t="s">
        <v>95</v>
      </c>
      <c r="F512" s="1">
        <v>21</v>
      </c>
      <c r="G512" s="1">
        <v>19</v>
      </c>
      <c r="H512" s="1" t="s">
        <v>83</v>
      </c>
      <c r="I512" s="1" t="s">
        <v>104</v>
      </c>
      <c r="J512" s="1" t="s">
        <v>92</v>
      </c>
      <c r="K512" s="1" t="s">
        <v>223</v>
      </c>
    </row>
    <row r="513" spans="1:11" x14ac:dyDescent="0.25">
      <c r="A513" s="1" t="s">
        <v>217</v>
      </c>
      <c r="B513" s="1">
        <v>211</v>
      </c>
      <c r="C513" s="1" t="s">
        <v>24</v>
      </c>
      <c r="D513" s="1">
        <v>2</v>
      </c>
      <c r="E513" s="1" t="s">
        <v>95</v>
      </c>
      <c r="F513" s="1">
        <v>1</v>
      </c>
      <c r="G513" s="1">
        <v>0</v>
      </c>
      <c r="H513" s="1" t="s">
        <v>83</v>
      </c>
      <c r="I513" s="1" t="s">
        <v>104</v>
      </c>
      <c r="J513" s="1" t="s">
        <v>92</v>
      </c>
      <c r="K513" s="1" t="s">
        <v>223</v>
      </c>
    </row>
    <row r="514" spans="1:11" x14ac:dyDescent="0.25">
      <c r="A514" s="1" t="s">
        <v>217</v>
      </c>
      <c r="B514" s="1">
        <v>213</v>
      </c>
      <c r="C514" s="1" t="s">
        <v>27</v>
      </c>
      <c r="D514" s="1">
        <v>1</v>
      </c>
      <c r="E514" s="1" t="s">
        <v>95</v>
      </c>
      <c r="F514" s="1">
        <v>21</v>
      </c>
      <c r="G514" s="1">
        <v>13</v>
      </c>
      <c r="H514" s="1" t="s">
        <v>83</v>
      </c>
      <c r="I514" s="1" t="s">
        <v>106</v>
      </c>
      <c r="J514" s="1" t="s">
        <v>94</v>
      </c>
      <c r="K514" s="1" t="s">
        <v>223</v>
      </c>
    </row>
    <row r="515" spans="1:11" x14ac:dyDescent="0.25">
      <c r="A515" s="1" t="s">
        <v>217</v>
      </c>
      <c r="B515" s="1">
        <v>214</v>
      </c>
      <c r="C515" s="1" t="s">
        <v>27</v>
      </c>
      <c r="D515" s="1">
        <v>2</v>
      </c>
      <c r="E515" s="1" t="s">
        <v>95</v>
      </c>
      <c r="F515" s="1">
        <v>1</v>
      </c>
      <c r="G515" s="1">
        <v>0</v>
      </c>
      <c r="H515" s="1" t="s">
        <v>83</v>
      </c>
      <c r="I515" s="1" t="s">
        <v>106</v>
      </c>
      <c r="J515" s="1" t="s">
        <v>94</v>
      </c>
      <c r="K515" s="1" t="s">
        <v>223</v>
      </c>
    </row>
    <row r="516" spans="1:11" x14ac:dyDescent="0.25">
      <c r="A516" s="1" t="s">
        <v>217</v>
      </c>
      <c r="B516" s="1">
        <v>219</v>
      </c>
      <c r="C516" s="1" t="s">
        <v>12</v>
      </c>
      <c r="D516" s="1">
        <v>1</v>
      </c>
      <c r="E516" s="1" t="s">
        <v>108</v>
      </c>
      <c r="F516" s="1">
        <v>1</v>
      </c>
      <c r="G516" s="1">
        <v>0</v>
      </c>
      <c r="H516" s="1" t="s">
        <v>122</v>
      </c>
      <c r="I516" s="1" t="s">
        <v>110</v>
      </c>
      <c r="J516" s="1" t="s">
        <v>124</v>
      </c>
      <c r="K516" s="1" t="s">
        <v>224</v>
      </c>
    </row>
    <row r="517" spans="1:11" x14ac:dyDescent="0.25">
      <c r="A517" s="1" t="s">
        <v>217</v>
      </c>
      <c r="B517" s="1">
        <v>220</v>
      </c>
      <c r="C517" s="1" t="s">
        <v>12</v>
      </c>
      <c r="D517" s="1">
        <v>2</v>
      </c>
      <c r="E517" s="1" t="s">
        <v>108</v>
      </c>
      <c r="F517" s="1">
        <v>1</v>
      </c>
      <c r="G517" s="1">
        <v>0</v>
      </c>
      <c r="H517" s="1" t="s">
        <v>122</v>
      </c>
      <c r="I517" s="1" t="s">
        <v>110</v>
      </c>
      <c r="J517" s="1" t="s">
        <v>124</v>
      </c>
      <c r="K517" s="1" t="s">
        <v>224</v>
      </c>
    </row>
    <row r="518" spans="1:11" x14ac:dyDescent="0.25">
      <c r="A518" s="1" t="s">
        <v>217</v>
      </c>
      <c r="B518" s="1">
        <v>222</v>
      </c>
      <c r="C518" s="1" t="s">
        <v>18</v>
      </c>
      <c r="D518" s="1">
        <v>1</v>
      </c>
      <c r="E518" s="1" t="s">
        <v>108</v>
      </c>
      <c r="F518" s="1">
        <v>1</v>
      </c>
      <c r="G518" s="1">
        <v>0</v>
      </c>
      <c r="H518" s="1" t="s">
        <v>122</v>
      </c>
      <c r="I518" s="1" t="s">
        <v>113</v>
      </c>
      <c r="J518" s="1" t="s">
        <v>127</v>
      </c>
      <c r="K518" s="1" t="s">
        <v>224</v>
      </c>
    </row>
    <row r="519" spans="1:11" x14ac:dyDescent="0.25">
      <c r="A519" s="1" t="s">
        <v>217</v>
      </c>
      <c r="B519" s="1">
        <v>223</v>
      </c>
      <c r="C519" s="1" t="s">
        <v>18</v>
      </c>
      <c r="D519" s="1">
        <v>2</v>
      </c>
      <c r="E519" s="1" t="s">
        <v>108</v>
      </c>
      <c r="F519" s="1">
        <v>1</v>
      </c>
      <c r="G519" s="1">
        <v>0</v>
      </c>
      <c r="H519" s="1" t="s">
        <v>122</v>
      </c>
      <c r="I519" s="1" t="s">
        <v>113</v>
      </c>
      <c r="J519" s="1" t="s">
        <v>127</v>
      </c>
      <c r="K519" s="1" t="s">
        <v>224</v>
      </c>
    </row>
    <row r="520" spans="1:11" x14ac:dyDescent="0.25">
      <c r="A520" s="1" t="s">
        <v>217</v>
      </c>
      <c r="B520" s="1">
        <v>225</v>
      </c>
      <c r="C520" s="1" t="s">
        <v>21</v>
      </c>
      <c r="D520" s="1">
        <v>1</v>
      </c>
      <c r="E520" s="1" t="s">
        <v>108</v>
      </c>
      <c r="F520" s="1">
        <v>1</v>
      </c>
      <c r="G520" s="1">
        <v>0</v>
      </c>
      <c r="H520" s="1" t="s">
        <v>122</v>
      </c>
      <c r="I520" s="1" t="s">
        <v>115</v>
      </c>
      <c r="J520" s="1" t="s">
        <v>129</v>
      </c>
      <c r="K520" s="1" t="s">
        <v>224</v>
      </c>
    </row>
    <row r="521" spans="1:11" x14ac:dyDescent="0.25">
      <c r="A521" s="1" t="s">
        <v>217</v>
      </c>
      <c r="B521" s="1">
        <v>226</v>
      </c>
      <c r="C521" s="1" t="s">
        <v>21</v>
      </c>
      <c r="D521" s="1">
        <v>2</v>
      </c>
      <c r="E521" s="1" t="s">
        <v>108</v>
      </c>
      <c r="F521" s="1">
        <v>1</v>
      </c>
      <c r="G521" s="1">
        <v>0</v>
      </c>
      <c r="H521" s="1" t="s">
        <v>122</v>
      </c>
      <c r="I521" s="1" t="s">
        <v>115</v>
      </c>
      <c r="J521" s="1" t="s">
        <v>129</v>
      </c>
      <c r="K521" s="1" t="s">
        <v>224</v>
      </c>
    </row>
    <row r="522" spans="1:11" x14ac:dyDescent="0.25">
      <c r="A522" s="1" t="s">
        <v>217</v>
      </c>
      <c r="B522" s="1">
        <v>237</v>
      </c>
      <c r="C522" s="1" t="s">
        <v>12</v>
      </c>
      <c r="D522" s="1">
        <v>1</v>
      </c>
      <c r="E522" s="1" t="s">
        <v>121</v>
      </c>
      <c r="F522" s="1">
        <v>0</v>
      </c>
      <c r="G522" s="1">
        <v>1</v>
      </c>
      <c r="H522" s="1" t="s">
        <v>109</v>
      </c>
      <c r="I522" s="1" t="s">
        <v>123</v>
      </c>
      <c r="J522" s="1" t="s">
        <v>111</v>
      </c>
      <c r="K522" s="1" t="s">
        <v>224</v>
      </c>
    </row>
    <row r="523" spans="1:11" x14ac:dyDescent="0.25">
      <c r="A523" s="1" t="s">
        <v>217</v>
      </c>
      <c r="B523" s="1">
        <v>238</v>
      </c>
      <c r="C523" s="1" t="s">
        <v>12</v>
      </c>
      <c r="D523" s="1">
        <v>2</v>
      </c>
      <c r="E523" s="1" t="s">
        <v>121</v>
      </c>
      <c r="F523" s="1">
        <v>0</v>
      </c>
      <c r="G523" s="1">
        <v>1</v>
      </c>
      <c r="H523" s="1" t="s">
        <v>109</v>
      </c>
      <c r="I523" s="1" t="s">
        <v>123</v>
      </c>
      <c r="J523" s="1" t="s">
        <v>111</v>
      </c>
      <c r="K523" s="1" t="s">
        <v>224</v>
      </c>
    </row>
    <row r="524" spans="1:11" x14ac:dyDescent="0.25">
      <c r="A524" s="1" t="s">
        <v>217</v>
      </c>
      <c r="B524" s="1">
        <v>240</v>
      </c>
      <c r="C524" s="1" t="s">
        <v>18</v>
      </c>
      <c r="D524" s="1">
        <v>1</v>
      </c>
      <c r="E524" s="1" t="s">
        <v>121</v>
      </c>
      <c r="F524" s="1">
        <v>0</v>
      </c>
      <c r="G524" s="1">
        <v>1</v>
      </c>
      <c r="H524" s="1" t="s">
        <v>109</v>
      </c>
      <c r="I524" s="1" t="s">
        <v>126</v>
      </c>
      <c r="J524" s="1" t="s">
        <v>114</v>
      </c>
      <c r="K524" s="1" t="s">
        <v>224</v>
      </c>
    </row>
    <row r="525" spans="1:11" x14ac:dyDescent="0.25">
      <c r="A525" s="1" t="s">
        <v>217</v>
      </c>
      <c r="B525" s="1">
        <v>241</v>
      </c>
      <c r="C525" s="1" t="s">
        <v>18</v>
      </c>
      <c r="D525" s="1">
        <v>2</v>
      </c>
      <c r="E525" s="1" t="s">
        <v>121</v>
      </c>
      <c r="F525" s="1">
        <v>0</v>
      </c>
      <c r="G525" s="1">
        <v>1</v>
      </c>
      <c r="H525" s="1" t="s">
        <v>109</v>
      </c>
      <c r="I525" s="1" t="s">
        <v>126</v>
      </c>
      <c r="J525" s="1" t="s">
        <v>114</v>
      </c>
      <c r="K525" s="1" t="s">
        <v>224</v>
      </c>
    </row>
    <row r="526" spans="1:11" x14ac:dyDescent="0.25">
      <c r="A526" s="1" t="s">
        <v>217</v>
      </c>
      <c r="B526" s="1">
        <v>243</v>
      </c>
      <c r="C526" s="1" t="s">
        <v>21</v>
      </c>
      <c r="D526" s="1">
        <v>1</v>
      </c>
      <c r="E526" s="1" t="s">
        <v>121</v>
      </c>
      <c r="F526" s="1">
        <v>0</v>
      </c>
      <c r="G526" s="1">
        <v>1</v>
      </c>
      <c r="H526" s="1" t="s">
        <v>109</v>
      </c>
      <c r="I526" s="1" t="s">
        <v>128</v>
      </c>
      <c r="J526" s="1" t="s">
        <v>116</v>
      </c>
      <c r="K526" s="1" t="s">
        <v>224</v>
      </c>
    </row>
    <row r="527" spans="1:11" x14ac:dyDescent="0.25">
      <c r="A527" s="1" t="s">
        <v>217</v>
      </c>
      <c r="B527" s="1">
        <v>244</v>
      </c>
      <c r="C527" s="1" t="s">
        <v>21</v>
      </c>
      <c r="D527" s="1">
        <v>2</v>
      </c>
      <c r="E527" s="1" t="s">
        <v>121</v>
      </c>
      <c r="F527" s="1">
        <v>0</v>
      </c>
      <c r="G527" s="1">
        <v>1</v>
      </c>
      <c r="H527" s="1" t="s">
        <v>109</v>
      </c>
      <c r="I527" s="1" t="s">
        <v>128</v>
      </c>
      <c r="J527" s="1" t="s">
        <v>116</v>
      </c>
      <c r="K527" s="1" t="s">
        <v>224</v>
      </c>
    </row>
    <row r="528" spans="1:11" x14ac:dyDescent="0.25">
      <c r="A528" s="1" t="s">
        <v>217</v>
      </c>
      <c r="B528" s="1">
        <v>246</v>
      </c>
      <c r="C528" s="1" t="s">
        <v>24</v>
      </c>
      <c r="D528" s="1">
        <v>1</v>
      </c>
      <c r="E528" s="1" t="s">
        <v>121</v>
      </c>
      <c r="F528" s="1">
        <v>0</v>
      </c>
      <c r="G528" s="1">
        <v>1</v>
      </c>
      <c r="H528" s="1" t="s">
        <v>109</v>
      </c>
      <c r="I528" s="1" t="s">
        <v>130</v>
      </c>
      <c r="J528" s="1" t="s">
        <v>118</v>
      </c>
      <c r="K528" s="1" t="s">
        <v>224</v>
      </c>
    </row>
    <row r="529" spans="1:11" x14ac:dyDescent="0.25">
      <c r="A529" s="1" t="s">
        <v>217</v>
      </c>
      <c r="B529" s="1">
        <v>247</v>
      </c>
      <c r="C529" s="1" t="s">
        <v>24</v>
      </c>
      <c r="D529" s="1">
        <v>2</v>
      </c>
      <c r="E529" s="1" t="s">
        <v>121</v>
      </c>
      <c r="F529" s="1">
        <v>0</v>
      </c>
      <c r="G529" s="1">
        <v>1</v>
      </c>
      <c r="H529" s="1" t="s">
        <v>109</v>
      </c>
      <c r="I529" s="1" t="s">
        <v>130</v>
      </c>
      <c r="J529" s="1" t="s">
        <v>118</v>
      </c>
      <c r="K529" s="1" t="s">
        <v>224</v>
      </c>
    </row>
    <row r="530" spans="1:11" x14ac:dyDescent="0.25">
      <c r="A530" s="1" t="s">
        <v>217</v>
      </c>
      <c r="B530" s="1">
        <v>249</v>
      </c>
      <c r="C530" s="1" t="s">
        <v>27</v>
      </c>
      <c r="D530" s="1">
        <v>1</v>
      </c>
      <c r="E530" s="1" t="s">
        <v>121</v>
      </c>
      <c r="F530" s="1">
        <v>1</v>
      </c>
      <c r="G530" s="1">
        <v>0</v>
      </c>
      <c r="H530" s="1" t="s">
        <v>109</v>
      </c>
      <c r="I530" s="1" t="s">
        <v>132</v>
      </c>
      <c r="J530" s="1" t="s">
        <v>120</v>
      </c>
      <c r="K530" s="1" t="s">
        <v>224</v>
      </c>
    </row>
    <row r="531" spans="1:11" x14ac:dyDescent="0.25">
      <c r="A531" s="1" t="s">
        <v>217</v>
      </c>
      <c r="B531" s="1">
        <v>250</v>
      </c>
      <c r="C531" s="1" t="s">
        <v>27</v>
      </c>
      <c r="D531" s="1">
        <v>2</v>
      </c>
      <c r="E531" s="1" t="s">
        <v>121</v>
      </c>
      <c r="F531" s="1">
        <v>1</v>
      </c>
      <c r="G531" s="1">
        <v>0</v>
      </c>
      <c r="H531" s="1" t="s">
        <v>109</v>
      </c>
      <c r="I531" s="1" t="s">
        <v>132</v>
      </c>
      <c r="J531" s="1" t="s">
        <v>120</v>
      </c>
      <c r="K531" s="1" t="s">
        <v>224</v>
      </c>
    </row>
    <row r="532" spans="1:11" x14ac:dyDescent="0.25">
      <c r="A532" s="1" t="s">
        <v>217</v>
      </c>
      <c r="B532" s="1">
        <v>39</v>
      </c>
      <c r="C532" s="1" t="s">
        <v>12</v>
      </c>
      <c r="D532" s="1">
        <v>1</v>
      </c>
      <c r="E532" s="1" t="s">
        <v>155</v>
      </c>
      <c r="F532" s="1">
        <v>22</v>
      </c>
      <c r="G532" s="1">
        <v>20</v>
      </c>
      <c r="H532" s="1" t="s">
        <v>169</v>
      </c>
      <c r="I532" s="1" t="s">
        <v>157</v>
      </c>
      <c r="J532" s="1" t="s">
        <v>171</v>
      </c>
      <c r="K532" s="1" t="s">
        <v>227</v>
      </c>
    </row>
    <row r="533" spans="1:11" x14ac:dyDescent="0.25">
      <c r="A533" s="1" t="s">
        <v>217</v>
      </c>
      <c r="B533" s="1">
        <v>40</v>
      </c>
      <c r="C533" s="1" t="s">
        <v>12</v>
      </c>
      <c r="D533" s="1">
        <v>2</v>
      </c>
      <c r="E533" s="1" t="s">
        <v>155</v>
      </c>
      <c r="F533" s="1">
        <v>1</v>
      </c>
      <c r="G533" s="1">
        <v>0</v>
      </c>
      <c r="H533" s="1" t="s">
        <v>169</v>
      </c>
      <c r="I533" s="1" t="s">
        <v>157</v>
      </c>
      <c r="J533" s="1" t="s">
        <v>171</v>
      </c>
      <c r="K533" s="1" t="s">
        <v>227</v>
      </c>
    </row>
    <row r="534" spans="1:11" x14ac:dyDescent="0.25">
      <c r="A534" s="1" t="s">
        <v>217</v>
      </c>
      <c r="B534" s="1">
        <v>42</v>
      </c>
      <c r="C534" s="1" t="s">
        <v>18</v>
      </c>
      <c r="D534" s="1">
        <v>1</v>
      </c>
      <c r="E534" s="1" t="s">
        <v>155</v>
      </c>
      <c r="F534" s="1">
        <v>21</v>
      </c>
      <c r="G534" s="1">
        <v>19</v>
      </c>
      <c r="H534" s="1" t="s">
        <v>169</v>
      </c>
      <c r="I534" s="1" t="s">
        <v>160</v>
      </c>
      <c r="J534" s="1" t="s">
        <v>174</v>
      </c>
      <c r="K534" s="1" t="s">
        <v>227</v>
      </c>
    </row>
    <row r="535" spans="1:11" x14ac:dyDescent="0.25">
      <c r="A535" s="1" t="s">
        <v>217</v>
      </c>
      <c r="B535" s="1">
        <v>43</v>
      </c>
      <c r="C535" s="1" t="s">
        <v>18</v>
      </c>
      <c r="D535" s="1">
        <v>2</v>
      </c>
      <c r="E535" s="1" t="s">
        <v>155</v>
      </c>
      <c r="F535" s="1">
        <v>1</v>
      </c>
      <c r="G535" s="1">
        <v>0</v>
      </c>
      <c r="H535" s="1" t="s">
        <v>169</v>
      </c>
      <c r="I535" s="1" t="s">
        <v>160</v>
      </c>
      <c r="J535" s="1" t="s">
        <v>174</v>
      </c>
      <c r="K535" s="1" t="s">
        <v>227</v>
      </c>
    </row>
    <row r="536" spans="1:11" x14ac:dyDescent="0.25">
      <c r="A536" s="1" t="s">
        <v>217</v>
      </c>
      <c r="B536" s="1">
        <v>45</v>
      </c>
      <c r="C536" s="1" t="s">
        <v>21</v>
      </c>
      <c r="D536" s="1">
        <v>1</v>
      </c>
      <c r="E536" s="1" t="s">
        <v>155</v>
      </c>
      <c r="F536" s="1">
        <v>21</v>
      </c>
      <c r="G536" s="1">
        <v>17</v>
      </c>
      <c r="H536" s="1" t="s">
        <v>169</v>
      </c>
      <c r="I536" s="1" t="s">
        <v>162</v>
      </c>
      <c r="J536" s="1" t="s">
        <v>176</v>
      </c>
      <c r="K536" s="1" t="s">
        <v>227</v>
      </c>
    </row>
    <row r="537" spans="1:11" x14ac:dyDescent="0.25">
      <c r="A537" s="1" t="s">
        <v>217</v>
      </c>
      <c r="B537" s="1">
        <v>46</v>
      </c>
      <c r="C537" s="1" t="s">
        <v>21</v>
      </c>
      <c r="D537" s="1">
        <v>2</v>
      </c>
      <c r="E537" s="1" t="s">
        <v>155</v>
      </c>
      <c r="F537" s="1">
        <v>1</v>
      </c>
      <c r="G537" s="1">
        <v>0</v>
      </c>
      <c r="H537" s="1" t="s">
        <v>169</v>
      </c>
      <c r="I537" s="1" t="s">
        <v>162</v>
      </c>
      <c r="J537" s="1" t="s">
        <v>176</v>
      </c>
      <c r="K537" s="1" t="s">
        <v>227</v>
      </c>
    </row>
    <row r="538" spans="1:11" x14ac:dyDescent="0.25">
      <c r="A538" s="1" t="s">
        <v>217</v>
      </c>
      <c r="B538" s="1">
        <v>48</v>
      </c>
      <c r="C538" s="1" t="s">
        <v>24</v>
      </c>
      <c r="D538" s="1">
        <v>1</v>
      </c>
      <c r="E538" s="1" t="s">
        <v>155</v>
      </c>
      <c r="F538" s="1">
        <v>21</v>
      </c>
      <c r="G538" s="1">
        <v>17</v>
      </c>
      <c r="H538" s="1" t="s">
        <v>169</v>
      </c>
      <c r="I538" s="1" t="s">
        <v>164</v>
      </c>
      <c r="J538" s="1" t="s">
        <v>178</v>
      </c>
      <c r="K538" s="1" t="s">
        <v>227</v>
      </c>
    </row>
    <row r="539" spans="1:11" x14ac:dyDescent="0.25">
      <c r="A539" s="1" t="s">
        <v>217</v>
      </c>
      <c r="B539" s="1">
        <v>49</v>
      </c>
      <c r="C539" s="1" t="s">
        <v>24</v>
      </c>
      <c r="D539" s="1">
        <v>2</v>
      </c>
      <c r="E539" s="1" t="s">
        <v>155</v>
      </c>
      <c r="F539" s="1">
        <v>1</v>
      </c>
      <c r="G539" s="1">
        <v>0</v>
      </c>
      <c r="H539" s="1" t="s">
        <v>169</v>
      </c>
      <c r="I539" s="1" t="s">
        <v>164</v>
      </c>
      <c r="J539" s="1" t="s">
        <v>178</v>
      </c>
      <c r="K539" s="1" t="s">
        <v>227</v>
      </c>
    </row>
    <row r="540" spans="1:11" x14ac:dyDescent="0.25">
      <c r="A540" s="1" t="s">
        <v>217</v>
      </c>
      <c r="B540" s="1">
        <v>51</v>
      </c>
      <c r="C540" s="1" t="s">
        <v>27</v>
      </c>
      <c r="D540" s="1">
        <v>1</v>
      </c>
      <c r="E540" s="1" t="s">
        <v>155</v>
      </c>
      <c r="F540" s="1">
        <v>21</v>
      </c>
      <c r="G540" s="1">
        <v>17</v>
      </c>
      <c r="H540" s="1" t="s">
        <v>169</v>
      </c>
      <c r="I540" s="1" t="s">
        <v>166</v>
      </c>
      <c r="J540" s="1" t="s">
        <v>180</v>
      </c>
      <c r="K540" s="1" t="s">
        <v>227</v>
      </c>
    </row>
    <row r="541" spans="1:11" x14ac:dyDescent="0.25">
      <c r="A541" s="1" t="s">
        <v>217</v>
      </c>
      <c r="B541" s="1">
        <v>52</v>
      </c>
      <c r="C541" s="1" t="s">
        <v>27</v>
      </c>
      <c r="D541" s="1">
        <v>2</v>
      </c>
      <c r="E541" s="1" t="s">
        <v>155</v>
      </c>
      <c r="F541" s="1">
        <v>1</v>
      </c>
      <c r="G541" s="1">
        <v>0</v>
      </c>
      <c r="H541" s="1" t="s">
        <v>169</v>
      </c>
      <c r="I541" s="1" t="s">
        <v>166</v>
      </c>
      <c r="J541" s="1" t="s">
        <v>180</v>
      </c>
      <c r="K541" s="1" t="s">
        <v>227</v>
      </c>
    </row>
    <row r="542" spans="1:11" x14ac:dyDescent="0.25">
      <c r="A542" s="1" t="s">
        <v>217</v>
      </c>
      <c r="B542" s="1">
        <v>57</v>
      </c>
      <c r="C542" s="1" t="s">
        <v>12</v>
      </c>
      <c r="D542" s="1">
        <v>1</v>
      </c>
      <c r="E542" s="1" t="s">
        <v>156</v>
      </c>
      <c r="F542" s="1">
        <v>1</v>
      </c>
      <c r="G542" s="1">
        <v>0</v>
      </c>
      <c r="H542" s="1" t="s">
        <v>168</v>
      </c>
      <c r="I542" s="1" t="s">
        <v>158</v>
      </c>
      <c r="J542" s="1" t="s">
        <v>170</v>
      </c>
      <c r="K542" s="1" t="s">
        <v>227</v>
      </c>
    </row>
    <row r="543" spans="1:11" x14ac:dyDescent="0.25">
      <c r="A543" s="1" t="s">
        <v>217</v>
      </c>
      <c r="B543" s="1">
        <v>58</v>
      </c>
      <c r="C543" s="1" t="s">
        <v>12</v>
      </c>
      <c r="D543" s="1">
        <v>2</v>
      </c>
      <c r="E543" s="1" t="s">
        <v>156</v>
      </c>
      <c r="F543" s="1">
        <v>1</v>
      </c>
      <c r="G543" s="1">
        <v>0</v>
      </c>
      <c r="H543" s="1" t="s">
        <v>168</v>
      </c>
      <c r="I543" s="1" t="s">
        <v>158</v>
      </c>
      <c r="J543" s="1" t="s">
        <v>170</v>
      </c>
      <c r="K543" s="1" t="s">
        <v>227</v>
      </c>
    </row>
    <row r="544" spans="1:11" x14ac:dyDescent="0.25">
      <c r="A544" s="1" t="s">
        <v>217</v>
      </c>
      <c r="B544" s="1">
        <v>60</v>
      </c>
      <c r="C544" s="1" t="s">
        <v>18</v>
      </c>
      <c r="D544" s="1">
        <v>1</v>
      </c>
      <c r="E544" s="1" t="s">
        <v>156</v>
      </c>
      <c r="F544" s="1">
        <v>1</v>
      </c>
      <c r="G544" s="1">
        <v>0</v>
      </c>
      <c r="H544" s="1" t="s">
        <v>168</v>
      </c>
      <c r="I544" s="1" t="s">
        <v>161</v>
      </c>
      <c r="J544" s="1" t="s">
        <v>173</v>
      </c>
      <c r="K544" s="1" t="s">
        <v>227</v>
      </c>
    </row>
    <row r="545" spans="1:11" x14ac:dyDescent="0.25">
      <c r="A545" s="1" t="s">
        <v>217</v>
      </c>
      <c r="B545" s="1">
        <v>61</v>
      </c>
      <c r="C545" s="1" t="s">
        <v>18</v>
      </c>
      <c r="D545" s="1">
        <v>2</v>
      </c>
      <c r="E545" s="1" t="s">
        <v>156</v>
      </c>
      <c r="F545" s="1">
        <v>1</v>
      </c>
      <c r="G545" s="1">
        <v>0</v>
      </c>
      <c r="H545" s="1" t="s">
        <v>168</v>
      </c>
      <c r="I545" s="1" t="s">
        <v>161</v>
      </c>
      <c r="J545" s="1" t="s">
        <v>173</v>
      </c>
      <c r="K545" s="1" t="s">
        <v>227</v>
      </c>
    </row>
    <row r="546" spans="1:11" x14ac:dyDescent="0.25">
      <c r="A546" s="1" t="s">
        <v>217</v>
      </c>
      <c r="B546" s="1">
        <v>63</v>
      </c>
      <c r="C546" s="1" t="s">
        <v>21</v>
      </c>
      <c r="D546" s="1">
        <v>1</v>
      </c>
      <c r="E546" s="1" t="s">
        <v>156</v>
      </c>
      <c r="F546" s="1">
        <v>1</v>
      </c>
      <c r="G546" s="1">
        <v>0</v>
      </c>
      <c r="H546" s="1" t="s">
        <v>168</v>
      </c>
      <c r="I546" s="1" t="s">
        <v>163</v>
      </c>
      <c r="J546" s="1" t="s">
        <v>175</v>
      </c>
      <c r="K546" s="1" t="s">
        <v>227</v>
      </c>
    </row>
    <row r="547" spans="1:11" x14ac:dyDescent="0.25">
      <c r="A547" s="1" t="s">
        <v>217</v>
      </c>
      <c r="B547" s="1">
        <v>64</v>
      </c>
      <c r="C547" s="1" t="s">
        <v>21</v>
      </c>
      <c r="D547" s="1">
        <v>2</v>
      </c>
      <c r="E547" s="1" t="s">
        <v>156</v>
      </c>
      <c r="F547" s="1">
        <v>1</v>
      </c>
      <c r="G547" s="1">
        <v>0</v>
      </c>
      <c r="H547" s="1" t="s">
        <v>168</v>
      </c>
      <c r="I547" s="1" t="s">
        <v>163</v>
      </c>
      <c r="J547" s="1" t="s">
        <v>175</v>
      </c>
      <c r="K547" s="1" t="s">
        <v>227</v>
      </c>
    </row>
    <row r="548" spans="1:11" x14ac:dyDescent="0.25">
      <c r="A548" s="1" t="s">
        <v>217</v>
      </c>
      <c r="B548" s="1">
        <v>66</v>
      </c>
      <c r="C548" s="1" t="s">
        <v>24</v>
      </c>
      <c r="D548" s="1">
        <v>1</v>
      </c>
      <c r="E548" s="1" t="s">
        <v>156</v>
      </c>
      <c r="F548" s="1">
        <v>0</v>
      </c>
      <c r="G548" s="1">
        <v>1</v>
      </c>
      <c r="H548" s="1" t="s">
        <v>168</v>
      </c>
      <c r="I548" s="1" t="s">
        <v>165</v>
      </c>
      <c r="J548" s="1" t="s">
        <v>177</v>
      </c>
      <c r="K548" s="1" t="s">
        <v>227</v>
      </c>
    </row>
    <row r="549" spans="1:11" x14ac:dyDescent="0.25">
      <c r="A549" s="1" t="s">
        <v>217</v>
      </c>
      <c r="B549" s="1">
        <v>67</v>
      </c>
      <c r="C549" s="1" t="s">
        <v>24</v>
      </c>
      <c r="D549" s="1">
        <v>2</v>
      </c>
      <c r="E549" s="1" t="s">
        <v>156</v>
      </c>
      <c r="F549" s="1">
        <v>0</v>
      </c>
      <c r="G549" s="1">
        <v>1</v>
      </c>
      <c r="H549" s="1" t="s">
        <v>168</v>
      </c>
      <c r="I549" s="1" t="s">
        <v>165</v>
      </c>
      <c r="J549" s="1" t="s">
        <v>177</v>
      </c>
      <c r="K549" s="1" t="s">
        <v>227</v>
      </c>
    </row>
    <row r="550" spans="1:11" x14ac:dyDescent="0.25">
      <c r="A550" s="1" t="s">
        <v>217</v>
      </c>
      <c r="B550" s="1">
        <v>69</v>
      </c>
      <c r="C550" s="1" t="s">
        <v>27</v>
      </c>
      <c r="D550" s="1">
        <v>1</v>
      </c>
      <c r="E550" s="1" t="s">
        <v>156</v>
      </c>
      <c r="F550" s="1">
        <v>0</v>
      </c>
      <c r="G550" s="1">
        <v>1</v>
      </c>
      <c r="H550" s="1" t="s">
        <v>168</v>
      </c>
      <c r="I550" s="1" t="s">
        <v>167</v>
      </c>
      <c r="J550" s="1" t="s">
        <v>179</v>
      </c>
      <c r="K550" s="1" t="s">
        <v>227</v>
      </c>
    </row>
    <row r="551" spans="1:11" x14ac:dyDescent="0.25">
      <c r="A551" s="1" t="s">
        <v>217</v>
      </c>
      <c r="B551" s="1">
        <v>70</v>
      </c>
      <c r="C551" s="1" t="s">
        <v>27</v>
      </c>
      <c r="D551" s="1">
        <v>2</v>
      </c>
      <c r="E551" s="1" t="s">
        <v>156</v>
      </c>
      <c r="F551" s="1">
        <v>0</v>
      </c>
      <c r="G551" s="1">
        <v>1</v>
      </c>
      <c r="H551" s="1" t="s">
        <v>168</v>
      </c>
      <c r="I551" s="1" t="s">
        <v>167</v>
      </c>
      <c r="J551" s="1" t="s">
        <v>179</v>
      </c>
      <c r="K551" s="1" t="s">
        <v>227</v>
      </c>
    </row>
    <row r="552" spans="1:11" x14ac:dyDescent="0.25">
      <c r="A552" s="1" t="s">
        <v>217</v>
      </c>
      <c r="B552" s="1">
        <v>75</v>
      </c>
      <c r="C552" s="1" t="s">
        <v>12</v>
      </c>
      <c r="D552" s="1">
        <v>1</v>
      </c>
      <c r="E552" s="1" t="s">
        <v>14</v>
      </c>
      <c r="F552" s="1">
        <v>14</v>
      </c>
      <c r="G552" s="1">
        <v>21</v>
      </c>
      <c r="H552" s="1" t="s">
        <v>181</v>
      </c>
      <c r="I552" s="1" t="s">
        <v>16</v>
      </c>
      <c r="J552" s="1" t="s">
        <v>183</v>
      </c>
      <c r="K552" s="1" t="s">
        <v>228</v>
      </c>
    </row>
    <row r="553" spans="1:11" x14ac:dyDescent="0.25">
      <c r="A553" s="1" t="s">
        <v>217</v>
      </c>
      <c r="B553" s="1">
        <v>76</v>
      </c>
      <c r="C553" s="1" t="s">
        <v>12</v>
      </c>
      <c r="D553" s="1">
        <v>2</v>
      </c>
      <c r="E553" s="1" t="s">
        <v>14</v>
      </c>
      <c r="F553" s="1">
        <v>0</v>
      </c>
      <c r="G553" s="1">
        <v>1</v>
      </c>
      <c r="H553" s="1" t="s">
        <v>181</v>
      </c>
      <c r="I553" s="1" t="s">
        <v>16</v>
      </c>
      <c r="J553" s="1" t="s">
        <v>183</v>
      </c>
      <c r="K553" s="1" t="s">
        <v>228</v>
      </c>
    </row>
    <row r="554" spans="1:11" x14ac:dyDescent="0.25">
      <c r="A554" s="1" t="s">
        <v>217</v>
      </c>
      <c r="B554" s="1">
        <v>78</v>
      </c>
      <c r="C554" s="1" t="s">
        <v>18</v>
      </c>
      <c r="D554" s="1">
        <v>1</v>
      </c>
      <c r="E554" s="1" t="s">
        <v>14</v>
      </c>
      <c r="F554" s="1">
        <v>18</v>
      </c>
      <c r="G554" s="1">
        <v>21</v>
      </c>
      <c r="H554" s="1" t="s">
        <v>181</v>
      </c>
      <c r="I554" s="1" t="s">
        <v>20</v>
      </c>
      <c r="J554" s="1" t="s">
        <v>186</v>
      </c>
      <c r="K554" s="1" t="s">
        <v>228</v>
      </c>
    </row>
    <row r="555" spans="1:11" x14ac:dyDescent="0.25">
      <c r="A555" s="1" t="s">
        <v>217</v>
      </c>
      <c r="B555" s="1">
        <v>79</v>
      </c>
      <c r="C555" s="1" t="s">
        <v>18</v>
      </c>
      <c r="D555" s="1">
        <v>2</v>
      </c>
      <c r="E555" s="1" t="s">
        <v>14</v>
      </c>
      <c r="F555" s="1">
        <v>0</v>
      </c>
      <c r="G555" s="1">
        <v>1</v>
      </c>
      <c r="H555" s="1" t="s">
        <v>181</v>
      </c>
      <c r="I555" s="1" t="s">
        <v>20</v>
      </c>
      <c r="J555" s="1" t="s">
        <v>186</v>
      </c>
      <c r="K555" s="1" t="s">
        <v>228</v>
      </c>
    </row>
    <row r="556" spans="1:11" x14ac:dyDescent="0.25">
      <c r="A556" s="1" t="s">
        <v>217</v>
      </c>
      <c r="B556" s="1">
        <v>81</v>
      </c>
      <c r="C556" s="1" t="s">
        <v>21</v>
      </c>
      <c r="D556" s="1">
        <v>1</v>
      </c>
      <c r="E556" s="1" t="s">
        <v>14</v>
      </c>
      <c r="F556" s="1">
        <v>19</v>
      </c>
      <c r="G556" s="1">
        <v>21</v>
      </c>
      <c r="H556" s="1" t="s">
        <v>181</v>
      </c>
      <c r="I556" s="1" t="s">
        <v>23</v>
      </c>
      <c r="J556" s="1" t="s">
        <v>188</v>
      </c>
      <c r="K556" s="1" t="s">
        <v>228</v>
      </c>
    </row>
    <row r="557" spans="1:11" x14ac:dyDescent="0.25">
      <c r="A557" s="1" t="s">
        <v>217</v>
      </c>
      <c r="B557" s="1">
        <v>82</v>
      </c>
      <c r="C557" s="1" t="s">
        <v>21</v>
      </c>
      <c r="D557" s="1">
        <v>2</v>
      </c>
      <c r="E557" s="1" t="s">
        <v>14</v>
      </c>
      <c r="F557" s="1">
        <v>0</v>
      </c>
      <c r="G557" s="1">
        <v>1</v>
      </c>
      <c r="H557" s="1" t="s">
        <v>181</v>
      </c>
      <c r="I557" s="1" t="s">
        <v>23</v>
      </c>
      <c r="J557" s="1" t="s">
        <v>188</v>
      </c>
      <c r="K557" s="1" t="s">
        <v>228</v>
      </c>
    </row>
    <row r="558" spans="1:11" x14ac:dyDescent="0.25">
      <c r="A558" s="1" t="s">
        <v>217</v>
      </c>
      <c r="B558" s="1">
        <v>84</v>
      </c>
      <c r="C558" s="1" t="s">
        <v>24</v>
      </c>
      <c r="D558" s="1">
        <v>1</v>
      </c>
      <c r="E558" s="1" t="s">
        <v>14</v>
      </c>
      <c r="F558" s="1">
        <v>19</v>
      </c>
      <c r="G558" s="1">
        <v>21</v>
      </c>
      <c r="H558" s="1" t="s">
        <v>181</v>
      </c>
      <c r="I558" s="1" t="s">
        <v>26</v>
      </c>
      <c r="J558" s="1" t="s">
        <v>190</v>
      </c>
      <c r="K558" s="1" t="s">
        <v>228</v>
      </c>
    </row>
    <row r="559" spans="1:11" x14ac:dyDescent="0.25">
      <c r="A559" s="1" t="s">
        <v>217</v>
      </c>
      <c r="B559" s="1">
        <v>85</v>
      </c>
      <c r="C559" s="1" t="s">
        <v>24</v>
      </c>
      <c r="D559" s="1">
        <v>2</v>
      </c>
      <c r="E559" s="1" t="s">
        <v>14</v>
      </c>
      <c r="F559" s="1">
        <v>0</v>
      </c>
      <c r="G559" s="1">
        <v>1</v>
      </c>
      <c r="H559" s="1" t="s">
        <v>181</v>
      </c>
      <c r="I559" s="1" t="s">
        <v>26</v>
      </c>
      <c r="J559" s="1" t="s">
        <v>190</v>
      </c>
      <c r="K559" s="1" t="s">
        <v>228</v>
      </c>
    </row>
    <row r="560" spans="1:11" x14ac:dyDescent="0.25">
      <c r="A560" s="1" t="s">
        <v>217</v>
      </c>
      <c r="B560" s="1">
        <v>87</v>
      </c>
      <c r="C560" s="1" t="s">
        <v>27</v>
      </c>
      <c r="D560" s="1">
        <v>1</v>
      </c>
      <c r="E560" s="1" t="s">
        <v>14</v>
      </c>
      <c r="F560" s="1">
        <v>19</v>
      </c>
      <c r="G560" s="1">
        <v>21</v>
      </c>
      <c r="H560" s="1" t="s">
        <v>181</v>
      </c>
      <c r="I560" s="1" t="s">
        <v>29</v>
      </c>
      <c r="J560" s="1" t="s">
        <v>192</v>
      </c>
      <c r="K560" s="1" t="s">
        <v>228</v>
      </c>
    </row>
    <row r="561" spans="1:11" x14ac:dyDescent="0.25">
      <c r="A561" s="1" t="s">
        <v>217</v>
      </c>
      <c r="B561" s="1">
        <v>88</v>
      </c>
      <c r="C561" s="1" t="s">
        <v>27</v>
      </c>
      <c r="D561" s="1">
        <v>2</v>
      </c>
      <c r="E561" s="1" t="s">
        <v>14</v>
      </c>
      <c r="F561" s="1">
        <v>0</v>
      </c>
      <c r="G561" s="1">
        <v>1</v>
      </c>
      <c r="H561" s="1" t="s">
        <v>181</v>
      </c>
      <c r="I561" s="1" t="s">
        <v>29</v>
      </c>
      <c r="J561" s="1" t="s">
        <v>192</v>
      </c>
      <c r="K561" s="1" t="s">
        <v>228</v>
      </c>
    </row>
    <row r="562" spans="1:11" x14ac:dyDescent="0.25">
      <c r="A562" s="1" t="s">
        <v>217</v>
      </c>
      <c r="B562" s="1">
        <v>93</v>
      </c>
      <c r="C562" s="1" t="s">
        <v>12</v>
      </c>
      <c r="D562" s="1">
        <v>1</v>
      </c>
      <c r="E562" s="1" t="s">
        <v>182</v>
      </c>
      <c r="F562" s="1">
        <v>23</v>
      </c>
      <c r="G562" s="1">
        <v>21</v>
      </c>
      <c r="H562" s="1" t="s">
        <v>13</v>
      </c>
      <c r="I562" s="1" t="s">
        <v>184</v>
      </c>
      <c r="J562" s="1" t="s">
        <v>15</v>
      </c>
      <c r="K562" s="1" t="s">
        <v>228</v>
      </c>
    </row>
    <row r="563" spans="1:11" x14ac:dyDescent="0.25">
      <c r="A563" s="1" t="s">
        <v>217</v>
      </c>
      <c r="B563" s="1">
        <v>94</v>
      </c>
      <c r="C563" s="1" t="s">
        <v>12</v>
      </c>
      <c r="D563" s="1">
        <v>2</v>
      </c>
      <c r="E563" s="1" t="s">
        <v>182</v>
      </c>
      <c r="F563" s="1">
        <v>1</v>
      </c>
      <c r="G563" s="1">
        <v>0</v>
      </c>
      <c r="H563" s="1" t="s">
        <v>13</v>
      </c>
      <c r="I563" s="1" t="s">
        <v>184</v>
      </c>
      <c r="J563" s="1" t="s">
        <v>15</v>
      </c>
      <c r="K563" s="1" t="s">
        <v>228</v>
      </c>
    </row>
    <row r="564" spans="1:11" x14ac:dyDescent="0.25">
      <c r="A564" s="1" t="s">
        <v>217</v>
      </c>
      <c r="B564" s="1">
        <v>96</v>
      </c>
      <c r="C564" s="1" t="s">
        <v>18</v>
      </c>
      <c r="D564" s="1">
        <v>1</v>
      </c>
      <c r="E564" s="1" t="s">
        <v>182</v>
      </c>
      <c r="F564" s="1">
        <v>15</v>
      </c>
      <c r="G564" s="1">
        <v>21</v>
      </c>
      <c r="H564" s="1" t="s">
        <v>13</v>
      </c>
      <c r="I564" s="1" t="s">
        <v>187</v>
      </c>
      <c r="J564" s="1" t="s">
        <v>19</v>
      </c>
      <c r="K564" s="1" t="s">
        <v>228</v>
      </c>
    </row>
    <row r="565" spans="1:11" x14ac:dyDescent="0.25">
      <c r="A565" s="1" t="s">
        <v>217</v>
      </c>
      <c r="B565" s="1">
        <v>97</v>
      </c>
      <c r="C565" s="1" t="s">
        <v>18</v>
      </c>
      <c r="D565" s="1">
        <v>2</v>
      </c>
      <c r="E565" s="1" t="s">
        <v>182</v>
      </c>
      <c r="F565" s="1">
        <v>0</v>
      </c>
      <c r="G565" s="1">
        <v>1</v>
      </c>
      <c r="H565" s="1" t="s">
        <v>13</v>
      </c>
      <c r="I565" s="1" t="s">
        <v>187</v>
      </c>
      <c r="J565" s="1" t="s">
        <v>19</v>
      </c>
      <c r="K565" s="1" t="s">
        <v>228</v>
      </c>
    </row>
    <row r="566" spans="1:11" x14ac:dyDescent="0.25">
      <c r="A566" s="1" t="s">
        <v>217</v>
      </c>
      <c r="B566" s="1">
        <v>99</v>
      </c>
      <c r="C566" s="1" t="s">
        <v>21</v>
      </c>
      <c r="D566" s="1">
        <v>1</v>
      </c>
      <c r="E566" s="1" t="s">
        <v>182</v>
      </c>
      <c r="F566" s="1">
        <v>14</v>
      </c>
      <c r="G566" s="1">
        <v>21</v>
      </c>
      <c r="H566" s="1" t="s">
        <v>13</v>
      </c>
      <c r="I566" s="1" t="s">
        <v>189</v>
      </c>
      <c r="J566" s="1" t="s">
        <v>22</v>
      </c>
      <c r="K566" s="1" t="s">
        <v>228</v>
      </c>
    </row>
    <row r="567" spans="1:11" x14ac:dyDescent="0.25">
      <c r="A567" s="1" t="s">
        <v>217</v>
      </c>
      <c r="B567" s="1">
        <v>100</v>
      </c>
      <c r="C567" s="1" t="s">
        <v>21</v>
      </c>
      <c r="D567" s="1">
        <v>2</v>
      </c>
      <c r="E567" s="1" t="s">
        <v>182</v>
      </c>
      <c r="F567" s="1">
        <v>0</v>
      </c>
      <c r="G567" s="1">
        <v>1</v>
      </c>
      <c r="H567" s="1" t="s">
        <v>13</v>
      </c>
      <c r="I567" s="1" t="s">
        <v>189</v>
      </c>
      <c r="J567" s="1" t="s">
        <v>22</v>
      </c>
      <c r="K567" s="1" t="s">
        <v>228</v>
      </c>
    </row>
    <row r="568" spans="1:11" x14ac:dyDescent="0.25">
      <c r="A568" s="1" t="s">
        <v>217</v>
      </c>
      <c r="B568" s="1">
        <v>102</v>
      </c>
      <c r="C568" s="1" t="s">
        <v>24</v>
      </c>
      <c r="D568" s="1">
        <v>1</v>
      </c>
      <c r="E568" s="1" t="s">
        <v>182</v>
      </c>
      <c r="F568" s="1">
        <v>21</v>
      </c>
      <c r="G568" s="1">
        <v>19</v>
      </c>
      <c r="H568" s="1" t="s">
        <v>13</v>
      </c>
      <c r="I568" s="1" t="s">
        <v>191</v>
      </c>
      <c r="J568" s="1" t="s">
        <v>25</v>
      </c>
      <c r="K568" s="1" t="s">
        <v>228</v>
      </c>
    </row>
    <row r="569" spans="1:11" x14ac:dyDescent="0.25">
      <c r="A569" s="1" t="s">
        <v>217</v>
      </c>
      <c r="B569" s="1">
        <v>103</v>
      </c>
      <c r="C569" s="1" t="s">
        <v>24</v>
      </c>
      <c r="D569" s="1">
        <v>2</v>
      </c>
      <c r="E569" s="1" t="s">
        <v>182</v>
      </c>
      <c r="F569" s="1">
        <v>1</v>
      </c>
      <c r="G569" s="1">
        <v>0</v>
      </c>
      <c r="H569" s="1" t="s">
        <v>13</v>
      </c>
      <c r="I569" s="1" t="s">
        <v>191</v>
      </c>
      <c r="J569" s="1" t="s">
        <v>25</v>
      </c>
      <c r="K569" s="1" t="s">
        <v>228</v>
      </c>
    </row>
    <row r="570" spans="1:11" x14ac:dyDescent="0.25">
      <c r="A570" s="1" t="s">
        <v>217</v>
      </c>
      <c r="B570" s="1">
        <v>105</v>
      </c>
      <c r="C570" s="1" t="s">
        <v>27</v>
      </c>
      <c r="D570" s="1">
        <v>1</v>
      </c>
      <c r="E570" s="1" t="s">
        <v>182</v>
      </c>
      <c r="F570" s="1">
        <v>21</v>
      </c>
      <c r="G570" s="1">
        <v>18</v>
      </c>
      <c r="H570" s="1" t="s">
        <v>13</v>
      </c>
      <c r="I570" s="1" t="s">
        <v>193</v>
      </c>
      <c r="J570" s="1" t="s">
        <v>28</v>
      </c>
      <c r="K570" s="1" t="s">
        <v>228</v>
      </c>
    </row>
    <row r="571" spans="1:11" x14ac:dyDescent="0.25">
      <c r="A571" s="1" t="s">
        <v>217</v>
      </c>
      <c r="B571" s="1">
        <v>106</v>
      </c>
      <c r="C571" s="1" t="s">
        <v>27</v>
      </c>
      <c r="D571" s="1">
        <v>2</v>
      </c>
      <c r="E571" s="1" t="s">
        <v>182</v>
      </c>
      <c r="F571" s="1">
        <v>1</v>
      </c>
      <c r="G571" s="1">
        <v>0</v>
      </c>
      <c r="H571" s="1" t="s">
        <v>13</v>
      </c>
      <c r="I571" s="1" t="s">
        <v>193</v>
      </c>
      <c r="J571" s="1" t="s">
        <v>28</v>
      </c>
      <c r="K571" s="1" t="s">
        <v>228</v>
      </c>
    </row>
    <row r="572" spans="1:11" x14ac:dyDescent="0.25">
      <c r="A572" s="1" t="s">
        <v>11</v>
      </c>
      <c r="B572" s="1">
        <v>93</v>
      </c>
      <c r="C572" s="1" t="s">
        <v>12</v>
      </c>
      <c r="D572" s="1">
        <v>1</v>
      </c>
      <c r="E572" s="1" t="s">
        <v>13</v>
      </c>
      <c r="F572" s="1">
        <v>21</v>
      </c>
      <c r="G572" s="1">
        <v>16</v>
      </c>
      <c r="H572" s="1" t="s">
        <v>14</v>
      </c>
      <c r="I572" s="1" t="s">
        <v>15</v>
      </c>
      <c r="J572" s="1" t="s">
        <v>16</v>
      </c>
      <c r="K572" s="1" t="s">
        <v>17</v>
      </c>
    </row>
    <row r="573" spans="1:11" x14ac:dyDescent="0.25">
      <c r="A573" s="1" t="s">
        <v>11</v>
      </c>
      <c r="B573" s="1">
        <v>94</v>
      </c>
      <c r="C573" s="1" t="s">
        <v>12</v>
      </c>
      <c r="D573" s="1">
        <v>2</v>
      </c>
      <c r="E573" s="1" t="s">
        <v>13</v>
      </c>
      <c r="F573" s="1">
        <v>1</v>
      </c>
      <c r="G573" s="1">
        <v>0</v>
      </c>
      <c r="H573" s="1" t="s">
        <v>14</v>
      </c>
      <c r="I573" s="1" t="s">
        <v>15</v>
      </c>
      <c r="J573" s="1" t="s">
        <v>16</v>
      </c>
      <c r="K573" s="1" t="s">
        <v>17</v>
      </c>
    </row>
    <row r="574" spans="1:11" x14ac:dyDescent="0.25">
      <c r="A574" s="1" t="s">
        <v>11</v>
      </c>
      <c r="B574" s="1">
        <v>96</v>
      </c>
      <c r="C574" s="1" t="s">
        <v>18</v>
      </c>
      <c r="D574" s="1">
        <v>1</v>
      </c>
      <c r="E574" s="1" t="s">
        <v>13</v>
      </c>
      <c r="F574" s="1">
        <v>21</v>
      </c>
      <c r="G574" s="1">
        <v>19</v>
      </c>
      <c r="H574" s="1" t="s">
        <v>14</v>
      </c>
      <c r="I574" s="1" t="s">
        <v>19</v>
      </c>
      <c r="J574" s="1" t="s">
        <v>20</v>
      </c>
      <c r="K574" s="1" t="s">
        <v>17</v>
      </c>
    </row>
    <row r="575" spans="1:11" x14ac:dyDescent="0.25">
      <c r="A575" s="1" t="s">
        <v>11</v>
      </c>
      <c r="B575" s="1">
        <v>97</v>
      </c>
      <c r="C575" s="1" t="s">
        <v>18</v>
      </c>
      <c r="D575" s="1">
        <v>2</v>
      </c>
      <c r="E575" s="1" t="s">
        <v>13</v>
      </c>
      <c r="F575" s="1">
        <v>1</v>
      </c>
      <c r="G575" s="1">
        <v>0</v>
      </c>
      <c r="H575" s="1" t="s">
        <v>14</v>
      </c>
      <c r="I575" s="1" t="s">
        <v>19</v>
      </c>
      <c r="J575" s="1" t="s">
        <v>20</v>
      </c>
      <c r="K575" s="1" t="s">
        <v>17</v>
      </c>
    </row>
    <row r="576" spans="1:11" x14ac:dyDescent="0.25">
      <c r="A576" s="1" t="s">
        <v>11</v>
      </c>
      <c r="B576" s="1">
        <v>99</v>
      </c>
      <c r="C576" s="1" t="s">
        <v>21</v>
      </c>
      <c r="D576" s="1">
        <v>1</v>
      </c>
      <c r="E576" s="1" t="s">
        <v>13</v>
      </c>
      <c r="F576" s="1">
        <v>18</v>
      </c>
      <c r="G576" s="1">
        <v>21</v>
      </c>
      <c r="H576" s="1" t="s">
        <v>14</v>
      </c>
      <c r="I576" s="1" t="s">
        <v>22</v>
      </c>
      <c r="J576" s="1" t="s">
        <v>23</v>
      </c>
      <c r="K576" s="1" t="s">
        <v>17</v>
      </c>
    </row>
    <row r="577" spans="1:11" x14ac:dyDescent="0.25">
      <c r="A577" s="1" t="s">
        <v>11</v>
      </c>
      <c r="B577" s="1">
        <v>100</v>
      </c>
      <c r="C577" s="1" t="s">
        <v>21</v>
      </c>
      <c r="D577" s="1">
        <v>2</v>
      </c>
      <c r="E577" s="1" t="s">
        <v>13</v>
      </c>
      <c r="F577" s="1">
        <v>0</v>
      </c>
      <c r="G577" s="1">
        <v>1</v>
      </c>
      <c r="H577" s="1" t="s">
        <v>14</v>
      </c>
      <c r="I577" s="1" t="s">
        <v>22</v>
      </c>
      <c r="J577" s="1" t="s">
        <v>23</v>
      </c>
      <c r="K577" s="1" t="s">
        <v>17</v>
      </c>
    </row>
    <row r="578" spans="1:11" x14ac:dyDescent="0.25">
      <c r="A578" s="1" t="s">
        <v>11</v>
      </c>
      <c r="B578" s="1">
        <v>102</v>
      </c>
      <c r="C578" s="1" t="s">
        <v>24</v>
      </c>
      <c r="D578" s="1">
        <v>1</v>
      </c>
      <c r="E578" s="1" t="s">
        <v>13</v>
      </c>
      <c r="F578" s="1">
        <v>16</v>
      </c>
      <c r="G578" s="1">
        <v>21</v>
      </c>
      <c r="H578" s="1" t="s">
        <v>14</v>
      </c>
      <c r="I578" s="1" t="s">
        <v>25</v>
      </c>
      <c r="J578" s="1" t="s">
        <v>26</v>
      </c>
      <c r="K578" s="1" t="s">
        <v>17</v>
      </c>
    </row>
    <row r="579" spans="1:11" x14ac:dyDescent="0.25">
      <c r="A579" s="1" t="s">
        <v>11</v>
      </c>
      <c r="B579" s="1">
        <v>103</v>
      </c>
      <c r="C579" s="1" t="s">
        <v>24</v>
      </c>
      <c r="D579" s="1">
        <v>2</v>
      </c>
      <c r="E579" s="1" t="s">
        <v>13</v>
      </c>
      <c r="F579" s="1">
        <v>0</v>
      </c>
      <c r="G579" s="1">
        <v>1</v>
      </c>
      <c r="H579" s="1" t="s">
        <v>14</v>
      </c>
      <c r="I579" s="1" t="s">
        <v>25</v>
      </c>
      <c r="J579" s="1" t="s">
        <v>26</v>
      </c>
      <c r="K579" s="1" t="s">
        <v>17</v>
      </c>
    </row>
    <row r="580" spans="1:11" x14ac:dyDescent="0.25">
      <c r="A580" s="1" t="s">
        <v>11</v>
      </c>
      <c r="B580" s="1">
        <v>105</v>
      </c>
      <c r="C580" s="1" t="s">
        <v>27</v>
      </c>
      <c r="D580" s="1">
        <v>1</v>
      </c>
      <c r="E580" s="1" t="s">
        <v>13</v>
      </c>
      <c r="F580" s="1">
        <v>18</v>
      </c>
      <c r="G580" s="1">
        <v>21</v>
      </c>
      <c r="H580" s="1" t="s">
        <v>14</v>
      </c>
      <c r="I580" s="1" t="s">
        <v>28</v>
      </c>
      <c r="J580" s="1" t="s">
        <v>29</v>
      </c>
      <c r="K580" s="1" t="s">
        <v>17</v>
      </c>
    </row>
    <row r="581" spans="1:11" x14ac:dyDescent="0.25">
      <c r="A581" s="1" t="s">
        <v>11</v>
      </c>
      <c r="B581" s="1">
        <v>106</v>
      </c>
      <c r="C581" s="1" t="s">
        <v>27</v>
      </c>
      <c r="D581" s="1">
        <v>2</v>
      </c>
      <c r="E581" s="1" t="s">
        <v>13</v>
      </c>
      <c r="F581" s="1">
        <v>0</v>
      </c>
      <c r="G581" s="1">
        <v>1</v>
      </c>
      <c r="H581" s="1" t="s">
        <v>14</v>
      </c>
      <c r="I581" s="1" t="s">
        <v>28</v>
      </c>
      <c r="J581" s="1" t="s">
        <v>29</v>
      </c>
      <c r="K581" s="1" t="s">
        <v>17</v>
      </c>
    </row>
    <row r="582" spans="1:11" x14ac:dyDescent="0.25">
      <c r="A582" s="1" t="s">
        <v>11</v>
      </c>
      <c r="B582" s="1">
        <v>111</v>
      </c>
      <c r="C582" s="1" t="s">
        <v>12</v>
      </c>
      <c r="D582" s="1">
        <v>1</v>
      </c>
      <c r="E582" s="1" t="s">
        <v>30</v>
      </c>
      <c r="F582" s="1">
        <v>24</v>
      </c>
      <c r="G582" s="1">
        <v>25</v>
      </c>
      <c r="H582" s="1" t="s">
        <v>31</v>
      </c>
      <c r="I582" s="1" t="s">
        <v>32</v>
      </c>
      <c r="J582" s="1" t="s">
        <v>33</v>
      </c>
      <c r="K582" s="1" t="s">
        <v>34</v>
      </c>
    </row>
    <row r="583" spans="1:11" x14ac:dyDescent="0.25">
      <c r="A583" s="1" t="s">
        <v>11</v>
      </c>
      <c r="B583" s="1">
        <v>112</v>
      </c>
      <c r="C583" s="1" t="s">
        <v>12</v>
      </c>
      <c r="D583" s="1">
        <v>2</v>
      </c>
      <c r="E583" s="1" t="s">
        <v>30</v>
      </c>
      <c r="F583" s="1">
        <v>0</v>
      </c>
      <c r="G583" s="1">
        <v>1</v>
      </c>
      <c r="H583" s="1" t="s">
        <v>31</v>
      </c>
      <c r="I583" s="1" t="s">
        <v>32</v>
      </c>
      <c r="J583" s="1" t="s">
        <v>33</v>
      </c>
      <c r="K583" s="1" t="s">
        <v>34</v>
      </c>
    </row>
    <row r="584" spans="1:11" x14ac:dyDescent="0.25">
      <c r="A584" s="1" t="s">
        <v>11</v>
      </c>
      <c r="B584" s="1">
        <v>114</v>
      </c>
      <c r="C584" s="1" t="s">
        <v>18</v>
      </c>
      <c r="D584" s="1">
        <v>1</v>
      </c>
      <c r="E584" s="1" t="s">
        <v>30</v>
      </c>
      <c r="F584" s="1">
        <v>19</v>
      </c>
      <c r="G584" s="1">
        <v>21</v>
      </c>
      <c r="H584" s="1" t="s">
        <v>31</v>
      </c>
      <c r="I584" s="1" t="s">
        <v>35</v>
      </c>
      <c r="J584" s="1" t="s">
        <v>36</v>
      </c>
      <c r="K584" s="1" t="s">
        <v>34</v>
      </c>
    </row>
    <row r="585" spans="1:11" x14ac:dyDescent="0.25">
      <c r="A585" s="1" t="s">
        <v>11</v>
      </c>
      <c r="B585" s="1">
        <v>115</v>
      </c>
      <c r="C585" s="1" t="s">
        <v>18</v>
      </c>
      <c r="D585" s="1">
        <v>2</v>
      </c>
      <c r="E585" s="1" t="s">
        <v>30</v>
      </c>
      <c r="F585" s="1">
        <v>0</v>
      </c>
      <c r="G585" s="1">
        <v>1</v>
      </c>
      <c r="H585" s="1" t="s">
        <v>31</v>
      </c>
      <c r="I585" s="1" t="s">
        <v>35</v>
      </c>
      <c r="J585" s="1" t="s">
        <v>36</v>
      </c>
      <c r="K585" s="1" t="s">
        <v>34</v>
      </c>
    </row>
    <row r="586" spans="1:11" x14ac:dyDescent="0.25">
      <c r="A586" s="1" t="s">
        <v>11</v>
      </c>
      <c r="B586" s="1">
        <v>117</v>
      </c>
      <c r="C586" s="1" t="s">
        <v>21</v>
      </c>
      <c r="D586" s="1">
        <v>1</v>
      </c>
      <c r="E586" s="1" t="s">
        <v>30</v>
      </c>
      <c r="F586" s="1">
        <v>25</v>
      </c>
      <c r="G586" s="1">
        <v>24</v>
      </c>
      <c r="H586" s="1" t="s">
        <v>31</v>
      </c>
      <c r="I586" s="1" t="s">
        <v>37</v>
      </c>
      <c r="J586" s="1" t="s">
        <v>38</v>
      </c>
      <c r="K586" s="1" t="s">
        <v>34</v>
      </c>
    </row>
    <row r="587" spans="1:11" x14ac:dyDescent="0.25">
      <c r="A587" s="1" t="s">
        <v>11</v>
      </c>
      <c r="B587" s="1">
        <v>118</v>
      </c>
      <c r="C587" s="1" t="s">
        <v>21</v>
      </c>
      <c r="D587" s="1">
        <v>2</v>
      </c>
      <c r="E587" s="1" t="s">
        <v>30</v>
      </c>
      <c r="F587" s="1">
        <v>1</v>
      </c>
      <c r="G587" s="1">
        <v>0</v>
      </c>
      <c r="H587" s="1" t="s">
        <v>31</v>
      </c>
      <c r="I587" s="1" t="s">
        <v>37</v>
      </c>
      <c r="J587" s="1" t="s">
        <v>38</v>
      </c>
      <c r="K587" s="1" t="s">
        <v>34</v>
      </c>
    </row>
    <row r="588" spans="1:11" x14ac:dyDescent="0.25">
      <c r="A588" s="1" t="s">
        <v>11</v>
      </c>
      <c r="B588" s="1">
        <v>120</v>
      </c>
      <c r="C588" s="1" t="s">
        <v>24</v>
      </c>
      <c r="D588" s="1">
        <v>1</v>
      </c>
      <c r="E588" s="1" t="s">
        <v>30</v>
      </c>
      <c r="F588" s="1">
        <v>21</v>
      </c>
      <c r="G588" s="1">
        <v>19</v>
      </c>
      <c r="H588" s="1" t="s">
        <v>31</v>
      </c>
      <c r="I588" s="1" t="s">
        <v>39</v>
      </c>
      <c r="J588" s="1" t="s">
        <v>40</v>
      </c>
      <c r="K588" s="1" t="s">
        <v>34</v>
      </c>
    </row>
    <row r="589" spans="1:11" x14ac:dyDescent="0.25">
      <c r="A589" s="1" t="s">
        <v>11</v>
      </c>
      <c r="B589" s="1">
        <v>121</v>
      </c>
      <c r="C589" s="1" t="s">
        <v>24</v>
      </c>
      <c r="D589" s="1">
        <v>2</v>
      </c>
      <c r="E589" s="1" t="s">
        <v>30</v>
      </c>
      <c r="F589" s="1">
        <v>1</v>
      </c>
      <c r="G589" s="1">
        <v>0</v>
      </c>
      <c r="H589" s="1" t="s">
        <v>31</v>
      </c>
      <c r="I589" s="1" t="s">
        <v>39</v>
      </c>
      <c r="J589" s="1" t="s">
        <v>40</v>
      </c>
      <c r="K589" s="1" t="s">
        <v>34</v>
      </c>
    </row>
    <row r="590" spans="1:11" x14ac:dyDescent="0.25">
      <c r="A590" s="1" t="s">
        <v>11</v>
      </c>
      <c r="B590" s="1">
        <v>123</v>
      </c>
      <c r="C590" s="1" t="s">
        <v>27</v>
      </c>
      <c r="D590" s="1">
        <v>1</v>
      </c>
      <c r="E590" s="1" t="s">
        <v>30</v>
      </c>
      <c r="F590" s="1">
        <v>21</v>
      </c>
      <c r="G590" s="1">
        <v>11</v>
      </c>
      <c r="H590" s="1" t="s">
        <v>31</v>
      </c>
      <c r="I590" s="1" t="s">
        <v>41</v>
      </c>
      <c r="J590" s="1" t="s">
        <v>42</v>
      </c>
      <c r="K590" s="1" t="s">
        <v>34</v>
      </c>
    </row>
    <row r="591" spans="1:11" x14ac:dyDescent="0.25">
      <c r="A591" s="1" t="s">
        <v>11</v>
      </c>
      <c r="B591" s="1">
        <v>124</v>
      </c>
      <c r="C591" s="1" t="s">
        <v>27</v>
      </c>
      <c r="D591" s="1">
        <v>2</v>
      </c>
      <c r="E591" s="1" t="s">
        <v>30</v>
      </c>
      <c r="F591" s="1">
        <v>1</v>
      </c>
      <c r="G591" s="1">
        <v>0</v>
      </c>
      <c r="H591" s="1" t="s">
        <v>31</v>
      </c>
      <c r="I591" s="1" t="s">
        <v>41</v>
      </c>
      <c r="J591" s="1" t="s">
        <v>42</v>
      </c>
      <c r="K591" s="1" t="s">
        <v>34</v>
      </c>
    </row>
    <row r="592" spans="1:11" x14ac:dyDescent="0.25">
      <c r="A592" s="1" t="s">
        <v>11</v>
      </c>
      <c r="B592" s="1">
        <v>129</v>
      </c>
      <c r="C592" s="1" t="s">
        <v>12</v>
      </c>
      <c r="D592" s="1">
        <v>1</v>
      </c>
      <c r="E592" s="1" t="s">
        <v>43</v>
      </c>
      <c r="F592" s="1">
        <v>1</v>
      </c>
      <c r="G592" s="1">
        <v>0</v>
      </c>
      <c r="H592" s="1" t="s">
        <v>44</v>
      </c>
      <c r="I592" s="1" t="s">
        <v>45</v>
      </c>
      <c r="J592" s="1" t="s">
        <v>46</v>
      </c>
      <c r="K592" s="1" t="s">
        <v>47</v>
      </c>
    </row>
    <row r="593" spans="1:11" x14ac:dyDescent="0.25">
      <c r="A593" s="1" t="s">
        <v>11</v>
      </c>
      <c r="B593" s="1">
        <v>130</v>
      </c>
      <c r="C593" s="1" t="s">
        <v>12</v>
      </c>
      <c r="D593" s="1">
        <v>2</v>
      </c>
      <c r="E593" s="1" t="s">
        <v>43</v>
      </c>
      <c r="F593" s="1">
        <v>1</v>
      </c>
      <c r="G593" s="1">
        <v>0</v>
      </c>
      <c r="H593" s="1" t="s">
        <v>44</v>
      </c>
      <c r="I593" s="1" t="s">
        <v>45</v>
      </c>
      <c r="J593" s="1" t="s">
        <v>46</v>
      </c>
      <c r="K593" s="1" t="s">
        <v>47</v>
      </c>
    </row>
    <row r="594" spans="1:11" x14ac:dyDescent="0.25">
      <c r="A594" s="1" t="s">
        <v>11</v>
      </c>
      <c r="B594" s="1">
        <v>132</v>
      </c>
      <c r="C594" s="1" t="s">
        <v>18</v>
      </c>
      <c r="D594" s="1">
        <v>1</v>
      </c>
      <c r="E594" s="1" t="s">
        <v>43</v>
      </c>
      <c r="F594" s="1">
        <v>1</v>
      </c>
      <c r="G594" s="1">
        <v>0</v>
      </c>
      <c r="H594" s="1" t="s">
        <v>44</v>
      </c>
      <c r="I594" s="1" t="s">
        <v>48</v>
      </c>
      <c r="J594" s="1" t="s">
        <v>49</v>
      </c>
      <c r="K594" s="1" t="s">
        <v>47</v>
      </c>
    </row>
    <row r="595" spans="1:11" x14ac:dyDescent="0.25">
      <c r="A595" s="1" t="s">
        <v>11</v>
      </c>
      <c r="B595" s="1">
        <v>133</v>
      </c>
      <c r="C595" s="1" t="s">
        <v>18</v>
      </c>
      <c r="D595" s="1">
        <v>2</v>
      </c>
      <c r="E595" s="1" t="s">
        <v>43</v>
      </c>
      <c r="F595" s="1">
        <v>1</v>
      </c>
      <c r="G595" s="1">
        <v>0</v>
      </c>
      <c r="H595" s="1" t="s">
        <v>44</v>
      </c>
      <c r="I595" s="1" t="s">
        <v>48</v>
      </c>
      <c r="J595" s="1" t="s">
        <v>49</v>
      </c>
      <c r="K595" s="1" t="s">
        <v>47</v>
      </c>
    </row>
    <row r="596" spans="1:11" x14ac:dyDescent="0.25">
      <c r="A596" s="1" t="s">
        <v>11</v>
      </c>
      <c r="B596" s="1">
        <v>135</v>
      </c>
      <c r="C596" s="1" t="s">
        <v>21</v>
      </c>
      <c r="D596" s="1">
        <v>1</v>
      </c>
      <c r="E596" s="1" t="s">
        <v>43</v>
      </c>
      <c r="F596" s="1">
        <v>1</v>
      </c>
      <c r="G596" s="1">
        <v>0</v>
      </c>
      <c r="H596" s="1" t="s">
        <v>44</v>
      </c>
      <c r="I596" s="1" t="s">
        <v>50</v>
      </c>
      <c r="J596" s="1" t="s">
        <v>51</v>
      </c>
      <c r="K596" s="1" t="s">
        <v>47</v>
      </c>
    </row>
    <row r="597" spans="1:11" x14ac:dyDescent="0.25">
      <c r="A597" s="1" t="s">
        <v>11</v>
      </c>
      <c r="B597" s="1">
        <v>136</v>
      </c>
      <c r="C597" s="1" t="s">
        <v>21</v>
      </c>
      <c r="D597" s="1">
        <v>2</v>
      </c>
      <c r="E597" s="1" t="s">
        <v>43</v>
      </c>
      <c r="F597" s="1">
        <v>1</v>
      </c>
      <c r="G597" s="1">
        <v>0</v>
      </c>
      <c r="H597" s="1" t="s">
        <v>44</v>
      </c>
      <c r="I597" s="1" t="s">
        <v>50</v>
      </c>
      <c r="J597" s="1" t="s">
        <v>51</v>
      </c>
      <c r="K597" s="1" t="s">
        <v>47</v>
      </c>
    </row>
    <row r="598" spans="1:11" x14ac:dyDescent="0.25">
      <c r="A598" s="1" t="s">
        <v>11</v>
      </c>
      <c r="B598" s="1">
        <v>138</v>
      </c>
      <c r="C598" s="1" t="s">
        <v>24</v>
      </c>
      <c r="D598" s="1">
        <v>1</v>
      </c>
      <c r="E598" s="1" t="s">
        <v>43</v>
      </c>
      <c r="F598" s="1">
        <v>1</v>
      </c>
      <c r="G598" s="1">
        <v>0</v>
      </c>
      <c r="H598" s="1" t="s">
        <v>44</v>
      </c>
      <c r="I598" s="1" t="s">
        <v>52</v>
      </c>
      <c r="J598" s="1" t="s">
        <v>53</v>
      </c>
      <c r="K598" s="1" t="s">
        <v>47</v>
      </c>
    </row>
    <row r="599" spans="1:11" x14ac:dyDescent="0.25">
      <c r="A599" s="1" t="s">
        <v>11</v>
      </c>
      <c r="B599" s="1">
        <v>139</v>
      </c>
      <c r="C599" s="1" t="s">
        <v>24</v>
      </c>
      <c r="D599" s="1">
        <v>2</v>
      </c>
      <c r="E599" s="1" t="s">
        <v>43</v>
      </c>
      <c r="F599" s="1">
        <v>1</v>
      </c>
      <c r="G599" s="1">
        <v>0</v>
      </c>
      <c r="H599" s="1" t="s">
        <v>44</v>
      </c>
      <c r="I599" s="1" t="s">
        <v>52</v>
      </c>
      <c r="J599" s="1" t="s">
        <v>53</v>
      </c>
      <c r="K599" s="1" t="s">
        <v>47</v>
      </c>
    </row>
    <row r="600" spans="1:11" x14ac:dyDescent="0.25">
      <c r="A600" s="1" t="s">
        <v>11</v>
      </c>
      <c r="B600" s="1">
        <v>141</v>
      </c>
      <c r="C600" s="1" t="s">
        <v>27</v>
      </c>
      <c r="D600" s="1">
        <v>1</v>
      </c>
      <c r="E600" s="1" t="s">
        <v>43</v>
      </c>
      <c r="F600" s="1">
        <v>0</v>
      </c>
      <c r="G600" s="1">
        <v>1</v>
      </c>
      <c r="H600" s="1" t="s">
        <v>44</v>
      </c>
      <c r="I600" s="1" t="s">
        <v>54</v>
      </c>
      <c r="J600" s="1" t="s">
        <v>55</v>
      </c>
      <c r="K600" s="1" t="s">
        <v>47</v>
      </c>
    </row>
    <row r="601" spans="1:11" x14ac:dyDescent="0.25">
      <c r="A601" s="1" t="s">
        <v>11</v>
      </c>
      <c r="B601" s="1">
        <v>142</v>
      </c>
      <c r="C601" s="1" t="s">
        <v>27</v>
      </c>
      <c r="D601" s="1">
        <v>2</v>
      </c>
      <c r="E601" s="1" t="s">
        <v>43</v>
      </c>
      <c r="F601" s="1">
        <v>0</v>
      </c>
      <c r="G601" s="1">
        <v>1</v>
      </c>
      <c r="H601" s="1" t="s">
        <v>44</v>
      </c>
      <c r="I601" s="1" t="s">
        <v>54</v>
      </c>
      <c r="J601" s="1" t="s">
        <v>55</v>
      </c>
      <c r="K601" s="1" t="s">
        <v>47</v>
      </c>
    </row>
    <row r="602" spans="1:11" x14ac:dyDescent="0.25">
      <c r="A602" s="1" t="s">
        <v>11</v>
      </c>
      <c r="B602" s="1">
        <v>147</v>
      </c>
      <c r="C602" s="1" t="s">
        <v>12</v>
      </c>
      <c r="D602" s="1">
        <v>1</v>
      </c>
      <c r="E602" s="1" t="s">
        <v>56</v>
      </c>
      <c r="F602" s="1">
        <v>21</v>
      </c>
      <c r="G602" s="1">
        <v>17</v>
      </c>
      <c r="H602" s="1" t="s">
        <v>57</v>
      </c>
      <c r="I602" s="1" t="s">
        <v>58</v>
      </c>
      <c r="J602" s="1" t="s">
        <v>59</v>
      </c>
      <c r="K602" s="1" t="s">
        <v>60</v>
      </c>
    </row>
    <row r="603" spans="1:11" x14ac:dyDescent="0.25">
      <c r="A603" s="1" t="s">
        <v>11</v>
      </c>
      <c r="B603" s="1">
        <v>148</v>
      </c>
      <c r="C603" s="1" t="s">
        <v>12</v>
      </c>
      <c r="D603" s="1">
        <v>2</v>
      </c>
      <c r="E603" s="1" t="s">
        <v>56</v>
      </c>
      <c r="F603" s="1">
        <v>1</v>
      </c>
      <c r="G603" s="1">
        <v>0</v>
      </c>
      <c r="H603" s="1" t="s">
        <v>57</v>
      </c>
      <c r="I603" s="1" t="s">
        <v>58</v>
      </c>
      <c r="J603" s="1" t="s">
        <v>59</v>
      </c>
      <c r="K603" s="1" t="s">
        <v>60</v>
      </c>
    </row>
    <row r="604" spans="1:11" x14ac:dyDescent="0.25">
      <c r="A604" s="1" t="s">
        <v>11</v>
      </c>
      <c r="B604" s="1">
        <v>150</v>
      </c>
      <c r="C604" s="1" t="s">
        <v>18</v>
      </c>
      <c r="D604" s="1">
        <v>1</v>
      </c>
      <c r="E604" s="1" t="s">
        <v>56</v>
      </c>
      <c r="F604" s="1">
        <v>21</v>
      </c>
      <c r="G604" s="1">
        <v>18</v>
      </c>
      <c r="H604" s="1" t="s">
        <v>57</v>
      </c>
      <c r="I604" s="1" t="s">
        <v>61</v>
      </c>
      <c r="J604" s="1" t="s">
        <v>62</v>
      </c>
      <c r="K604" s="1" t="s">
        <v>60</v>
      </c>
    </row>
    <row r="605" spans="1:11" x14ac:dyDescent="0.25">
      <c r="A605" s="1" t="s">
        <v>11</v>
      </c>
      <c r="B605" s="1">
        <v>151</v>
      </c>
      <c r="C605" s="1" t="s">
        <v>18</v>
      </c>
      <c r="D605" s="1">
        <v>2</v>
      </c>
      <c r="E605" s="1" t="s">
        <v>56</v>
      </c>
      <c r="F605" s="1">
        <v>1</v>
      </c>
      <c r="G605" s="1">
        <v>0</v>
      </c>
      <c r="H605" s="1" t="s">
        <v>57</v>
      </c>
      <c r="I605" s="1" t="s">
        <v>61</v>
      </c>
      <c r="J605" s="1" t="s">
        <v>62</v>
      </c>
      <c r="K605" s="1" t="s">
        <v>60</v>
      </c>
    </row>
    <row r="606" spans="1:11" x14ac:dyDescent="0.25">
      <c r="A606" s="1" t="s">
        <v>11</v>
      </c>
      <c r="B606" s="1">
        <v>153</v>
      </c>
      <c r="C606" s="1" t="s">
        <v>21</v>
      </c>
      <c r="D606" s="1">
        <v>1</v>
      </c>
      <c r="E606" s="1" t="s">
        <v>56</v>
      </c>
      <c r="F606" s="1">
        <v>21</v>
      </c>
      <c r="G606" s="1">
        <v>23</v>
      </c>
      <c r="H606" s="1" t="s">
        <v>57</v>
      </c>
      <c r="I606" s="1" t="s">
        <v>63</v>
      </c>
      <c r="J606" s="1" t="s">
        <v>64</v>
      </c>
      <c r="K606" s="1" t="s">
        <v>60</v>
      </c>
    </row>
    <row r="607" spans="1:11" x14ac:dyDescent="0.25">
      <c r="A607" s="1" t="s">
        <v>11</v>
      </c>
      <c r="B607" s="1">
        <v>154</v>
      </c>
      <c r="C607" s="1" t="s">
        <v>21</v>
      </c>
      <c r="D607" s="1">
        <v>2</v>
      </c>
      <c r="E607" s="1" t="s">
        <v>56</v>
      </c>
      <c r="F607" s="1">
        <v>0</v>
      </c>
      <c r="G607" s="1">
        <v>1</v>
      </c>
      <c r="H607" s="1" t="s">
        <v>57</v>
      </c>
      <c r="I607" s="1" t="s">
        <v>63</v>
      </c>
      <c r="J607" s="1" t="s">
        <v>64</v>
      </c>
      <c r="K607" s="1" t="s">
        <v>60</v>
      </c>
    </row>
    <row r="608" spans="1:11" x14ac:dyDescent="0.25">
      <c r="A608" s="1" t="s">
        <v>11</v>
      </c>
      <c r="B608" s="1">
        <v>156</v>
      </c>
      <c r="C608" s="1" t="s">
        <v>24</v>
      </c>
      <c r="D608" s="1">
        <v>1</v>
      </c>
      <c r="E608" s="1" t="s">
        <v>56</v>
      </c>
      <c r="F608" s="1">
        <v>21</v>
      </c>
      <c r="G608" s="1">
        <v>13</v>
      </c>
      <c r="H608" s="1" t="s">
        <v>57</v>
      </c>
      <c r="I608" s="1" t="s">
        <v>65</v>
      </c>
      <c r="J608" s="1" t="s">
        <v>66</v>
      </c>
      <c r="K608" s="1" t="s">
        <v>60</v>
      </c>
    </row>
    <row r="609" spans="1:11" x14ac:dyDescent="0.25">
      <c r="A609" s="1" t="s">
        <v>11</v>
      </c>
      <c r="B609" s="1">
        <v>157</v>
      </c>
      <c r="C609" s="1" t="s">
        <v>24</v>
      </c>
      <c r="D609" s="1">
        <v>2</v>
      </c>
      <c r="E609" s="1" t="s">
        <v>56</v>
      </c>
      <c r="F609" s="1">
        <v>1</v>
      </c>
      <c r="G609" s="1">
        <v>0</v>
      </c>
      <c r="H609" s="1" t="s">
        <v>57</v>
      </c>
      <c r="I609" s="1" t="s">
        <v>65</v>
      </c>
      <c r="J609" s="1" t="s">
        <v>66</v>
      </c>
      <c r="K609" s="1" t="s">
        <v>60</v>
      </c>
    </row>
    <row r="610" spans="1:11" x14ac:dyDescent="0.25">
      <c r="A610" s="1" t="s">
        <v>11</v>
      </c>
      <c r="B610" s="1">
        <v>159</v>
      </c>
      <c r="C610" s="1" t="s">
        <v>27</v>
      </c>
      <c r="D610" s="1">
        <v>1</v>
      </c>
      <c r="E610" s="1" t="s">
        <v>56</v>
      </c>
      <c r="F610" s="1">
        <v>21</v>
      </c>
      <c r="G610" s="1">
        <v>17</v>
      </c>
      <c r="H610" s="1" t="s">
        <v>57</v>
      </c>
      <c r="I610" s="1" t="s">
        <v>67</v>
      </c>
      <c r="J610" s="1" t="s">
        <v>68</v>
      </c>
      <c r="K610" s="1" t="s">
        <v>60</v>
      </c>
    </row>
    <row r="611" spans="1:11" x14ac:dyDescent="0.25">
      <c r="A611" s="1" t="s">
        <v>11</v>
      </c>
      <c r="B611" s="1">
        <v>160</v>
      </c>
      <c r="C611" s="1" t="s">
        <v>27</v>
      </c>
      <c r="D611" s="1">
        <v>2</v>
      </c>
      <c r="E611" s="1" t="s">
        <v>56</v>
      </c>
      <c r="F611" s="1">
        <v>1</v>
      </c>
      <c r="G611" s="1">
        <v>0</v>
      </c>
      <c r="H611" s="1" t="s">
        <v>57</v>
      </c>
      <c r="I611" s="1" t="s">
        <v>67</v>
      </c>
      <c r="J611" s="1" t="s">
        <v>68</v>
      </c>
      <c r="K611" s="1" t="s">
        <v>60</v>
      </c>
    </row>
    <row r="612" spans="1:11" x14ac:dyDescent="0.25">
      <c r="A612" s="1" t="s">
        <v>11</v>
      </c>
      <c r="B612" s="1">
        <v>165</v>
      </c>
      <c r="C612" s="1" t="s">
        <v>12</v>
      </c>
      <c r="D612" s="1">
        <v>1</v>
      </c>
      <c r="E612" s="1" t="s">
        <v>69</v>
      </c>
      <c r="F612" s="1">
        <v>21</v>
      </c>
      <c r="G612" s="1">
        <v>19</v>
      </c>
      <c r="H612" s="1" t="s">
        <v>70</v>
      </c>
      <c r="I612" s="1" t="s">
        <v>71</v>
      </c>
      <c r="J612" s="1" t="s">
        <v>72</v>
      </c>
      <c r="K612" s="1" t="s">
        <v>73</v>
      </c>
    </row>
    <row r="613" spans="1:11" x14ac:dyDescent="0.25">
      <c r="A613" s="1" t="s">
        <v>11</v>
      </c>
      <c r="B613" s="1">
        <v>166</v>
      </c>
      <c r="C613" s="1" t="s">
        <v>12</v>
      </c>
      <c r="D613" s="1">
        <v>2</v>
      </c>
      <c r="E613" s="1" t="s">
        <v>69</v>
      </c>
      <c r="F613" s="1">
        <v>1</v>
      </c>
      <c r="G613" s="1">
        <v>0</v>
      </c>
      <c r="H613" s="1" t="s">
        <v>70</v>
      </c>
      <c r="I613" s="1" t="s">
        <v>71</v>
      </c>
      <c r="J613" s="1" t="s">
        <v>72</v>
      </c>
      <c r="K613" s="1" t="s">
        <v>73</v>
      </c>
    </row>
    <row r="614" spans="1:11" x14ac:dyDescent="0.25">
      <c r="A614" s="1" t="s">
        <v>11</v>
      </c>
      <c r="B614" s="1">
        <v>168</v>
      </c>
      <c r="C614" s="1" t="s">
        <v>18</v>
      </c>
      <c r="D614" s="1">
        <v>1</v>
      </c>
      <c r="E614" s="1" t="s">
        <v>69</v>
      </c>
      <c r="F614" s="1">
        <v>21</v>
      </c>
      <c r="G614" s="1">
        <v>18</v>
      </c>
      <c r="H614" s="1" t="s">
        <v>70</v>
      </c>
      <c r="I614" s="1" t="s">
        <v>74</v>
      </c>
      <c r="J614" s="1" t="s">
        <v>75</v>
      </c>
      <c r="K614" s="1" t="s">
        <v>73</v>
      </c>
    </row>
    <row r="615" spans="1:11" x14ac:dyDescent="0.25">
      <c r="A615" s="1" t="s">
        <v>11</v>
      </c>
      <c r="B615" s="1">
        <v>169</v>
      </c>
      <c r="C615" s="1" t="s">
        <v>18</v>
      </c>
      <c r="D615" s="1">
        <v>2</v>
      </c>
      <c r="E615" s="1" t="s">
        <v>69</v>
      </c>
      <c r="F615" s="1">
        <v>1</v>
      </c>
      <c r="G615" s="1">
        <v>0</v>
      </c>
      <c r="H615" s="1" t="s">
        <v>70</v>
      </c>
      <c r="I615" s="1" t="s">
        <v>74</v>
      </c>
      <c r="J615" s="1" t="s">
        <v>75</v>
      </c>
      <c r="K615" s="1" t="s">
        <v>73</v>
      </c>
    </row>
    <row r="616" spans="1:11" x14ac:dyDescent="0.25">
      <c r="A616" s="1" t="s">
        <v>11</v>
      </c>
      <c r="B616" s="1">
        <v>171</v>
      </c>
      <c r="C616" s="1" t="s">
        <v>21</v>
      </c>
      <c r="D616" s="1">
        <v>1</v>
      </c>
      <c r="E616" s="1" t="s">
        <v>69</v>
      </c>
      <c r="F616" s="1">
        <v>25</v>
      </c>
      <c r="G616" s="1">
        <v>24</v>
      </c>
      <c r="H616" s="1" t="s">
        <v>70</v>
      </c>
      <c r="I616" s="1" t="s">
        <v>76</v>
      </c>
      <c r="J616" s="1" t="s">
        <v>77</v>
      </c>
      <c r="K616" s="1" t="s">
        <v>73</v>
      </c>
    </row>
    <row r="617" spans="1:11" x14ac:dyDescent="0.25">
      <c r="A617" s="1" t="s">
        <v>11</v>
      </c>
      <c r="B617" s="1">
        <v>172</v>
      </c>
      <c r="C617" s="1" t="s">
        <v>21</v>
      </c>
      <c r="D617" s="1">
        <v>2</v>
      </c>
      <c r="E617" s="1" t="s">
        <v>69</v>
      </c>
      <c r="F617" s="1">
        <v>1</v>
      </c>
      <c r="G617" s="1">
        <v>0</v>
      </c>
      <c r="H617" s="1" t="s">
        <v>70</v>
      </c>
      <c r="I617" s="1" t="s">
        <v>76</v>
      </c>
      <c r="J617" s="1" t="s">
        <v>77</v>
      </c>
      <c r="K617" s="1" t="s">
        <v>73</v>
      </c>
    </row>
    <row r="618" spans="1:11" x14ac:dyDescent="0.25">
      <c r="A618" s="1" t="s">
        <v>11</v>
      </c>
      <c r="B618" s="1">
        <v>174</v>
      </c>
      <c r="C618" s="1" t="s">
        <v>24</v>
      </c>
      <c r="D618" s="1">
        <v>1</v>
      </c>
      <c r="E618" s="1" t="s">
        <v>69</v>
      </c>
      <c r="F618" s="1">
        <v>21</v>
      </c>
      <c r="G618" s="1">
        <v>18</v>
      </c>
      <c r="H618" s="1" t="s">
        <v>70</v>
      </c>
      <c r="I618" s="1" t="s">
        <v>78</v>
      </c>
      <c r="J618" s="1" t="s">
        <v>79</v>
      </c>
      <c r="K618" s="1" t="s">
        <v>73</v>
      </c>
    </row>
    <row r="619" spans="1:11" x14ac:dyDescent="0.25">
      <c r="A619" s="1" t="s">
        <v>11</v>
      </c>
      <c r="B619" s="1">
        <v>175</v>
      </c>
      <c r="C619" s="1" t="s">
        <v>24</v>
      </c>
      <c r="D619" s="1">
        <v>2</v>
      </c>
      <c r="E619" s="1" t="s">
        <v>69</v>
      </c>
      <c r="F619" s="1">
        <v>1</v>
      </c>
      <c r="G619" s="1">
        <v>0</v>
      </c>
      <c r="H619" s="1" t="s">
        <v>70</v>
      </c>
      <c r="I619" s="1" t="s">
        <v>78</v>
      </c>
      <c r="J619" s="1" t="s">
        <v>79</v>
      </c>
      <c r="K619" s="1" t="s">
        <v>73</v>
      </c>
    </row>
    <row r="620" spans="1:11" x14ac:dyDescent="0.25">
      <c r="A620" s="1" t="s">
        <v>11</v>
      </c>
      <c r="B620" s="1">
        <v>177</v>
      </c>
      <c r="C620" s="1" t="s">
        <v>27</v>
      </c>
      <c r="D620" s="1">
        <v>1</v>
      </c>
      <c r="E620" s="1" t="s">
        <v>69</v>
      </c>
      <c r="F620" s="1">
        <v>21</v>
      </c>
      <c r="G620" s="1">
        <v>19</v>
      </c>
      <c r="H620" s="1" t="s">
        <v>70</v>
      </c>
      <c r="I620" s="1" t="s">
        <v>80</v>
      </c>
      <c r="J620" s="1" t="s">
        <v>81</v>
      </c>
      <c r="K620" s="1" t="s">
        <v>73</v>
      </c>
    </row>
    <row r="621" spans="1:11" x14ac:dyDescent="0.25">
      <c r="A621" s="1" t="s">
        <v>11</v>
      </c>
      <c r="B621" s="1">
        <v>178</v>
      </c>
      <c r="C621" s="1" t="s">
        <v>27</v>
      </c>
      <c r="D621" s="1">
        <v>2</v>
      </c>
      <c r="E621" s="1" t="s">
        <v>69</v>
      </c>
      <c r="F621" s="1">
        <v>1</v>
      </c>
      <c r="G621" s="1">
        <v>0</v>
      </c>
      <c r="H621" s="1" t="s">
        <v>70</v>
      </c>
      <c r="I621" s="1" t="s">
        <v>80</v>
      </c>
      <c r="J621" s="1" t="s">
        <v>81</v>
      </c>
      <c r="K621" s="1" t="s">
        <v>73</v>
      </c>
    </row>
    <row r="622" spans="1:11" x14ac:dyDescent="0.25">
      <c r="A622" s="1" t="s">
        <v>11</v>
      </c>
      <c r="B622" s="1">
        <v>183</v>
      </c>
      <c r="C622" s="1" t="s">
        <v>12</v>
      </c>
      <c r="D622" s="1">
        <v>1</v>
      </c>
      <c r="E622" s="1" t="s">
        <v>82</v>
      </c>
      <c r="F622" s="1">
        <v>15</v>
      </c>
      <c r="G622" s="1">
        <v>21</v>
      </c>
      <c r="H622" s="1" t="s">
        <v>83</v>
      </c>
      <c r="I622" s="1" t="s">
        <v>84</v>
      </c>
      <c r="J622" s="1" t="s">
        <v>85</v>
      </c>
      <c r="K622" s="1" t="s">
        <v>86</v>
      </c>
    </row>
    <row r="623" spans="1:11" x14ac:dyDescent="0.25">
      <c r="A623" s="1" t="s">
        <v>11</v>
      </c>
      <c r="B623" s="1">
        <v>184</v>
      </c>
      <c r="C623" s="1" t="s">
        <v>12</v>
      </c>
      <c r="D623" s="1">
        <v>2</v>
      </c>
      <c r="E623" s="1" t="s">
        <v>82</v>
      </c>
      <c r="F623" s="1">
        <v>0</v>
      </c>
      <c r="G623" s="1">
        <v>1</v>
      </c>
      <c r="H623" s="1" t="s">
        <v>83</v>
      </c>
      <c r="I623" s="1" t="s">
        <v>84</v>
      </c>
      <c r="J623" s="1" t="s">
        <v>85</v>
      </c>
      <c r="K623" s="1" t="s">
        <v>86</v>
      </c>
    </row>
    <row r="624" spans="1:11" x14ac:dyDescent="0.25">
      <c r="A624" s="1" t="s">
        <v>11</v>
      </c>
      <c r="B624" s="1">
        <v>186</v>
      </c>
      <c r="C624" s="1" t="s">
        <v>18</v>
      </c>
      <c r="D624" s="1">
        <v>1</v>
      </c>
      <c r="E624" s="1" t="s">
        <v>82</v>
      </c>
      <c r="F624" s="1">
        <v>22</v>
      </c>
      <c r="G624" s="1">
        <v>24</v>
      </c>
      <c r="H624" s="1" t="s">
        <v>83</v>
      </c>
      <c r="I624" s="1" t="s">
        <v>87</v>
      </c>
      <c r="J624" s="1" t="s">
        <v>88</v>
      </c>
      <c r="K624" s="1" t="s">
        <v>86</v>
      </c>
    </row>
    <row r="625" spans="1:11" x14ac:dyDescent="0.25">
      <c r="A625" s="1" t="s">
        <v>11</v>
      </c>
      <c r="B625" s="1">
        <v>187</v>
      </c>
      <c r="C625" s="1" t="s">
        <v>18</v>
      </c>
      <c r="D625" s="1">
        <v>2</v>
      </c>
      <c r="E625" s="1" t="s">
        <v>82</v>
      </c>
      <c r="F625" s="1">
        <v>0</v>
      </c>
      <c r="G625" s="1">
        <v>1</v>
      </c>
      <c r="H625" s="1" t="s">
        <v>83</v>
      </c>
      <c r="I625" s="1" t="s">
        <v>87</v>
      </c>
      <c r="J625" s="1" t="s">
        <v>88</v>
      </c>
      <c r="K625" s="1" t="s">
        <v>86</v>
      </c>
    </row>
    <row r="626" spans="1:11" x14ac:dyDescent="0.25">
      <c r="A626" s="1" t="s">
        <v>11</v>
      </c>
      <c r="B626" s="1">
        <v>189</v>
      </c>
      <c r="C626" s="1" t="s">
        <v>21</v>
      </c>
      <c r="D626" s="1">
        <v>1</v>
      </c>
      <c r="E626" s="1" t="s">
        <v>82</v>
      </c>
      <c r="F626" s="1">
        <v>19</v>
      </c>
      <c r="G626" s="1">
        <v>21</v>
      </c>
      <c r="H626" s="1" t="s">
        <v>83</v>
      </c>
      <c r="I626" s="1" t="s">
        <v>89</v>
      </c>
      <c r="J626" s="1" t="s">
        <v>90</v>
      </c>
      <c r="K626" s="1" t="s">
        <v>86</v>
      </c>
    </row>
    <row r="627" spans="1:11" x14ac:dyDescent="0.25">
      <c r="A627" s="1" t="s">
        <v>11</v>
      </c>
      <c r="B627" s="1">
        <v>190</v>
      </c>
      <c r="C627" s="1" t="s">
        <v>21</v>
      </c>
      <c r="D627" s="1">
        <v>2</v>
      </c>
      <c r="E627" s="1" t="s">
        <v>82</v>
      </c>
      <c r="F627" s="1">
        <v>0</v>
      </c>
      <c r="G627" s="1">
        <v>1</v>
      </c>
      <c r="H627" s="1" t="s">
        <v>83</v>
      </c>
      <c r="I627" s="1" t="s">
        <v>89</v>
      </c>
      <c r="J627" s="1" t="s">
        <v>90</v>
      </c>
      <c r="K627" s="1" t="s">
        <v>86</v>
      </c>
    </row>
    <row r="628" spans="1:11" x14ac:dyDescent="0.25">
      <c r="A628" s="1" t="s">
        <v>11</v>
      </c>
      <c r="B628" s="1">
        <v>192</v>
      </c>
      <c r="C628" s="1" t="s">
        <v>24</v>
      </c>
      <c r="D628" s="1">
        <v>1</v>
      </c>
      <c r="E628" s="1" t="s">
        <v>82</v>
      </c>
      <c r="F628" s="1">
        <v>19</v>
      </c>
      <c r="G628" s="1">
        <v>21</v>
      </c>
      <c r="H628" s="1" t="s">
        <v>83</v>
      </c>
      <c r="I628" s="1" t="s">
        <v>91</v>
      </c>
      <c r="J628" s="1" t="s">
        <v>92</v>
      </c>
      <c r="K628" s="1" t="s">
        <v>86</v>
      </c>
    </row>
    <row r="629" spans="1:11" x14ac:dyDescent="0.25">
      <c r="A629" s="1" t="s">
        <v>11</v>
      </c>
      <c r="B629" s="1">
        <v>193</v>
      </c>
      <c r="C629" s="1" t="s">
        <v>24</v>
      </c>
      <c r="D629" s="1">
        <v>2</v>
      </c>
      <c r="E629" s="1" t="s">
        <v>82</v>
      </c>
      <c r="F629" s="1">
        <v>0</v>
      </c>
      <c r="G629" s="1">
        <v>1</v>
      </c>
      <c r="H629" s="1" t="s">
        <v>83</v>
      </c>
      <c r="I629" s="1" t="s">
        <v>91</v>
      </c>
      <c r="J629" s="1" t="s">
        <v>92</v>
      </c>
      <c r="K629" s="1" t="s">
        <v>86</v>
      </c>
    </row>
    <row r="630" spans="1:11" x14ac:dyDescent="0.25">
      <c r="A630" s="1" t="s">
        <v>11</v>
      </c>
      <c r="B630" s="1">
        <v>195</v>
      </c>
      <c r="C630" s="1" t="s">
        <v>27</v>
      </c>
      <c r="D630" s="1">
        <v>1</v>
      </c>
      <c r="E630" s="1" t="s">
        <v>82</v>
      </c>
      <c r="F630" s="1">
        <v>21</v>
      </c>
      <c r="G630" s="1">
        <v>18</v>
      </c>
      <c r="H630" s="1" t="s">
        <v>83</v>
      </c>
      <c r="I630" s="1" t="s">
        <v>93</v>
      </c>
      <c r="J630" s="1" t="s">
        <v>94</v>
      </c>
      <c r="K630" s="1" t="s">
        <v>86</v>
      </c>
    </row>
    <row r="631" spans="1:11" x14ac:dyDescent="0.25">
      <c r="A631" s="1" t="s">
        <v>11</v>
      </c>
      <c r="B631" s="1">
        <v>196</v>
      </c>
      <c r="C631" s="1" t="s">
        <v>27</v>
      </c>
      <c r="D631" s="1">
        <v>2</v>
      </c>
      <c r="E631" s="1" t="s">
        <v>82</v>
      </c>
      <c r="F631" s="1">
        <v>1</v>
      </c>
      <c r="G631" s="1">
        <v>0</v>
      </c>
      <c r="H631" s="1" t="s">
        <v>83</v>
      </c>
      <c r="I631" s="1" t="s">
        <v>93</v>
      </c>
      <c r="J631" s="1" t="s">
        <v>94</v>
      </c>
      <c r="K631" s="1" t="s">
        <v>86</v>
      </c>
    </row>
    <row r="632" spans="1:11" x14ac:dyDescent="0.25">
      <c r="A632" s="1" t="s">
        <v>11</v>
      </c>
      <c r="B632" s="1">
        <v>201</v>
      </c>
      <c r="C632" s="1" t="s">
        <v>12</v>
      </c>
      <c r="D632" s="1">
        <v>1</v>
      </c>
      <c r="E632" s="1" t="s">
        <v>95</v>
      </c>
      <c r="F632" s="1">
        <v>14</v>
      </c>
      <c r="G632" s="1">
        <v>21</v>
      </c>
      <c r="H632" s="1" t="s">
        <v>96</v>
      </c>
      <c r="I632" s="1" t="s">
        <v>97</v>
      </c>
      <c r="J632" s="1" t="s">
        <v>98</v>
      </c>
      <c r="K632" s="1" t="s">
        <v>99</v>
      </c>
    </row>
    <row r="633" spans="1:11" x14ac:dyDescent="0.25">
      <c r="A633" s="1" t="s">
        <v>11</v>
      </c>
      <c r="B633" s="1">
        <v>202</v>
      </c>
      <c r="C633" s="1" t="s">
        <v>12</v>
      </c>
      <c r="D633" s="1">
        <v>2</v>
      </c>
      <c r="E633" s="1" t="s">
        <v>95</v>
      </c>
      <c r="F633" s="1">
        <v>0</v>
      </c>
      <c r="G633" s="1">
        <v>1</v>
      </c>
      <c r="H633" s="1" t="s">
        <v>96</v>
      </c>
      <c r="I633" s="1" t="s">
        <v>97</v>
      </c>
      <c r="J633" s="1" t="s">
        <v>98</v>
      </c>
      <c r="K633" s="1" t="s">
        <v>99</v>
      </c>
    </row>
    <row r="634" spans="1:11" x14ac:dyDescent="0.25">
      <c r="A634" s="1" t="s">
        <v>11</v>
      </c>
      <c r="B634" s="1">
        <v>204</v>
      </c>
      <c r="C634" s="1" t="s">
        <v>18</v>
      </c>
      <c r="D634" s="1">
        <v>1</v>
      </c>
      <c r="E634" s="1" t="s">
        <v>95</v>
      </c>
      <c r="F634" s="1">
        <v>21</v>
      </c>
      <c r="G634" s="1">
        <v>14</v>
      </c>
      <c r="H634" s="1" t="s">
        <v>96</v>
      </c>
      <c r="I634" s="1" t="s">
        <v>100</v>
      </c>
      <c r="J634" s="1" t="s">
        <v>101</v>
      </c>
      <c r="K634" s="1" t="s">
        <v>99</v>
      </c>
    </row>
    <row r="635" spans="1:11" x14ac:dyDescent="0.25">
      <c r="A635" s="1" t="s">
        <v>11</v>
      </c>
      <c r="B635" s="1">
        <v>205</v>
      </c>
      <c r="C635" s="1" t="s">
        <v>18</v>
      </c>
      <c r="D635" s="1">
        <v>2</v>
      </c>
      <c r="E635" s="1" t="s">
        <v>95</v>
      </c>
      <c r="F635" s="1">
        <v>1</v>
      </c>
      <c r="G635" s="1">
        <v>0</v>
      </c>
      <c r="H635" s="1" t="s">
        <v>96</v>
      </c>
      <c r="I635" s="1" t="s">
        <v>100</v>
      </c>
      <c r="J635" s="1" t="s">
        <v>101</v>
      </c>
      <c r="K635" s="1" t="s">
        <v>99</v>
      </c>
    </row>
    <row r="636" spans="1:11" x14ac:dyDescent="0.25">
      <c r="A636" s="1" t="s">
        <v>11</v>
      </c>
      <c r="B636" s="1">
        <v>207</v>
      </c>
      <c r="C636" s="1" t="s">
        <v>21</v>
      </c>
      <c r="D636" s="1">
        <v>1</v>
      </c>
      <c r="E636" s="1" t="s">
        <v>95</v>
      </c>
      <c r="F636" s="1">
        <v>21</v>
      </c>
      <c r="G636" s="1">
        <v>16</v>
      </c>
      <c r="H636" s="1" t="s">
        <v>96</v>
      </c>
      <c r="I636" s="1" t="s">
        <v>102</v>
      </c>
      <c r="J636" s="1" t="s">
        <v>103</v>
      </c>
      <c r="K636" s="1" t="s">
        <v>99</v>
      </c>
    </row>
    <row r="637" spans="1:11" x14ac:dyDescent="0.25">
      <c r="A637" s="1" t="s">
        <v>11</v>
      </c>
      <c r="B637" s="1">
        <v>208</v>
      </c>
      <c r="C637" s="1" t="s">
        <v>21</v>
      </c>
      <c r="D637" s="1">
        <v>2</v>
      </c>
      <c r="E637" s="1" t="s">
        <v>95</v>
      </c>
      <c r="F637" s="1">
        <v>1</v>
      </c>
      <c r="G637" s="1">
        <v>0</v>
      </c>
      <c r="H637" s="1" t="s">
        <v>96</v>
      </c>
      <c r="I637" s="1" t="s">
        <v>102</v>
      </c>
      <c r="J637" s="1" t="s">
        <v>103</v>
      </c>
      <c r="K637" s="1" t="s">
        <v>99</v>
      </c>
    </row>
    <row r="638" spans="1:11" x14ac:dyDescent="0.25">
      <c r="A638" s="1" t="s">
        <v>11</v>
      </c>
      <c r="B638" s="1">
        <v>210</v>
      </c>
      <c r="C638" s="1" t="s">
        <v>24</v>
      </c>
      <c r="D638" s="1">
        <v>1</v>
      </c>
      <c r="E638" s="1" t="s">
        <v>95</v>
      </c>
      <c r="F638" s="1">
        <v>16</v>
      </c>
      <c r="G638" s="1">
        <v>21</v>
      </c>
      <c r="H638" s="1" t="s">
        <v>96</v>
      </c>
      <c r="I638" s="1" t="s">
        <v>104</v>
      </c>
      <c r="J638" s="1" t="s">
        <v>105</v>
      </c>
      <c r="K638" s="1" t="s">
        <v>99</v>
      </c>
    </row>
    <row r="639" spans="1:11" x14ac:dyDescent="0.25">
      <c r="A639" s="1" t="s">
        <v>11</v>
      </c>
      <c r="B639" s="1">
        <v>211</v>
      </c>
      <c r="C639" s="1" t="s">
        <v>24</v>
      </c>
      <c r="D639" s="1">
        <v>2</v>
      </c>
      <c r="E639" s="1" t="s">
        <v>95</v>
      </c>
      <c r="F639" s="1">
        <v>0</v>
      </c>
      <c r="G639" s="1">
        <v>1</v>
      </c>
      <c r="H639" s="1" t="s">
        <v>96</v>
      </c>
      <c r="I639" s="1" t="s">
        <v>104</v>
      </c>
      <c r="J639" s="1" t="s">
        <v>105</v>
      </c>
      <c r="K639" s="1" t="s">
        <v>99</v>
      </c>
    </row>
    <row r="640" spans="1:11" x14ac:dyDescent="0.25">
      <c r="A640" s="1" t="s">
        <v>11</v>
      </c>
      <c r="B640" s="1">
        <v>213</v>
      </c>
      <c r="C640" s="1" t="s">
        <v>27</v>
      </c>
      <c r="D640" s="1">
        <v>1</v>
      </c>
      <c r="E640" s="1" t="s">
        <v>95</v>
      </c>
      <c r="F640" s="1">
        <v>21</v>
      </c>
      <c r="G640" s="1">
        <v>15</v>
      </c>
      <c r="H640" s="1" t="s">
        <v>96</v>
      </c>
      <c r="I640" s="1" t="s">
        <v>106</v>
      </c>
      <c r="J640" s="1" t="s">
        <v>107</v>
      </c>
      <c r="K640" s="1" t="s">
        <v>99</v>
      </c>
    </row>
    <row r="641" spans="1:11" x14ac:dyDescent="0.25">
      <c r="A641" s="1" t="s">
        <v>11</v>
      </c>
      <c r="B641" s="1">
        <v>214</v>
      </c>
      <c r="C641" s="1" t="s">
        <v>27</v>
      </c>
      <c r="D641" s="1">
        <v>2</v>
      </c>
      <c r="E641" s="1" t="s">
        <v>95</v>
      </c>
      <c r="F641" s="1">
        <v>1</v>
      </c>
      <c r="G641" s="1">
        <v>0</v>
      </c>
      <c r="H641" s="1" t="s">
        <v>96</v>
      </c>
      <c r="I641" s="1" t="s">
        <v>106</v>
      </c>
      <c r="J641" s="1" t="s">
        <v>107</v>
      </c>
      <c r="K641" s="1" t="s">
        <v>99</v>
      </c>
    </row>
    <row r="642" spans="1:11" x14ac:dyDescent="0.25">
      <c r="A642" s="1" t="s">
        <v>11</v>
      </c>
      <c r="B642" s="1">
        <v>219</v>
      </c>
      <c r="C642" s="1" t="s">
        <v>12</v>
      </c>
      <c r="D642" s="1">
        <v>1</v>
      </c>
      <c r="E642" s="1" t="s">
        <v>108</v>
      </c>
      <c r="F642" s="1">
        <v>15</v>
      </c>
      <c r="G642" s="1">
        <v>21</v>
      </c>
      <c r="H642" s="1" t="s">
        <v>109</v>
      </c>
      <c r="I642" s="1" t="s">
        <v>110</v>
      </c>
      <c r="J642" s="1" t="s">
        <v>111</v>
      </c>
      <c r="K642" s="1" t="s">
        <v>112</v>
      </c>
    </row>
    <row r="643" spans="1:11" x14ac:dyDescent="0.25">
      <c r="A643" s="1" t="s">
        <v>11</v>
      </c>
      <c r="B643" s="1">
        <v>220</v>
      </c>
      <c r="C643" s="1" t="s">
        <v>12</v>
      </c>
      <c r="D643" s="1">
        <v>2</v>
      </c>
      <c r="E643" s="1" t="s">
        <v>108</v>
      </c>
      <c r="F643" s="1">
        <v>0</v>
      </c>
      <c r="G643" s="1">
        <v>1</v>
      </c>
      <c r="H643" s="1" t="s">
        <v>109</v>
      </c>
      <c r="I643" s="1" t="s">
        <v>110</v>
      </c>
      <c r="J643" s="1" t="s">
        <v>111</v>
      </c>
      <c r="K643" s="1" t="s">
        <v>112</v>
      </c>
    </row>
    <row r="644" spans="1:11" x14ac:dyDescent="0.25">
      <c r="A644" s="1" t="s">
        <v>11</v>
      </c>
      <c r="B644" s="1">
        <v>222</v>
      </c>
      <c r="C644" s="1" t="s">
        <v>18</v>
      </c>
      <c r="D644" s="1">
        <v>1</v>
      </c>
      <c r="E644" s="1" t="s">
        <v>108</v>
      </c>
      <c r="F644" s="1">
        <v>19</v>
      </c>
      <c r="G644" s="1">
        <v>21</v>
      </c>
      <c r="H644" s="1" t="s">
        <v>109</v>
      </c>
      <c r="I644" s="1" t="s">
        <v>113</v>
      </c>
      <c r="J644" s="1" t="s">
        <v>114</v>
      </c>
      <c r="K644" s="1" t="s">
        <v>112</v>
      </c>
    </row>
    <row r="645" spans="1:11" x14ac:dyDescent="0.25">
      <c r="A645" s="1" t="s">
        <v>11</v>
      </c>
      <c r="B645" s="1">
        <v>223</v>
      </c>
      <c r="C645" s="1" t="s">
        <v>18</v>
      </c>
      <c r="D645" s="1">
        <v>2</v>
      </c>
      <c r="E645" s="1" t="s">
        <v>108</v>
      </c>
      <c r="F645" s="1">
        <v>0</v>
      </c>
      <c r="G645" s="1">
        <v>1</v>
      </c>
      <c r="H645" s="1" t="s">
        <v>109</v>
      </c>
      <c r="I645" s="1" t="s">
        <v>113</v>
      </c>
      <c r="J645" s="1" t="s">
        <v>114</v>
      </c>
      <c r="K645" s="1" t="s">
        <v>112</v>
      </c>
    </row>
    <row r="646" spans="1:11" x14ac:dyDescent="0.25">
      <c r="A646" s="1" t="s">
        <v>11</v>
      </c>
      <c r="B646" s="1">
        <v>225</v>
      </c>
      <c r="C646" s="1" t="s">
        <v>21</v>
      </c>
      <c r="D646" s="1">
        <v>1</v>
      </c>
      <c r="E646" s="1" t="s">
        <v>108</v>
      </c>
      <c r="F646" s="1">
        <v>15</v>
      </c>
      <c r="G646" s="1">
        <v>21</v>
      </c>
      <c r="H646" s="1" t="s">
        <v>109</v>
      </c>
      <c r="I646" s="1" t="s">
        <v>115</v>
      </c>
      <c r="J646" s="1" t="s">
        <v>116</v>
      </c>
      <c r="K646" s="1" t="s">
        <v>112</v>
      </c>
    </row>
    <row r="647" spans="1:11" x14ac:dyDescent="0.25">
      <c r="A647" s="1" t="s">
        <v>11</v>
      </c>
      <c r="B647" s="1">
        <v>226</v>
      </c>
      <c r="C647" s="1" t="s">
        <v>21</v>
      </c>
      <c r="D647" s="1">
        <v>2</v>
      </c>
      <c r="E647" s="1" t="s">
        <v>108</v>
      </c>
      <c r="F647" s="1">
        <v>0</v>
      </c>
      <c r="G647" s="1">
        <v>1</v>
      </c>
      <c r="H647" s="1" t="s">
        <v>109</v>
      </c>
      <c r="I647" s="1" t="s">
        <v>115</v>
      </c>
      <c r="J647" s="1" t="s">
        <v>116</v>
      </c>
      <c r="K647" s="1" t="s">
        <v>112</v>
      </c>
    </row>
    <row r="648" spans="1:11" x14ac:dyDescent="0.25">
      <c r="A648" s="1" t="s">
        <v>11</v>
      </c>
      <c r="B648" s="1">
        <v>228</v>
      </c>
      <c r="C648" s="1" t="s">
        <v>24</v>
      </c>
      <c r="D648" s="1">
        <v>1</v>
      </c>
      <c r="E648" s="1" t="s">
        <v>108</v>
      </c>
      <c r="F648" s="1">
        <v>17</v>
      </c>
      <c r="G648" s="1">
        <v>21</v>
      </c>
      <c r="H648" s="1" t="s">
        <v>109</v>
      </c>
      <c r="I648" s="1" t="s">
        <v>117</v>
      </c>
      <c r="J648" s="1" t="s">
        <v>118</v>
      </c>
      <c r="K648" s="1" t="s">
        <v>112</v>
      </c>
    </row>
    <row r="649" spans="1:11" x14ac:dyDescent="0.25">
      <c r="A649" s="1" t="s">
        <v>11</v>
      </c>
      <c r="B649" s="1">
        <v>229</v>
      </c>
      <c r="C649" s="1" t="s">
        <v>24</v>
      </c>
      <c r="D649" s="1">
        <v>2</v>
      </c>
      <c r="E649" s="1" t="s">
        <v>108</v>
      </c>
      <c r="F649" s="1">
        <v>0</v>
      </c>
      <c r="G649" s="1">
        <v>1</v>
      </c>
      <c r="H649" s="1" t="s">
        <v>109</v>
      </c>
      <c r="I649" s="1" t="s">
        <v>117</v>
      </c>
      <c r="J649" s="1" t="s">
        <v>118</v>
      </c>
      <c r="K649" s="1" t="s">
        <v>112</v>
      </c>
    </row>
    <row r="650" spans="1:11" x14ac:dyDescent="0.25">
      <c r="A650" s="1" t="s">
        <v>11</v>
      </c>
      <c r="B650" s="1">
        <v>231</v>
      </c>
      <c r="C650" s="1" t="s">
        <v>27</v>
      </c>
      <c r="D650" s="1">
        <v>1</v>
      </c>
      <c r="E650" s="1" t="s">
        <v>108</v>
      </c>
      <c r="F650" s="1">
        <v>17</v>
      </c>
      <c r="G650" s="1">
        <v>21</v>
      </c>
      <c r="H650" s="1" t="s">
        <v>109</v>
      </c>
      <c r="I650" s="1" t="s">
        <v>119</v>
      </c>
      <c r="J650" s="1" t="s">
        <v>120</v>
      </c>
      <c r="K650" s="1" t="s">
        <v>112</v>
      </c>
    </row>
    <row r="651" spans="1:11" x14ac:dyDescent="0.25">
      <c r="A651" s="1" t="s">
        <v>11</v>
      </c>
      <c r="B651" s="1">
        <v>232</v>
      </c>
      <c r="C651" s="1" t="s">
        <v>27</v>
      </c>
      <c r="D651" s="1">
        <v>2</v>
      </c>
      <c r="E651" s="1" t="s">
        <v>108</v>
      </c>
      <c r="F651" s="1">
        <v>0</v>
      </c>
      <c r="G651" s="1">
        <v>1</v>
      </c>
      <c r="H651" s="1" t="s">
        <v>109</v>
      </c>
      <c r="I651" s="1" t="s">
        <v>119</v>
      </c>
      <c r="J651" s="1" t="s">
        <v>120</v>
      </c>
      <c r="K651" s="1" t="s">
        <v>112</v>
      </c>
    </row>
    <row r="652" spans="1:11" x14ac:dyDescent="0.25">
      <c r="A652" s="1" t="s">
        <v>11</v>
      </c>
      <c r="B652" s="1">
        <v>237</v>
      </c>
      <c r="C652" s="1" t="s">
        <v>12</v>
      </c>
      <c r="D652" s="1">
        <v>1</v>
      </c>
      <c r="E652" s="1" t="s">
        <v>121</v>
      </c>
      <c r="F652" s="1">
        <v>1</v>
      </c>
      <c r="G652" s="1">
        <v>0</v>
      </c>
      <c r="H652" s="1" t="s">
        <v>122</v>
      </c>
      <c r="I652" s="1" t="s">
        <v>123</v>
      </c>
      <c r="J652" s="1" t="s">
        <v>124</v>
      </c>
      <c r="K652" s="1" t="s">
        <v>125</v>
      </c>
    </row>
    <row r="653" spans="1:11" x14ac:dyDescent="0.25">
      <c r="A653" s="1" t="s">
        <v>11</v>
      </c>
      <c r="B653" s="1">
        <v>238</v>
      </c>
      <c r="C653" s="1" t="s">
        <v>12</v>
      </c>
      <c r="D653" s="1">
        <v>2</v>
      </c>
      <c r="E653" s="1" t="s">
        <v>121</v>
      </c>
      <c r="F653" s="1">
        <v>1</v>
      </c>
      <c r="G653" s="1">
        <v>0</v>
      </c>
      <c r="H653" s="1" t="s">
        <v>122</v>
      </c>
      <c r="I653" s="1" t="s">
        <v>123</v>
      </c>
      <c r="J653" s="1" t="s">
        <v>124</v>
      </c>
      <c r="K653" s="1" t="s">
        <v>125</v>
      </c>
    </row>
    <row r="654" spans="1:11" x14ac:dyDescent="0.25">
      <c r="A654" s="1" t="s">
        <v>11</v>
      </c>
      <c r="B654" s="1">
        <v>240</v>
      </c>
      <c r="C654" s="1" t="s">
        <v>18</v>
      </c>
      <c r="D654" s="1">
        <v>1</v>
      </c>
      <c r="E654" s="1" t="s">
        <v>121</v>
      </c>
      <c r="F654" s="1">
        <v>1</v>
      </c>
      <c r="G654" s="1">
        <v>0</v>
      </c>
      <c r="H654" s="1" t="s">
        <v>122</v>
      </c>
      <c r="I654" s="1" t="s">
        <v>126</v>
      </c>
      <c r="J654" s="1" t="s">
        <v>127</v>
      </c>
      <c r="K654" s="1" t="s">
        <v>125</v>
      </c>
    </row>
    <row r="655" spans="1:11" x14ac:dyDescent="0.25">
      <c r="A655" s="1" t="s">
        <v>11</v>
      </c>
      <c r="B655" s="1">
        <v>241</v>
      </c>
      <c r="C655" s="1" t="s">
        <v>18</v>
      </c>
      <c r="D655" s="1">
        <v>2</v>
      </c>
      <c r="E655" s="1" t="s">
        <v>121</v>
      </c>
      <c r="F655" s="1">
        <v>1</v>
      </c>
      <c r="G655" s="1">
        <v>0</v>
      </c>
      <c r="H655" s="1" t="s">
        <v>122</v>
      </c>
      <c r="I655" s="1" t="s">
        <v>126</v>
      </c>
      <c r="J655" s="1" t="s">
        <v>127</v>
      </c>
      <c r="K655" s="1" t="s">
        <v>125</v>
      </c>
    </row>
    <row r="656" spans="1:11" x14ac:dyDescent="0.25">
      <c r="A656" s="1" t="s">
        <v>11</v>
      </c>
      <c r="B656" s="1">
        <v>243</v>
      </c>
      <c r="C656" s="1" t="s">
        <v>21</v>
      </c>
      <c r="D656" s="1">
        <v>1</v>
      </c>
      <c r="E656" s="1" t="s">
        <v>121</v>
      </c>
      <c r="F656" s="1">
        <v>1</v>
      </c>
      <c r="G656" s="1">
        <v>0</v>
      </c>
      <c r="H656" s="1" t="s">
        <v>122</v>
      </c>
      <c r="I656" s="1" t="s">
        <v>128</v>
      </c>
      <c r="J656" s="1" t="s">
        <v>129</v>
      </c>
      <c r="K656" s="1" t="s">
        <v>125</v>
      </c>
    </row>
    <row r="657" spans="1:11" x14ac:dyDescent="0.25">
      <c r="A657" s="1" t="s">
        <v>11</v>
      </c>
      <c r="B657" s="1">
        <v>244</v>
      </c>
      <c r="C657" s="1" t="s">
        <v>21</v>
      </c>
      <c r="D657" s="1">
        <v>2</v>
      </c>
      <c r="E657" s="1" t="s">
        <v>121</v>
      </c>
      <c r="F657" s="1">
        <v>1</v>
      </c>
      <c r="G657" s="1">
        <v>0</v>
      </c>
      <c r="H657" s="1" t="s">
        <v>122</v>
      </c>
      <c r="I657" s="1" t="s">
        <v>128</v>
      </c>
      <c r="J657" s="1" t="s">
        <v>129</v>
      </c>
      <c r="K657" s="1" t="s">
        <v>125</v>
      </c>
    </row>
    <row r="658" spans="1:11" x14ac:dyDescent="0.25">
      <c r="A658" s="1" t="s">
        <v>11</v>
      </c>
      <c r="B658" s="1">
        <v>246</v>
      </c>
      <c r="C658" s="1" t="s">
        <v>24</v>
      </c>
      <c r="D658" s="1">
        <v>1</v>
      </c>
      <c r="E658" s="1" t="s">
        <v>121</v>
      </c>
      <c r="F658" s="1">
        <v>1</v>
      </c>
      <c r="G658" s="1">
        <v>0</v>
      </c>
      <c r="H658" s="1" t="s">
        <v>122</v>
      </c>
      <c r="I658" s="1" t="s">
        <v>130</v>
      </c>
      <c r="J658" s="1" t="s">
        <v>131</v>
      </c>
      <c r="K658" s="1" t="s">
        <v>125</v>
      </c>
    </row>
    <row r="659" spans="1:11" x14ac:dyDescent="0.25">
      <c r="A659" s="1" t="s">
        <v>11</v>
      </c>
      <c r="B659" s="1">
        <v>247</v>
      </c>
      <c r="C659" s="1" t="s">
        <v>24</v>
      </c>
      <c r="D659" s="1">
        <v>2</v>
      </c>
      <c r="E659" s="1" t="s">
        <v>121</v>
      </c>
      <c r="F659" s="1">
        <v>1</v>
      </c>
      <c r="G659" s="1">
        <v>0</v>
      </c>
      <c r="H659" s="1" t="s">
        <v>122</v>
      </c>
      <c r="I659" s="1" t="s">
        <v>130</v>
      </c>
      <c r="J659" s="1" t="s">
        <v>131</v>
      </c>
      <c r="K659" s="1" t="s">
        <v>125</v>
      </c>
    </row>
    <row r="660" spans="1:11" x14ac:dyDescent="0.25">
      <c r="A660" s="1" t="s">
        <v>11</v>
      </c>
      <c r="B660" s="1">
        <v>249</v>
      </c>
      <c r="C660" s="1" t="s">
        <v>27</v>
      </c>
      <c r="D660" s="1">
        <v>1</v>
      </c>
      <c r="E660" s="1" t="s">
        <v>121</v>
      </c>
      <c r="F660" s="1">
        <v>1</v>
      </c>
      <c r="G660" s="1">
        <v>0</v>
      </c>
      <c r="H660" s="1" t="s">
        <v>122</v>
      </c>
      <c r="I660" s="1" t="s">
        <v>132</v>
      </c>
      <c r="J660" s="1" t="s">
        <v>133</v>
      </c>
      <c r="K660" s="1" t="s">
        <v>125</v>
      </c>
    </row>
    <row r="661" spans="1:11" x14ac:dyDescent="0.25">
      <c r="A661" s="1" t="s">
        <v>11</v>
      </c>
      <c r="B661" s="1">
        <v>250</v>
      </c>
      <c r="C661" s="1" t="s">
        <v>27</v>
      </c>
      <c r="D661" s="1">
        <v>2</v>
      </c>
      <c r="E661" s="1" t="s">
        <v>121</v>
      </c>
      <c r="F661" s="1">
        <v>1</v>
      </c>
      <c r="G661" s="1">
        <v>0</v>
      </c>
      <c r="H661" s="1" t="s">
        <v>122</v>
      </c>
      <c r="I661" s="1" t="s">
        <v>132</v>
      </c>
      <c r="J661" s="1" t="s">
        <v>133</v>
      </c>
      <c r="K661" s="1" t="s">
        <v>125</v>
      </c>
    </row>
    <row r="662" spans="1:11" x14ac:dyDescent="0.25">
      <c r="A662" s="1" t="s">
        <v>11</v>
      </c>
      <c r="B662" s="1">
        <v>255</v>
      </c>
      <c r="C662" s="1" t="s">
        <v>12</v>
      </c>
      <c r="D662" s="1">
        <v>1</v>
      </c>
      <c r="E662" s="1" t="s">
        <v>134</v>
      </c>
      <c r="F662" s="1">
        <v>1</v>
      </c>
      <c r="G662" s="1">
        <v>0</v>
      </c>
      <c r="H662" s="1" t="s">
        <v>135</v>
      </c>
      <c r="I662" s="1" t="s">
        <v>136</v>
      </c>
      <c r="J662" s="1" t="s">
        <v>137</v>
      </c>
      <c r="K662" s="1" t="s">
        <v>138</v>
      </c>
    </row>
    <row r="663" spans="1:11" x14ac:dyDescent="0.25">
      <c r="A663" s="1" t="s">
        <v>11</v>
      </c>
      <c r="B663" s="1">
        <v>256</v>
      </c>
      <c r="C663" s="1" t="s">
        <v>12</v>
      </c>
      <c r="D663" s="1">
        <v>2</v>
      </c>
      <c r="E663" s="1" t="s">
        <v>134</v>
      </c>
      <c r="F663" s="1">
        <v>1</v>
      </c>
      <c r="G663" s="1">
        <v>0</v>
      </c>
      <c r="H663" s="1" t="s">
        <v>135</v>
      </c>
      <c r="I663" s="1" t="s">
        <v>136</v>
      </c>
      <c r="J663" s="1" t="s">
        <v>137</v>
      </c>
      <c r="K663" s="1" t="s">
        <v>138</v>
      </c>
    </row>
    <row r="664" spans="1:11" x14ac:dyDescent="0.25">
      <c r="A664" s="1" t="s">
        <v>11</v>
      </c>
      <c r="B664" s="1">
        <v>258</v>
      </c>
      <c r="C664" s="1" t="s">
        <v>18</v>
      </c>
      <c r="D664" s="1">
        <v>1</v>
      </c>
      <c r="E664" s="1" t="s">
        <v>134</v>
      </c>
      <c r="F664" s="1">
        <v>1</v>
      </c>
      <c r="G664" s="1">
        <v>0</v>
      </c>
      <c r="H664" s="1" t="s">
        <v>135</v>
      </c>
      <c r="I664" s="1" t="s">
        <v>139</v>
      </c>
      <c r="J664" s="1" t="s">
        <v>140</v>
      </c>
      <c r="K664" s="1" t="s">
        <v>138</v>
      </c>
    </row>
    <row r="665" spans="1:11" x14ac:dyDescent="0.25">
      <c r="A665" s="1" t="s">
        <v>11</v>
      </c>
      <c r="B665" s="1">
        <v>259</v>
      </c>
      <c r="C665" s="1" t="s">
        <v>18</v>
      </c>
      <c r="D665" s="1">
        <v>2</v>
      </c>
      <c r="E665" s="1" t="s">
        <v>134</v>
      </c>
      <c r="F665" s="1">
        <v>1</v>
      </c>
      <c r="G665" s="1">
        <v>0</v>
      </c>
      <c r="H665" s="1" t="s">
        <v>135</v>
      </c>
      <c r="I665" s="1" t="s">
        <v>139</v>
      </c>
      <c r="J665" s="1" t="s">
        <v>140</v>
      </c>
      <c r="K665" s="1" t="s">
        <v>138</v>
      </c>
    </row>
    <row r="666" spans="1:11" x14ac:dyDescent="0.25">
      <c r="A666" s="1" t="s">
        <v>11</v>
      </c>
      <c r="B666" s="1">
        <v>261</v>
      </c>
      <c r="C666" s="1" t="s">
        <v>21</v>
      </c>
      <c r="D666" s="1">
        <v>1</v>
      </c>
      <c r="E666" s="1" t="s">
        <v>134</v>
      </c>
      <c r="F666" s="1">
        <v>1</v>
      </c>
      <c r="G666" s="1">
        <v>0</v>
      </c>
      <c r="H666" s="1" t="s">
        <v>135</v>
      </c>
      <c r="I666" s="1" t="s">
        <v>141</v>
      </c>
      <c r="J666" s="1" t="s">
        <v>142</v>
      </c>
      <c r="K666" s="1" t="s">
        <v>138</v>
      </c>
    </row>
    <row r="667" spans="1:11" x14ac:dyDescent="0.25">
      <c r="A667" s="1" t="s">
        <v>11</v>
      </c>
      <c r="B667" s="1">
        <v>262</v>
      </c>
      <c r="C667" s="1" t="s">
        <v>21</v>
      </c>
      <c r="D667" s="1">
        <v>2</v>
      </c>
      <c r="E667" s="1" t="s">
        <v>134</v>
      </c>
      <c r="F667" s="1">
        <v>1</v>
      </c>
      <c r="G667" s="1">
        <v>0</v>
      </c>
      <c r="H667" s="1" t="s">
        <v>135</v>
      </c>
      <c r="I667" s="1" t="s">
        <v>141</v>
      </c>
      <c r="J667" s="1" t="s">
        <v>142</v>
      </c>
      <c r="K667" s="1" t="s">
        <v>138</v>
      </c>
    </row>
    <row r="668" spans="1:11" x14ac:dyDescent="0.25">
      <c r="A668" s="1" t="s">
        <v>11</v>
      </c>
      <c r="B668" s="1">
        <v>264</v>
      </c>
      <c r="C668" s="1" t="s">
        <v>24</v>
      </c>
      <c r="D668" s="1">
        <v>1</v>
      </c>
      <c r="E668" s="1" t="s">
        <v>134</v>
      </c>
      <c r="F668" s="1">
        <v>1</v>
      </c>
      <c r="G668" s="1">
        <v>0</v>
      </c>
      <c r="H668" s="1" t="s">
        <v>135</v>
      </c>
      <c r="I668" s="1" t="s">
        <v>143</v>
      </c>
      <c r="J668" s="1" t="s">
        <v>144</v>
      </c>
      <c r="K668" s="1" t="s">
        <v>138</v>
      </c>
    </row>
    <row r="669" spans="1:11" x14ac:dyDescent="0.25">
      <c r="A669" s="1" t="s">
        <v>11</v>
      </c>
      <c r="B669" s="1">
        <v>265</v>
      </c>
      <c r="C669" s="1" t="s">
        <v>24</v>
      </c>
      <c r="D669" s="1">
        <v>2</v>
      </c>
      <c r="E669" s="1" t="s">
        <v>134</v>
      </c>
      <c r="F669" s="1">
        <v>1</v>
      </c>
      <c r="G669" s="1">
        <v>0</v>
      </c>
      <c r="H669" s="1" t="s">
        <v>135</v>
      </c>
      <c r="I669" s="1" t="s">
        <v>143</v>
      </c>
      <c r="J669" s="1" t="s">
        <v>144</v>
      </c>
      <c r="K669" s="1" t="s">
        <v>138</v>
      </c>
    </row>
    <row r="670" spans="1:11" x14ac:dyDescent="0.25">
      <c r="A670" s="1" t="s">
        <v>11</v>
      </c>
      <c r="B670" s="1">
        <v>267</v>
      </c>
      <c r="C670" s="1" t="s">
        <v>27</v>
      </c>
      <c r="D670" s="1">
        <v>1</v>
      </c>
      <c r="E670" s="1" t="s">
        <v>134</v>
      </c>
      <c r="F670" s="1">
        <v>0</v>
      </c>
      <c r="G670" s="1">
        <v>1</v>
      </c>
      <c r="H670" s="1" t="s">
        <v>135</v>
      </c>
      <c r="I670" s="1" t="s">
        <v>145</v>
      </c>
      <c r="J670" s="1"/>
      <c r="K670" s="1" t="s">
        <v>138</v>
      </c>
    </row>
    <row r="671" spans="1:11" x14ac:dyDescent="0.25">
      <c r="A671" s="1" t="s">
        <v>11</v>
      </c>
      <c r="B671" s="1">
        <v>268</v>
      </c>
      <c r="C671" s="1" t="s">
        <v>27</v>
      </c>
      <c r="D671" s="1">
        <v>2</v>
      </c>
      <c r="E671" s="1" t="s">
        <v>134</v>
      </c>
      <c r="F671" s="1">
        <v>0</v>
      </c>
      <c r="G671" s="1">
        <v>1</v>
      </c>
      <c r="H671" s="1" t="s">
        <v>135</v>
      </c>
      <c r="I671" s="1" t="s">
        <v>145</v>
      </c>
      <c r="J671" s="1"/>
      <c r="K671" s="1" t="s">
        <v>138</v>
      </c>
    </row>
    <row r="672" spans="1:11" x14ac:dyDescent="0.25">
      <c r="A672" s="1" t="s">
        <v>11</v>
      </c>
      <c r="B672" s="1">
        <v>21</v>
      </c>
      <c r="C672" s="1" t="s">
        <v>12</v>
      </c>
      <c r="D672" s="1">
        <v>1</v>
      </c>
      <c r="E672" s="1" t="s">
        <v>146</v>
      </c>
      <c r="F672" s="1">
        <v>1</v>
      </c>
      <c r="G672" s="1">
        <v>0</v>
      </c>
      <c r="H672" s="1" t="s">
        <v>147</v>
      </c>
      <c r="I672" s="1" t="s">
        <v>148</v>
      </c>
      <c r="J672" s="1" t="s">
        <v>149</v>
      </c>
      <c r="K672" s="1" t="s">
        <v>150</v>
      </c>
    </row>
    <row r="673" spans="1:11" x14ac:dyDescent="0.25">
      <c r="A673" s="1" t="s">
        <v>11</v>
      </c>
      <c r="B673" s="1">
        <v>22</v>
      </c>
      <c r="C673" s="1" t="s">
        <v>12</v>
      </c>
      <c r="D673" s="1">
        <v>2</v>
      </c>
      <c r="E673" s="1" t="s">
        <v>146</v>
      </c>
      <c r="F673" s="1">
        <v>1</v>
      </c>
      <c r="G673" s="1">
        <v>0</v>
      </c>
      <c r="H673" s="1" t="s">
        <v>147</v>
      </c>
      <c r="I673" s="1" t="s">
        <v>148</v>
      </c>
      <c r="J673" s="1" t="s">
        <v>149</v>
      </c>
      <c r="K673" s="1" t="s">
        <v>150</v>
      </c>
    </row>
    <row r="674" spans="1:11" x14ac:dyDescent="0.25">
      <c r="A674" s="1" t="s">
        <v>11</v>
      </c>
      <c r="B674" s="1">
        <v>24</v>
      </c>
      <c r="C674" s="1" t="s">
        <v>18</v>
      </c>
      <c r="D674" s="1">
        <v>1</v>
      </c>
      <c r="E674" s="1" t="s">
        <v>146</v>
      </c>
      <c r="F674" s="1">
        <v>1</v>
      </c>
      <c r="G674" s="1">
        <v>0</v>
      </c>
      <c r="H674" s="1" t="s">
        <v>147</v>
      </c>
      <c r="I674" s="1" t="s">
        <v>151</v>
      </c>
      <c r="J674" s="1" t="s">
        <v>152</v>
      </c>
      <c r="K674" s="1" t="s">
        <v>150</v>
      </c>
    </row>
    <row r="675" spans="1:11" x14ac:dyDescent="0.25">
      <c r="A675" s="1" t="s">
        <v>11</v>
      </c>
      <c r="B675" s="1">
        <v>25</v>
      </c>
      <c r="C675" s="1" t="s">
        <v>18</v>
      </c>
      <c r="D675" s="1">
        <v>2</v>
      </c>
      <c r="E675" s="1" t="s">
        <v>146</v>
      </c>
      <c r="F675" s="1">
        <v>1</v>
      </c>
      <c r="G675" s="1">
        <v>0</v>
      </c>
      <c r="H675" s="1" t="s">
        <v>147</v>
      </c>
      <c r="I675" s="1" t="s">
        <v>151</v>
      </c>
      <c r="J675" s="1" t="s">
        <v>152</v>
      </c>
      <c r="K675" s="1" t="s">
        <v>150</v>
      </c>
    </row>
    <row r="676" spans="1:11" x14ac:dyDescent="0.25">
      <c r="A676" s="1" t="s">
        <v>11</v>
      </c>
      <c r="B676" s="1">
        <v>27</v>
      </c>
      <c r="C676" s="1" t="s">
        <v>21</v>
      </c>
      <c r="D676" s="1">
        <v>1</v>
      </c>
      <c r="E676" s="1" t="s">
        <v>146</v>
      </c>
      <c r="F676" s="1">
        <v>1</v>
      </c>
      <c r="G676" s="1">
        <v>0</v>
      </c>
      <c r="H676" s="1" t="s">
        <v>147</v>
      </c>
      <c r="I676" s="1" t="s">
        <v>153</v>
      </c>
      <c r="J676" s="1" t="s">
        <v>154</v>
      </c>
      <c r="K676" s="1" t="s">
        <v>150</v>
      </c>
    </row>
    <row r="677" spans="1:11" x14ac:dyDescent="0.25">
      <c r="A677" s="1" t="s">
        <v>11</v>
      </c>
      <c r="B677" s="1">
        <v>28</v>
      </c>
      <c r="C677" s="1" t="s">
        <v>21</v>
      </c>
      <c r="D677" s="1">
        <v>2</v>
      </c>
      <c r="E677" s="1" t="s">
        <v>146</v>
      </c>
      <c r="F677" s="1">
        <v>1</v>
      </c>
      <c r="G677" s="1">
        <v>0</v>
      </c>
      <c r="H677" s="1" t="s">
        <v>147</v>
      </c>
      <c r="I677" s="1" t="s">
        <v>153</v>
      </c>
      <c r="J677" s="1" t="s">
        <v>154</v>
      </c>
      <c r="K677" s="1" t="s">
        <v>150</v>
      </c>
    </row>
    <row r="678" spans="1:11" x14ac:dyDescent="0.25">
      <c r="A678" s="1" t="s">
        <v>11</v>
      </c>
      <c r="B678" s="1">
        <v>39</v>
      </c>
      <c r="C678" s="1" t="s">
        <v>12</v>
      </c>
      <c r="D678" s="1">
        <v>1</v>
      </c>
      <c r="E678" s="1" t="s">
        <v>155</v>
      </c>
      <c r="F678" s="1">
        <v>17</v>
      </c>
      <c r="G678" s="1">
        <v>21</v>
      </c>
      <c r="H678" s="1" t="s">
        <v>156</v>
      </c>
      <c r="I678" s="1" t="s">
        <v>157</v>
      </c>
      <c r="J678" s="1" t="s">
        <v>158</v>
      </c>
      <c r="K678" s="1" t="s">
        <v>159</v>
      </c>
    </row>
    <row r="679" spans="1:11" x14ac:dyDescent="0.25">
      <c r="A679" s="1" t="s">
        <v>11</v>
      </c>
      <c r="B679" s="1">
        <v>40</v>
      </c>
      <c r="C679" s="1" t="s">
        <v>12</v>
      </c>
      <c r="D679" s="1">
        <v>2</v>
      </c>
      <c r="E679" s="1" t="s">
        <v>155</v>
      </c>
      <c r="F679" s="1">
        <v>0</v>
      </c>
      <c r="G679" s="1">
        <v>1</v>
      </c>
      <c r="H679" s="1" t="s">
        <v>156</v>
      </c>
      <c r="I679" s="1" t="s">
        <v>157</v>
      </c>
      <c r="J679" s="1" t="s">
        <v>158</v>
      </c>
      <c r="K679" s="1" t="s">
        <v>159</v>
      </c>
    </row>
    <row r="680" spans="1:11" x14ac:dyDescent="0.25">
      <c r="A680" s="1" t="s">
        <v>11</v>
      </c>
      <c r="B680" s="1">
        <v>42</v>
      </c>
      <c r="C680" s="1" t="s">
        <v>18</v>
      </c>
      <c r="D680" s="1">
        <v>1</v>
      </c>
      <c r="E680" s="1" t="s">
        <v>155</v>
      </c>
      <c r="F680" s="1">
        <v>21</v>
      </c>
      <c r="G680" s="1">
        <v>14</v>
      </c>
      <c r="H680" s="1" t="s">
        <v>156</v>
      </c>
      <c r="I680" s="1" t="s">
        <v>160</v>
      </c>
      <c r="J680" s="1" t="s">
        <v>161</v>
      </c>
      <c r="K680" s="1" t="s">
        <v>159</v>
      </c>
    </row>
    <row r="681" spans="1:11" x14ac:dyDescent="0.25">
      <c r="A681" s="1" t="s">
        <v>11</v>
      </c>
      <c r="B681" s="1">
        <v>43</v>
      </c>
      <c r="C681" s="1" t="s">
        <v>18</v>
      </c>
      <c r="D681" s="1">
        <v>2</v>
      </c>
      <c r="E681" s="1" t="s">
        <v>155</v>
      </c>
      <c r="F681" s="1">
        <v>1</v>
      </c>
      <c r="G681" s="1">
        <v>0</v>
      </c>
      <c r="H681" s="1" t="s">
        <v>156</v>
      </c>
      <c r="I681" s="1" t="s">
        <v>160</v>
      </c>
      <c r="J681" s="1" t="s">
        <v>161</v>
      </c>
      <c r="K681" s="1" t="s">
        <v>159</v>
      </c>
    </row>
    <row r="682" spans="1:11" x14ac:dyDescent="0.25">
      <c r="A682" s="1" t="s">
        <v>11</v>
      </c>
      <c r="B682" s="1">
        <v>45</v>
      </c>
      <c r="C682" s="1" t="s">
        <v>21</v>
      </c>
      <c r="D682" s="1">
        <v>1</v>
      </c>
      <c r="E682" s="1" t="s">
        <v>155</v>
      </c>
      <c r="F682" s="1">
        <v>18</v>
      </c>
      <c r="G682" s="1">
        <v>21</v>
      </c>
      <c r="H682" s="1" t="s">
        <v>156</v>
      </c>
      <c r="I682" s="1" t="s">
        <v>162</v>
      </c>
      <c r="J682" s="1" t="s">
        <v>163</v>
      </c>
      <c r="K682" s="1" t="s">
        <v>159</v>
      </c>
    </row>
    <row r="683" spans="1:11" x14ac:dyDescent="0.25">
      <c r="A683" s="1" t="s">
        <v>11</v>
      </c>
      <c r="B683" s="1">
        <v>46</v>
      </c>
      <c r="C683" s="1" t="s">
        <v>21</v>
      </c>
      <c r="D683" s="1">
        <v>2</v>
      </c>
      <c r="E683" s="1" t="s">
        <v>155</v>
      </c>
      <c r="F683" s="1">
        <v>0</v>
      </c>
      <c r="G683" s="1">
        <v>1</v>
      </c>
      <c r="H683" s="1" t="s">
        <v>156</v>
      </c>
      <c r="I683" s="1" t="s">
        <v>162</v>
      </c>
      <c r="J683" s="1" t="s">
        <v>163</v>
      </c>
      <c r="K683" s="1" t="s">
        <v>159</v>
      </c>
    </row>
    <row r="684" spans="1:11" x14ac:dyDescent="0.25">
      <c r="A684" s="1" t="s">
        <v>11</v>
      </c>
      <c r="B684" s="1">
        <v>48</v>
      </c>
      <c r="C684" s="1" t="s">
        <v>24</v>
      </c>
      <c r="D684" s="1">
        <v>1</v>
      </c>
      <c r="E684" s="1" t="s">
        <v>155</v>
      </c>
      <c r="F684" s="1">
        <v>21</v>
      </c>
      <c r="G684" s="1">
        <v>19</v>
      </c>
      <c r="H684" s="1" t="s">
        <v>156</v>
      </c>
      <c r="I684" s="1" t="s">
        <v>164</v>
      </c>
      <c r="J684" s="1" t="s">
        <v>165</v>
      </c>
      <c r="K684" s="1" t="s">
        <v>159</v>
      </c>
    </row>
    <row r="685" spans="1:11" x14ac:dyDescent="0.25">
      <c r="A685" s="1" t="s">
        <v>11</v>
      </c>
      <c r="B685" s="1">
        <v>49</v>
      </c>
      <c r="C685" s="1" t="s">
        <v>24</v>
      </c>
      <c r="D685" s="1">
        <v>2</v>
      </c>
      <c r="E685" s="1" t="s">
        <v>155</v>
      </c>
      <c r="F685" s="1">
        <v>1</v>
      </c>
      <c r="G685" s="1">
        <v>0</v>
      </c>
      <c r="H685" s="1" t="s">
        <v>156</v>
      </c>
      <c r="I685" s="1" t="s">
        <v>164</v>
      </c>
      <c r="J685" s="1" t="s">
        <v>165</v>
      </c>
      <c r="K685" s="1" t="s">
        <v>159</v>
      </c>
    </row>
    <row r="686" spans="1:11" x14ac:dyDescent="0.25">
      <c r="A686" s="1" t="s">
        <v>11</v>
      </c>
      <c r="B686" s="1">
        <v>51</v>
      </c>
      <c r="C686" s="1" t="s">
        <v>27</v>
      </c>
      <c r="D686" s="1">
        <v>1</v>
      </c>
      <c r="E686" s="1" t="s">
        <v>155</v>
      </c>
      <c r="F686" s="1">
        <v>21</v>
      </c>
      <c r="G686" s="1">
        <v>15</v>
      </c>
      <c r="H686" s="1" t="s">
        <v>156</v>
      </c>
      <c r="I686" s="1" t="s">
        <v>166</v>
      </c>
      <c r="J686" s="1" t="s">
        <v>167</v>
      </c>
      <c r="K686" s="1" t="s">
        <v>159</v>
      </c>
    </row>
    <row r="687" spans="1:11" x14ac:dyDescent="0.25">
      <c r="A687" s="1" t="s">
        <v>11</v>
      </c>
      <c r="B687" s="1">
        <v>52</v>
      </c>
      <c r="C687" s="1" t="s">
        <v>27</v>
      </c>
      <c r="D687" s="1">
        <v>2</v>
      </c>
      <c r="E687" s="1" t="s">
        <v>155</v>
      </c>
      <c r="F687" s="1">
        <v>1</v>
      </c>
      <c r="G687" s="1">
        <v>0</v>
      </c>
      <c r="H687" s="1" t="s">
        <v>156</v>
      </c>
      <c r="I687" s="1" t="s">
        <v>166</v>
      </c>
      <c r="J687" s="1" t="s">
        <v>167</v>
      </c>
      <c r="K687" s="1" t="s">
        <v>159</v>
      </c>
    </row>
    <row r="688" spans="1:11" x14ac:dyDescent="0.25">
      <c r="A688" s="1" t="s">
        <v>11</v>
      </c>
      <c r="B688" s="1">
        <v>57</v>
      </c>
      <c r="C688" s="1" t="s">
        <v>12</v>
      </c>
      <c r="D688" s="1">
        <v>1</v>
      </c>
      <c r="E688" s="1" t="s">
        <v>168</v>
      </c>
      <c r="F688" s="1">
        <v>21</v>
      </c>
      <c r="G688" s="1">
        <v>13</v>
      </c>
      <c r="H688" s="1" t="s">
        <v>169</v>
      </c>
      <c r="I688" s="1" t="s">
        <v>170</v>
      </c>
      <c r="J688" s="1" t="s">
        <v>171</v>
      </c>
      <c r="K688" s="1" t="s">
        <v>172</v>
      </c>
    </row>
    <row r="689" spans="1:11" x14ac:dyDescent="0.25">
      <c r="A689" s="1" t="s">
        <v>11</v>
      </c>
      <c r="B689" s="1">
        <v>58</v>
      </c>
      <c r="C689" s="1" t="s">
        <v>12</v>
      </c>
      <c r="D689" s="1">
        <v>2</v>
      </c>
      <c r="E689" s="1" t="s">
        <v>168</v>
      </c>
      <c r="F689" s="1">
        <v>1</v>
      </c>
      <c r="G689" s="1">
        <v>0</v>
      </c>
      <c r="H689" s="1" t="s">
        <v>169</v>
      </c>
      <c r="I689" s="1" t="s">
        <v>170</v>
      </c>
      <c r="J689" s="1" t="s">
        <v>171</v>
      </c>
      <c r="K689" s="1" t="s">
        <v>172</v>
      </c>
    </row>
    <row r="690" spans="1:11" x14ac:dyDescent="0.25">
      <c r="A690" s="1" t="s">
        <v>11</v>
      </c>
      <c r="B690" s="1">
        <v>60</v>
      </c>
      <c r="C690" s="1" t="s">
        <v>18</v>
      </c>
      <c r="D690" s="1">
        <v>1</v>
      </c>
      <c r="E690" s="1" t="s">
        <v>168</v>
      </c>
      <c r="F690" s="1">
        <v>21</v>
      </c>
      <c r="G690" s="1">
        <v>19</v>
      </c>
      <c r="H690" s="1" t="s">
        <v>169</v>
      </c>
      <c r="I690" s="1" t="s">
        <v>173</v>
      </c>
      <c r="J690" s="1" t="s">
        <v>174</v>
      </c>
      <c r="K690" s="1" t="s">
        <v>172</v>
      </c>
    </row>
    <row r="691" spans="1:11" x14ac:dyDescent="0.25">
      <c r="A691" s="1" t="s">
        <v>11</v>
      </c>
      <c r="B691" s="1">
        <v>61</v>
      </c>
      <c r="C691" s="1" t="s">
        <v>18</v>
      </c>
      <c r="D691" s="1">
        <v>2</v>
      </c>
      <c r="E691" s="1" t="s">
        <v>168</v>
      </c>
      <c r="F691" s="1">
        <v>1</v>
      </c>
      <c r="G691" s="1">
        <v>0</v>
      </c>
      <c r="H691" s="1" t="s">
        <v>169</v>
      </c>
      <c r="I691" s="1" t="s">
        <v>173</v>
      </c>
      <c r="J691" s="1" t="s">
        <v>174</v>
      </c>
      <c r="K691" s="1" t="s">
        <v>172</v>
      </c>
    </row>
    <row r="692" spans="1:11" x14ac:dyDescent="0.25">
      <c r="A692" s="1" t="s">
        <v>11</v>
      </c>
      <c r="B692" s="1">
        <v>63</v>
      </c>
      <c r="C692" s="1" t="s">
        <v>21</v>
      </c>
      <c r="D692" s="1">
        <v>1</v>
      </c>
      <c r="E692" s="1" t="s">
        <v>168</v>
      </c>
      <c r="F692" s="1">
        <v>25</v>
      </c>
      <c r="G692" s="1">
        <v>23</v>
      </c>
      <c r="H692" s="1" t="s">
        <v>169</v>
      </c>
      <c r="I692" s="1" t="s">
        <v>175</v>
      </c>
      <c r="J692" s="1" t="s">
        <v>176</v>
      </c>
      <c r="K692" s="1" t="s">
        <v>172</v>
      </c>
    </row>
    <row r="693" spans="1:11" x14ac:dyDescent="0.25">
      <c r="A693" s="1" t="s">
        <v>11</v>
      </c>
      <c r="B693" s="1">
        <v>64</v>
      </c>
      <c r="C693" s="1" t="s">
        <v>21</v>
      </c>
      <c r="D693" s="1">
        <v>2</v>
      </c>
      <c r="E693" s="1" t="s">
        <v>168</v>
      </c>
      <c r="F693" s="1">
        <v>1</v>
      </c>
      <c r="G693" s="1">
        <v>0</v>
      </c>
      <c r="H693" s="1" t="s">
        <v>169</v>
      </c>
      <c r="I693" s="1" t="s">
        <v>175</v>
      </c>
      <c r="J693" s="1" t="s">
        <v>176</v>
      </c>
      <c r="K693" s="1" t="s">
        <v>172</v>
      </c>
    </row>
    <row r="694" spans="1:11" x14ac:dyDescent="0.25">
      <c r="A694" s="1" t="s">
        <v>11</v>
      </c>
      <c r="B694" s="1">
        <v>66</v>
      </c>
      <c r="C694" s="1" t="s">
        <v>24</v>
      </c>
      <c r="D694" s="1">
        <v>1</v>
      </c>
      <c r="E694" s="1" t="s">
        <v>168</v>
      </c>
      <c r="F694" s="1">
        <v>28</v>
      </c>
      <c r="G694" s="1">
        <v>26</v>
      </c>
      <c r="H694" s="1" t="s">
        <v>169</v>
      </c>
      <c r="I694" s="1" t="s">
        <v>177</v>
      </c>
      <c r="J694" s="1" t="s">
        <v>178</v>
      </c>
      <c r="K694" s="1" t="s">
        <v>172</v>
      </c>
    </row>
    <row r="695" spans="1:11" x14ac:dyDescent="0.25">
      <c r="A695" s="1" t="s">
        <v>11</v>
      </c>
      <c r="B695" s="1">
        <v>67</v>
      </c>
      <c r="C695" s="1" t="s">
        <v>24</v>
      </c>
      <c r="D695" s="1">
        <v>2</v>
      </c>
      <c r="E695" s="1" t="s">
        <v>168</v>
      </c>
      <c r="F695" s="1">
        <v>1</v>
      </c>
      <c r="G695" s="1">
        <v>0</v>
      </c>
      <c r="H695" s="1" t="s">
        <v>169</v>
      </c>
      <c r="I695" s="1" t="s">
        <v>177</v>
      </c>
      <c r="J695" s="1" t="s">
        <v>178</v>
      </c>
      <c r="K695" s="1" t="s">
        <v>172</v>
      </c>
    </row>
    <row r="696" spans="1:11" x14ac:dyDescent="0.25">
      <c r="A696" s="1" t="s">
        <v>11</v>
      </c>
      <c r="B696" s="1">
        <v>69</v>
      </c>
      <c r="C696" s="1" t="s">
        <v>27</v>
      </c>
      <c r="D696" s="1">
        <v>1</v>
      </c>
      <c r="E696" s="1" t="s">
        <v>168</v>
      </c>
      <c r="F696" s="1">
        <v>21</v>
      </c>
      <c r="G696" s="1">
        <v>14</v>
      </c>
      <c r="H696" s="1" t="s">
        <v>169</v>
      </c>
      <c r="I696" s="1" t="s">
        <v>179</v>
      </c>
      <c r="J696" s="1" t="s">
        <v>180</v>
      </c>
      <c r="K696" s="1" t="s">
        <v>172</v>
      </c>
    </row>
    <row r="697" spans="1:11" x14ac:dyDescent="0.25">
      <c r="A697" s="1" t="s">
        <v>11</v>
      </c>
      <c r="B697" s="1">
        <v>70</v>
      </c>
      <c r="C697" s="1" t="s">
        <v>27</v>
      </c>
      <c r="D697" s="1">
        <v>2</v>
      </c>
      <c r="E697" s="1" t="s">
        <v>168</v>
      </c>
      <c r="F697" s="1">
        <v>1</v>
      </c>
      <c r="G697" s="1">
        <v>0</v>
      </c>
      <c r="H697" s="1" t="s">
        <v>169</v>
      </c>
      <c r="I697" s="1" t="s">
        <v>179</v>
      </c>
      <c r="J697" s="1" t="s">
        <v>180</v>
      </c>
      <c r="K697" s="1" t="s">
        <v>172</v>
      </c>
    </row>
    <row r="698" spans="1:11" x14ac:dyDescent="0.25">
      <c r="A698" s="1" t="s">
        <v>11</v>
      </c>
      <c r="B698" s="1">
        <v>75</v>
      </c>
      <c r="C698" s="1" t="s">
        <v>12</v>
      </c>
      <c r="D698" s="1">
        <v>1</v>
      </c>
      <c r="E698" s="1" t="s">
        <v>181</v>
      </c>
      <c r="F698" s="1">
        <v>1</v>
      </c>
      <c r="G698" s="1">
        <v>0</v>
      </c>
      <c r="H698" s="1" t="s">
        <v>182</v>
      </c>
      <c r="I698" s="1" t="s">
        <v>183</v>
      </c>
      <c r="J698" s="1" t="s">
        <v>184</v>
      </c>
      <c r="K698" s="1" t="s">
        <v>185</v>
      </c>
    </row>
    <row r="699" spans="1:11" x14ac:dyDescent="0.25">
      <c r="A699" s="1" t="s">
        <v>11</v>
      </c>
      <c r="B699" s="1">
        <v>76</v>
      </c>
      <c r="C699" s="1" t="s">
        <v>12</v>
      </c>
      <c r="D699" s="1">
        <v>2</v>
      </c>
      <c r="E699" s="1" t="s">
        <v>181</v>
      </c>
      <c r="F699" s="1">
        <v>1</v>
      </c>
      <c r="G699" s="1">
        <v>0</v>
      </c>
      <c r="H699" s="1" t="s">
        <v>182</v>
      </c>
      <c r="I699" s="1" t="s">
        <v>183</v>
      </c>
      <c r="J699" s="1" t="s">
        <v>184</v>
      </c>
      <c r="K699" s="1" t="s">
        <v>185</v>
      </c>
    </row>
    <row r="700" spans="1:11" x14ac:dyDescent="0.25">
      <c r="A700" s="1" t="s">
        <v>11</v>
      </c>
      <c r="B700" s="1">
        <v>78</v>
      </c>
      <c r="C700" s="1" t="s">
        <v>18</v>
      </c>
      <c r="D700" s="1">
        <v>1</v>
      </c>
      <c r="E700" s="1" t="s">
        <v>181</v>
      </c>
      <c r="F700" s="1">
        <v>1</v>
      </c>
      <c r="G700" s="1">
        <v>0</v>
      </c>
      <c r="H700" s="1" t="s">
        <v>182</v>
      </c>
      <c r="I700" s="1" t="s">
        <v>186</v>
      </c>
      <c r="J700" s="1" t="s">
        <v>187</v>
      </c>
      <c r="K700" s="1" t="s">
        <v>185</v>
      </c>
    </row>
    <row r="701" spans="1:11" x14ac:dyDescent="0.25">
      <c r="A701" s="1" t="s">
        <v>11</v>
      </c>
      <c r="B701" s="1">
        <v>79</v>
      </c>
      <c r="C701" s="1" t="s">
        <v>18</v>
      </c>
      <c r="D701" s="1">
        <v>2</v>
      </c>
      <c r="E701" s="1" t="s">
        <v>181</v>
      </c>
      <c r="F701" s="1">
        <v>1</v>
      </c>
      <c r="G701" s="1">
        <v>0</v>
      </c>
      <c r="H701" s="1" t="s">
        <v>182</v>
      </c>
      <c r="I701" s="1" t="s">
        <v>186</v>
      </c>
      <c r="J701" s="1" t="s">
        <v>187</v>
      </c>
      <c r="K701" s="1" t="s">
        <v>185</v>
      </c>
    </row>
    <row r="702" spans="1:11" x14ac:dyDescent="0.25">
      <c r="A702" s="1" t="s">
        <v>11</v>
      </c>
      <c r="B702" s="1">
        <v>81</v>
      </c>
      <c r="C702" s="1" t="s">
        <v>21</v>
      </c>
      <c r="D702" s="1">
        <v>1</v>
      </c>
      <c r="E702" s="1" t="s">
        <v>181</v>
      </c>
      <c r="F702" s="1">
        <v>1</v>
      </c>
      <c r="G702" s="1">
        <v>0</v>
      </c>
      <c r="H702" s="1" t="s">
        <v>182</v>
      </c>
      <c r="I702" s="1" t="s">
        <v>188</v>
      </c>
      <c r="J702" s="1" t="s">
        <v>189</v>
      </c>
      <c r="K702" s="1" t="s">
        <v>185</v>
      </c>
    </row>
    <row r="703" spans="1:11" x14ac:dyDescent="0.25">
      <c r="A703" s="1" t="s">
        <v>11</v>
      </c>
      <c r="B703" s="1">
        <v>82</v>
      </c>
      <c r="C703" s="1" t="s">
        <v>21</v>
      </c>
      <c r="D703" s="1">
        <v>2</v>
      </c>
      <c r="E703" s="1" t="s">
        <v>181</v>
      </c>
      <c r="F703" s="1">
        <v>1</v>
      </c>
      <c r="G703" s="1">
        <v>0</v>
      </c>
      <c r="H703" s="1" t="s">
        <v>182</v>
      </c>
      <c r="I703" s="1" t="s">
        <v>188</v>
      </c>
      <c r="J703" s="1" t="s">
        <v>189</v>
      </c>
      <c r="K703" s="1" t="s">
        <v>185</v>
      </c>
    </row>
    <row r="704" spans="1:11" x14ac:dyDescent="0.25">
      <c r="A704" s="1" t="s">
        <v>11</v>
      </c>
      <c r="B704" s="1">
        <v>84</v>
      </c>
      <c r="C704" s="1" t="s">
        <v>24</v>
      </c>
      <c r="D704" s="1">
        <v>1</v>
      </c>
      <c r="E704" s="1" t="s">
        <v>181</v>
      </c>
      <c r="F704" s="1">
        <v>1</v>
      </c>
      <c r="G704" s="1">
        <v>0</v>
      </c>
      <c r="H704" s="1" t="s">
        <v>182</v>
      </c>
      <c r="I704" s="1" t="s">
        <v>190</v>
      </c>
      <c r="J704" s="1" t="s">
        <v>191</v>
      </c>
      <c r="K704" s="1" t="s">
        <v>185</v>
      </c>
    </row>
    <row r="705" spans="1:11" x14ac:dyDescent="0.25">
      <c r="A705" s="1" t="s">
        <v>11</v>
      </c>
      <c r="B705" s="1">
        <v>85</v>
      </c>
      <c r="C705" s="1" t="s">
        <v>24</v>
      </c>
      <c r="D705" s="1">
        <v>2</v>
      </c>
      <c r="E705" s="1" t="s">
        <v>181</v>
      </c>
      <c r="F705" s="1">
        <v>1</v>
      </c>
      <c r="G705" s="1">
        <v>0</v>
      </c>
      <c r="H705" s="1" t="s">
        <v>182</v>
      </c>
      <c r="I705" s="1" t="s">
        <v>190</v>
      </c>
      <c r="J705" s="1" t="s">
        <v>191</v>
      </c>
      <c r="K705" s="1" t="s">
        <v>185</v>
      </c>
    </row>
    <row r="706" spans="1:11" x14ac:dyDescent="0.25">
      <c r="A706" s="1" t="s">
        <v>11</v>
      </c>
      <c r="B706" s="1">
        <v>87</v>
      </c>
      <c r="C706" s="1" t="s">
        <v>27</v>
      </c>
      <c r="D706" s="1">
        <v>1</v>
      </c>
      <c r="E706" s="1" t="s">
        <v>181</v>
      </c>
      <c r="F706" s="1">
        <v>0</v>
      </c>
      <c r="G706" s="1">
        <v>1</v>
      </c>
      <c r="H706" s="1" t="s">
        <v>182</v>
      </c>
      <c r="I706" s="1" t="s">
        <v>192</v>
      </c>
      <c r="J706" s="1" t="s">
        <v>193</v>
      </c>
      <c r="K706" s="1" t="s">
        <v>185</v>
      </c>
    </row>
    <row r="707" spans="1:11" x14ac:dyDescent="0.25">
      <c r="A707" s="1" t="s">
        <v>11</v>
      </c>
      <c r="B707" s="1">
        <v>88</v>
      </c>
      <c r="C707" s="1" t="s">
        <v>27</v>
      </c>
      <c r="D707" s="1">
        <v>2</v>
      </c>
      <c r="E707" s="1" t="s">
        <v>181</v>
      </c>
      <c r="F707" s="1">
        <v>0</v>
      </c>
      <c r="G707" s="1">
        <v>1</v>
      </c>
      <c r="H707" s="1" t="s">
        <v>182</v>
      </c>
      <c r="I707" s="1" t="s">
        <v>192</v>
      </c>
      <c r="J707" s="1" t="s">
        <v>193</v>
      </c>
      <c r="K707" s="1" t="s">
        <v>185</v>
      </c>
    </row>
    <row r="708" spans="1:11" x14ac:dyDescent="0.25">
      <c r="A708" s="1" t="s">
        <v>11</v>
      </c>
      <c r="B708" s="1">
        <v>3</v>
      </c>
      <c r="C708" s="1" t="s">
        <v>12</v>
      </c>
      <c r="D708" s="1">
        <v>1</v>
      </c>
      <c r="E708" s="1" t="s">
        <v>194</v>
      </c>
      <c r="F708" s="1">
        <v>21</v>
      </c>
      <c r="G708" s="1">
        <v>16</v>
      </c>
      <c r="H708" s="1" t="s">
        <v>195</v>
      </c>
      <c r="I708" s="1" t="s">
        <v>196</v>
      </c>
      <c r="J708" s="1" t="s">
        <v>197</v>
      </c>
      <c r="K708" s="1" t="s">
        <v>198</v>
      </c>
    </row>
    <row r="709" spans="1:11" x14ac:dyDescent="0.25">
      <c r="A709" s="1" t="s">
        <v>11</v>
      </c>
      <c r="B709" s="1">
        <v>4</v>
      </c>
      <c r="C709" s="1" t="s">
        <v>12</v>
      </c>
      <c r="D709" s="1">
        <v>2</v>
      </c>
      <c r="E709" s="1" t="s">
        <v>194</v>
      </c>
      <c r="F709" s="1">
        <v>18</v>
      </c>
      <c r="G709" s="1">
        <v>21</v>
      </c>
      <c r="H709" s="1" t="s">
        <v>195</v>
      </c>
      <c r="I709" s="1" t="s">
        <v>196</v>
      </c>
      <c r="J709" s="1" t="s">
        <v>197</v>
      </c>
      <c r="K709" s="1" t="s">
        <v>198</v>
      </c>
    </row>
    <row r="710" spans="1:11" x14ac:dyDescent="0.25">
      <c r="A710" s="1" t="s">
        <v>11</v>
      </c>
      <c r="B710" s="1">
        <v>5</v>
      </c>
      <c r="C710" s="1" t="s">
        <v>12</v>
      </c>
      <c r="D710" s="1">
        <v>3</v>
      </c>
      <c r="E710" s="1" t="s">
        <v>194</v>
      </c>
      <c r="F710" s="1">
        <v>21</v>
      </c>
      <c r="G710" s="1">
        <v>18</v>
      </c>
      <c r="H710" s="1" t="s">
        <v>195</v>
      </c>
      <c r="I710" s="1" t="s">
        <v>196</v>
      </c>
      <c r="J710" s="1" t="s">
        <v>197</v>
      </c>
      <c r="K710" s="1" t="s">
        <v>198</v>
      </c>
    </row>
    <row r="711" spans="1:11" x14ac:dyDescent="0.25">
      <c r="A711" s="1" t="s">
        <v>11</v>
      </c>
      <c r="B711" s="1">
        <v>6</v>
      </c>
      <c r="C711" s="1" t="s">
        <v>18</v>
      </c>
      <c r="D711" s="1">
        <v>1</v>
      </c>
      <c r="E711" s="1" t="s">
        <v>194</v>
      </c>
      <c r="F711" s="1">
        <v>21</v>
      </c>
      <c r="G711" s="1">
        <v>16</v>
      </c>
      <c r="H711" s="1" t="s">
        <v>195</v>
      </c>
      <c r="I711" s="1" t="s">
        <v>199</v>
      </c>
      <c r="J711" s="1" t="s">
        <v>200</v>
      </c>
      <c r="K711" s="1" t="s">
        <v>198</v>
      </c>
    </row>
    <row r="712" spans="1:11" x14ac:dyDescent="0.25">
      <c r="A712" s="1" t="s">
        <v>11</v>
      </c>
      <c r="B712" s="1">
        <v>7</v>
      </c>
      <c r="C712" s="1" t="s">
        <v>18</v>
      </c>
      <c r="D712" s="1">
        <v>2</v>
      </c>
      <c r="E712" s="1" t="s">
        <v>194</v>
      </c>
      <c r="F712" s="1">
        <v>21</v>
      </c>
      <c r="G712" s="1">
        <v>14</v>
      </c>
      <c r="H712" s="1" t="s">
        <v>195</v>
      </c>
      <c r="I712" s="1" t="s">
        <v>199</v>
      </c>
      <c r="J712" s="1" t="s">
        <v>200</v>
      </c>
      <c r="K712" s="1" t="s">
        <v>198</v>
      </c>
    </row>
    <row r="713" spans="1:11" x14ac:dyDescent="0.25">
      <c r="A713" s="1" t="s">
        <v>11</v>
      </c>
      <c r="B713" s="1">
        <v>9</v>
      </c>
      <c r="C713" s="1" t="s">
        <v>21</v>
      </c>
      <c r="D713" s="1">
        <v>1</v>
      </c>
      <c r="E713" s="1" t="s">
        <v>194</v>
      </c>
      <c r="F713" s="1">
        <v>26</v>
      </c>
      <c r="G713" s="1">
        <v>28</v>
      </c>
      <c r="H713" s="1" t="s">
        <v>195</v>
      </c>
      <c r="I713" s="1" t="s">
        <v>201</v>
      </c>
      <c r="J713" s="1" t="s">
        <v>202</v>
      </c>
      <c r="K713" s="1" t="s">
        <v>198</v>
      </c>
    </row>
    <row r="714" spans="1:11" x14ac:dyDescent="0.25">
      <c r="A714" s="1" t="s">
        <v>11</v>
      </c>
      <c r="B714" s="1">
        <v>10</v>
      </c>
      <c r="C714" s="1" t="s">
        <v>21</v>
      </c>
      <c r="D714" s="1">
        <v>2</v>
      </c>
      <c r="E714" s="1" t="s">
        <v>194</v>
      </c>
      <c r="F714" s="1">
        <v>21</v>
      </c>
      <c r="G714" s="1">
        <v>17</v>
      </c>
      <c r="H714" s="1" t="s">
        <v>195</v>
      </c>
      <c r="I714" s="1" t="s">
        <v>201</v>
      </c>
      <c r="J714" s="1" t="s">
        <v>202</v>
      </c>
      <c r="K714" s="1" t="s">
        <v>198</v>
      </c>
    </row>
    <row r="715" spans="1:11" x14ac:dyDescent="0.25">
      <c r="A715" s="1" t="s">
        <v>11</v>
      </c>
      <c r="B715" s="1">
        <v>11</v>
      </c>
      <c r="C715" s="1" t="s">
        <v>21</v>
      </c>
      <c r="D715" s="1">
        <v>3</v>
      </c>
      <c r="E715" s="1" t="s">
        <v>194</v>
      </c>
      <c r="F715" s="1">
        <v>19</v>
      </c>
      <c r="G715" s="1">
        <v>21</v>
      </c>
      <c r="H715" s="1" t="s">
        <v>195</v>
      </c>
      <c r="I715" s="1" t="s">
        <v>201</v>
      </c>
      <c r="J715" s="1" t="s">
        <v>202</v>
      </c>
      <c r="K715" s="1" t="s">
        <v>198</v>
      </c>
    </row>
    <row r="716" spans="1:11" x14ac:dyDescent="0.25">
      <c r="A716" s="1" t="s">
        <v>11</v>
      </c>
      <c r="B716" s="1">
        <v>12</v>
      </c>
      <c r="C716" s="1" t="s">
        <v>24</v>
      </c>
      <c r="D716" s="1">
        <v>1</v>
      </c>
      <c r="E716" s="1" t="s">
        <v>194</v>
      </c>
      <c r="F716" s="1">
        <v>14</v>
      </c>
      <c r="G716" s="1">
        <v>21</v>
      </c>
      <c r="H716" s="1" t="s">
        <v>195</v>
      </c>
      <c r="I716" s="1" t="s">
        <v>203</v>
      </c>
      <c r="J716" s="1" t="s">
        <v>204</v>
      </c>
      <c r="K716" s="1" t="s">
        <v>198</v>
      </c>
    </row>
    <row r="717" spans="1:11" x14ac:dyDescent="0.25">
      <c r="A717" s="1" t="s">
        <v>11</v>
      </c>
      <c r="B717" s="1">
        <v>13</v>
      </c>
      <c r="C717" s="1" t="s">
        <v>24</v>
      </c>
      <c r="D717" s="1">
        <v>2</v>
      </c>
      <c r="E717" s="1" t="s">
        <v>194</v>
      </c>
      <c r="F717" s="1">
        <v>18</v>
      </c>
      <c r="G717" s="1">
        <v>21</v>
      </c>
      <c r="H717" s="1" t="s">
        <v>195</v>
      </c>
      <c r="I717" s="1" t="s">
        <v>203</v>
      </c>
      <c r="J717" s="1" t="s">
        <v>204</v>
      </c>
      <c r="K717" s="1" t="s">
        <v>198</v>
      </c>
    </row>
    <row r="718" spans="1:11" x14ac:dyDescent="0.25">
      <c r="A718" s="1" t="s">
        <v>11</v>
      </c>
      <c r="B718" s="1">
        <v>15</v>
      </c>
      <c r="C718" s="1" t="s">
        <v>27</v>
      </c>
      <c r="D718" s="1">
        <v>1</v>
      </c>
      <c r="E718" s="1" t="s">
        <v>194</v>
      </c>
      <c r="F718" s="1">
        <v>13</v>
      </c>
      <c r="G718" s="1">
        <v>21</v>
      </c>
      <c r="H718" s="1" t="s">
        <v>195</v>
      </c>
      <c r="I718" s="1" t="s">
        <v>205</v>
      </c>
      <c r="J718" s="1" t="s">
        <v>206</v>
      </c>
      <c r="K718" s="1" t="s">
        <v>198</v>
      </c>
    </row>
    <row r="719" spans="1:11" x14ac:dyDescent="0.25">
      <c r="A719" s="1" t="s">
        <v>11</v>
      </c>
      <c r="B719" s="1">
        <v>16</v>
      </c>
      <c r="C719" s="1" t="s">
        <v>27</v>
      </c>
      <c r="D719" s="1">
        <v>2</v>
      </c>
      <c r="E719" s="1" t="s">
        <v>194</v>
      </c>
      <c r="F719" s="1">
        <v>14</v>
      </c>
      <c r="G719" s="1">
        <v>21</v>
      </c>
      <c r="H719" s="1" t="s">
        <v>195</v>
      </c>
      <c r="I719" s="1" t="s">
        <v>205</v>
      </c>
      <c r="J719" s="1" t="s">
        <v>206</v>
      </c>
      <c r="K719" s="1" t="s">
        <v>198</v>
      </c>
    </row>
  </sheetData>
  <autoFilter ref="A1:K719" xr:uid="{00000000-0001-0000-0100-000000000000}">
    <sortState xmlns:xlrd2="http://schemas.microsoft.com/office/spreadsheetml/2017/richdata2" ref="A2:K719">
      <sortCondition ref="A1:A71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EFA2-9231-4FE9-A3FF-79FE0B6C2565}">
  <dimension ref="A1:R1099"/>
  <sheetViews>
    <sheetView tabSelected="1" zoomScale="84" zoomScaleNormal="84" workbookViewId="0">
      <selection activeCell="J1" sqref="A1:XFD1"/>
    </sheetView>
  </sheetViews>
  <sheetFormatPr defaultRowHeight="13.2" x14ac:dyDescent="0.25"/>
  <cols>
    <col min="1" max="1" width="13.44140625" customWidth="1"/>
    <col min="9" max="10" width="28.6640625" bestFit="1" customWidth="1"/>
    <col min="11" max="11" width="13.33203125" bestFit="1" customWidth="1"/>
    <col min="18" max="18" width="46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356</v>
      </c>
      <c r="M1" s="1" t="s">
        <v>357</v>
      </c>
      <c r="N1" s="1" t="s">
        <v>358</v>
      </c>
      <c r="O1" s="1" t="s">
        <v>359</v>
      </c>
      <c r="P1" s="1" t="s">
        <v>360</v>
      </c>
      <c r="Q1" s="1" t="s">
        <v>362</v>
      </c>
      <c r="R1" s="1" t="s">
        <v>363</v>
      </c>
    </row>
    <row r="2" spans="1:18" x14ac:dyDescent="0.25">
      <c r="A2" s="1" t="s">
        <v>429</v>
      </c>
      <c r="B2" s="1">
        <v>1</v>
      </c>
      <c r="C2" s="1" t="s">
        <v>12</v>
      </c>
      <c r="D2" s="1">
        <v>1</v>
      </c>
      <c r="E2" s="1" t="s">
        <v>194</v>
      </c>
      <c r="F2" s="1">
        <v>15</v>
      </c>
      <c r="G2" s="1">
        <v>8</v>
      </c>
      <c r="H2" s="1" t="s">
        <v>14</v>
      </c>
      <c r="I2" s="1" t="s">
        <v>196</v>
      </c>
      <c r="J2" s="1" t="s">
        <v>16</v>
      </c>
      <c r="K2" s="1" t="s">
        <v>400</v>
      </c>
      <c r="L2" s="1" t="s">
        <v>355</v>
      </c>
      <c r="M2" t="str">
        <f t="shared" ref="M2:M65" si="0">_xlfn.TEXTBEFORE(I2,"/")</f>
        <v>Bosak</v>
      </c>
      <c r="N2" t="str">
        <f t="shared" ref="N2:N65" si="1">_xlfn.TEXTAFTER(I2,"/ ")</f>
        <v>Cote</v>
      </c>
      <c r="O2" t="str">
        <f t="shared" ref="O2:O65" si="2">_xlfn.TEXTBEFORE(J2,"/")</f>
        <v>Beeks</v>
      </c>
      <c r="P2" t="str">
        <f t="shared" ref="P2:P65" si="3">_xlfn.TEXTAFTER(J2,"/ ")</f>
        <v>Elbourne</v>
      </c>
      <c r="Q2">
        <f t="shared" ref="Q2:Q65" si="4">IF(F2&gt;G2,1,0)</f>
        <v>1</v>
      </c>
      <c r="R2" t="str">
        <f t="shared" ref="R2:R65" si="5">_xlfn.TEXTJOIN("-",TRUE,M2,N2,O2,P2)</f>
        <v>Bosak-Cote-Beeks-Elbourne</v>
      </c>
    </row>
    <row r="3" spans="1:18" x14ac:dyDescent="0.25">
      <c r="A3" s="1" t="s">
        <v>429</v>
      </c>
      <c r="B3" s="1">
        <v>1</v>
      </c>
      <c r="C3" s="1" t="s">
        <v>18</v>
      </c>
      <c r="D3" s="1">
        <v>1</v>
      </c>
      <c r="E3" s="1" t="s">
        <v>194</v>
      </c>
      <c r="F3" s="1">
        <v>15</v>
      </c>
      <c r="G3" s="1">
        <v>7</v>
      </c>
      <c r="H3" s="1" t="s">
        <v>14</v>
      </c>
      <c r="I3" s="1" t="s">
        <v>199</v>
      </c>
      <c r="J3" s="1" t="s">
        <v>20</v>
      </c>
      <c r="K3" s="1" t="s">
        <v>400</v>
      </c>
      <c r="L3" s="1" t="s">
        <v>355</v>
      </c>
      <c r="M3" t="str">
        <f t="shared" si="0"/>
        <v>Dean</v>
      </c>
      <c r="N3" t="str">
        <f t="shared" si="1"/>
        <v>Gagnon</v>
      </c>
      <c r="O3" t="str">
        <f t="shared" si="2"/>
        <v>Rowlands</v>
      </c>
      <c r="P3" t="str">
        <f t="shared" si="3"/>
        <v>Hutko</v>
      </c>
      <c r="Q3">
        <f t="shared" si="4"/>
        <v>1</v>
      </c>
      <c r="R3" t="str">
        <f t="shared" si="5"/>
        <v>Dean-Gagnon-Rowlands-Hutko</v>
      </c>
    </row>
    <row r="4" spans="1:18" x14ac:dyDescent="0.25">
      <c r="A4" s="1" t="s">
        <v>429</v>
      </c>
      <c r="B4" s="1">
        <v>1</v>
      </c>
      <c r="C4" s="1" t="s">
        <v>21</v>
      </c>
      <c r="D4" s="1">
        <v>1</v>
      </c>
      <c r="E4" s="1" t="s">
        <v>194</v>
      </c>
      <c r="F4" s="1">
        <v>15</v>
      </c>
      <c r="G4" s="1">
        <v>8</v>
      </c>
      <c r="H4" s="1" t="s">
        <v>14</v>
      </c>
      <c r="I4" s="1" t="s">
        <v>392</v>
      </c>
      <c r="J4" s="1" t="s">
        <v>23</v>
      </c>
      <c r="K4" s="1" t="s">
        <v>400</v>
      </c>
      <c r="L4" s="1" t="s">
        <v>355</v>
      </c>
      <c r="M4" t="str">
        <f t="shared" si="0"/>
        <v>Mathieu</v>
      </c>
      <c r="N4" t="str">
        <f t="shared" si="1"/>
        <v>E. Leung</v>
      </c>
      <c r="O4" t="str">
        <f t="shared" si="2"/>
        <v>Cook</v>
      </c>
      <c r="P4" t="str">
        <f t="shared" si="3"/>
        <v>Kerridge</v>
      </c>
      <c r="Q4">
        <f t="shared" si="4"/>
        <v>1</v>
      </c>
      <c r="R4" t="str">
        <f t="shared" si="5"/>
        <v>Mathieu-E. Leung-Cook-Kerridge</v>
      </c>
    </row>
    <row r="5" spans="1:18" x14ac:dyDescent="0.25">
      <c r="A5" s="1" t="s">
        <v>429</v>
      </c>
      <c r="B5" s="1">
        <v>1</v>
      </c>
      <c r="C5" s="1" t="s">
        <v>24</v>
      </c>
      <c r="D5" s="1">
        <v>1</v>
      </c>
      <c r="E5" s="1" t="s">
        <v>194</v>
      </c>
      <c r="F5" s="1">
        <v>15</v>
      </c>
      <c r="G5" s="1">
        <v>7</v>
      </c>
      <c r="H5" s="1" t="s">
        <v>14</v>
      </c>
      <c r="I5" s="1" t="s">
        <v>203</v>
      </c>
      <c r="J5" s="1" t="s">
        <v>26</v>
      </c>
      <c r="K5" s="1" t="s">
        <v>400</v>
      </c>
      <c r="L5" s="1" t="s">
        <v>355</v>
      </c>
      <c r="M5" t="str">
        <f t="shared" si="0"/>
        <v>Prince</v>
      </c>
      <c r="N5" t="str">
        <f t="shared" si="1"/>
        <v>Brown</v>
      </c>
      <c r="O5" t="str">
        <f t="shared" si="2"/>
        <v>Jackson</v>
      </c>
      <c r="P5" t="str">
        <f t="shared" si="3"/>
        <v>Douglas</v>
      </c>
      <c r="Q5">
        <f t="shared" si="4"/>
        <v>1</v>
      </c>
      <c r="R5" t="str">
        <f t="shared" si="5"/>
        <v>Prince-Brown-Jackson-Douglas</v>
      </c>
    </row>
    <row r="6" spans="1:18" x14ac:dyDescent="0.25">
      <c r="A6" s="1" t="s">
        <v>429</v>
      </c>
      <c r="B6" s="1">
        <v>1</v>
      </c>
      <c r="C6" s="1" t="s">
        <v>27</v>
      </c>
      <c r="D6" s="1">
        <v>1</v>
      </c>
      <c r="E6" s="1" t="s">
        <v>194</v>
      </c>
      <c r="F6" s="1">
        <v>15</v>
      </c>
      <c r="G6" s="1">
        <v>8</v>
      </c>
      <c r="H6" s="1" t="s">
        <v>14</v>
      </c>
      <c r="I6" s="1" t="s">
        <v>205</v>
      </c>
      <c r="J6" s="1" t="s">
        <v>29</v>
      </c>
      <c r="K6" s="1" t="s">
        <v>400</v>
      </c>
      <c r="L6" s="1" t="s">
        <v>355</v>
      </c>
      <c r="M6" t="str">
        <f t="shared" si="0"/>
        <v>Babin</v>
      </c>
      <c r="N6" t="str">
        <f t="shared" si="1"/>
        <v>Laurin</v>
      </c>
      <c r="O6" t="str">
        <f t="shared" si="2"/>
        <v>Sayyed</v>
      </c>
      <c r="P6" t="str">
        <f t="shared" si="3"/>
        <v>Powell</v>
      </c>
      <c r="Q6">
        <f t="shared" si="4"/>
        <v>1</v>
      </c>
      <c r="R6" t="str">
        <f t="shared" si="5"/>
        <v>Babin-Laurin-Sayyed-Powell</v>
      </c>
    </row>
    <row r="7" spans="1:18" x14ac:dyDescent="0.25">
      <c r="A7" s="1" t="s">
        <v>429</v>
      </c>
      <c r="B7" s="1">
        <v>1</v>
      </c>
      <c r="C7" s="1" t="s">
        <v>12</v>
      </c>
      <c r="D7" s="1">
        <v>1</v>
      </c>
      <c r="E7" s="1" t="s">
        <v>30</v>
      </c>
      <c r="F7" s="1">
        <v>14</v>
      </c>
      <c r="G7" s="1">
        <v>16</v>
      </c>
      <c r="H7" s="1" t="s">
        <v>182</v>
      </c>
      <c r="I7" s="1" t="s">
        <v>32</v>
      </c>
      <c r="J7" s="1" t="s">
        <v>184</v>
      </c>
      <c r="K7" s="1" t="s">
        <v>400</v>
      </c>
      <c r="L7" s="1" t="s">
        <v>355</v>
      </c>
      <c r="M7" t="str">
        <f t="shared" si="0"/>
        <v>Vandaele</v>
      </c>
      <c r="N7" t="str">
        <f t="shared" si="1"/>
        <v>Van den Bergh</v>
      </c>
      <c r="O7" t="str">
        <f t="shared" si="2"/>
        <v>Campos</v>
      </c>
      <c r="P7" t="str">
        <f t="shared" si="3"/>
        <v>Forschner</v>
      </c>
      <c r="Q7">
        <f t="shared" si="4"/>
        <v>0</v>
      </c>
      <c r="R7" t="str">
        <f t="shared" si="5"/>
        <v>Vandaele-Van den Bergh-Campos-Forschner</v>
      </c>
    </row>
    <row r="8" spans="1:18" x14ac:dyDescent="0.25">
      <c r="A8" s="1" t="s">
        <v>429</v>
      </c>
      <c r="B8" s="1">
        <v>1</v>
      </c>
      <c r="C8" s="1" t="s">
        <v>18</v>
      </c>
      <c r="D8" s="1">
        <v>1</v>
      </c>
      <c r="E8" s="1" t="s">
        <v>30</v>
      </c>
      <c r="F8" s="1">
        <v>17</v>
      </c>
      <c r="G8" s="1">
        <v>16</v>
      </c>
      <c r="H8" s="1" t="s">
        <v>182</v>
      </c>
      <c r="I8" s="1" t="s">
        <v>35</v>
      </c>
      <c r="J8" s="1" t="s">
        <v>187</v>
      </c>
      <c r="K8" s="1" t="s">
        <v>400</v>
      </c>
      <c r="L8" s="1" t="s">
        <v>355</v>
      </c>
      <c r="M8" t="str">
        <f t="shared" si="0"/>
        <v>Theunis</v>
      </c>
      <c r="N8" t="str">
        <f t="shared" si="1"/>
        <v>Declercq</v>
      </c>
      <c r="O8" t="str">
        <f t="shared" si="2"/>
        <v>E. Cuesta</v>
      </c>
      <c r="P8" t="str">
        <f t="shared" si="3"/>
        <v>G. Cuesta</v>
      </c>
      <c r="Q8">
        <f t="shared" si="4"/>
        <v>1</v>
      </c>
      <c r="R8" t="str">
        <f t="shared" si="5"/>
        <v>Theunis-Declercq-E. Cuesta-G. Cuesta</v>
      </c>
    </row>
    <row r="9" spans="1:18" x14ac:dyDescent="0.25">
      <c r="A9" s="1" t="s">
        <v>429</v>
      </c>
      <c r="B9" s="1">
        <v>1</v>
      </c>
      <c r="C9" s="1" t="s">
        <v>21</v>
      </c>
      <c r="D9" s="1">
        <v>1</v>
      </c>
      <c r="E9" s="1" t="s">
        <v>30</v>
      </c>
      <c r="F9" s="1">
        <v>11</v>
      </c>
      <c r="G9" s="1">
        <v>15</v>
      </c>
      <c r="H9" s="1" t="s">
        <v>182</v>
      </c>
      <c r="I9" s="1" t="s">
        <v>409</v>
      </c>
      <c r="J9" s="1" t="s">
        <v>379</v>
      </c>
      <c r="K9" s="1" t="s">
        <v>400</v>
      </c>
      <c r="L9" s="1" t="s">
        <v>355</v>
      </c>
      <c r="M9" t="str">
        <f t="shared" si="0"/>
        <v>Jor. Neyens</v>
      </c>
      <c r="N9" t="str">
        <f t="shared" si="1"/>
        <v>Vlassaks</v>
      </c>
      <c r="O9" t="str">
        <f t="shared" si="2"/>
        <v>Navio</v>
      </c>
      <c r="P9" t="str">
        <f t="shared" si="3"/>
        <v>M. Egea</v>
      </c>
      <c r="Q9">
        <f t="shared" si="4"/>
        <v>0</v>
      </c>
      <c r="R9" t="str">
        <f t="shared" si="5"/>
        <v>Jor. Neyens-Vlassaks-Navio-M. Egea</v>
      </c>
    </row>
    <row r="10" spans="1:18" x14ac:dyDescent="0.25">
      <c r="A10" s="1" t="s">
        <v>429</v>
      </c>
      <c r="B10" s="1">
        <v>1</v>
      </c>
      <c r="C10" s="1" t="s">
        <v>24</v>
      </c>
      <c r="D10" s="1">
        <v>1</v>
      </c>
      <c r="E10" s="1" t="s">
        <v>30</v>
      </c>
      <c r="F10" s="1">
        <v>15</v>
      </c>
      <c r="G10" s="1">
        <v>12</v>
      </c>
      <c r="H10" s="1" t="s">
        <v>182</v>
      </c>
      <c r="I10" s="1" t="s">
        <v>39</v>
      </c>
      <c r="J10" s="1" t="s">
        <v>380</v>
      </c>
      <c r="K10" s="1" t="s">
        <v>400</v>
      </c>
      <c r="L10" s="1" t="s">
        <v>355</v>
      </c>
      <c r="M10" t="str">
        <f t="shared" si="0"/>
        <v>Vandamme</v>
      </c>
      <c r="N10" t="str">
        <f t="shared" si="1"/>
        <v>Hublet</v>
      </c>
      <c r="O10" t="str">
        <f t="shared" si="2"/>
        <v>Luna</v>
      </c>
      <c r="P10" t="str">
        <f t="shared" si="3"/>
        <v>D. Egea</v>
      </c>
      <c r="Q10">
        <f t="shared" si="4"/>
        <v>1</v>
      </c>
      <c r="R10" t="str">
        <f t="shared" si="5"/>
        <v>Vandamme-Hublet-Luna-D. Egea</v>
      </c>
    </row>
    <row r="11" spans="1:18" x14ac:dyDescent="0.25">
      <c r="A11" s="1" t="s">
        <v>429</v>
      </c>
      <c r="B11" s="1">
        <v>1</v>
      </c>
      <c r="C11" s="1" t="s">
        <v>27</v>
      </c>
      <c r="D11" s="1">
        <v>1</v>
      </c>
      <c r="E11" s="1" t="s">
        <v>30</v>
      </c>
      <c r="F11" s="1">
        <v>11</v>
      </c>
      <c r="G11" s="1">
        <v>15</v>
      </c>
      <c r="H11" s="1" t="s">
        <v>182</v>
      </c>
      <c r="I11" s="1" t="s">
        <v>41</v>
      </c>
      <c r="J11" s="1" t="s">
        <v>193</v>
      </c>
      <c r="K11" s="1" t="s">
        <v>400</v>
      </c>
      <c r="L11" s="1" t="s">
        <v>355</v>
      </c>
      <c r="M11" t="str">
        <f t="shared" si="0"/>
        <v>M. Paes</v>
      </c>
      <c r="N11" t="str">
        <f t="shared" si="1"/>
        <v>D. Paes</v>
      </c>
      <c r="O11" t="str">
        <f t="shared" si="2"/>
        <v>Muratel</v>
      </c>
      <c r="P11" t="str">
        <f t="shared" si="3"/>
        <v>Gonzalez</v>
      </c>
      <c r="Q11">
        <f t="shared" si="4"/>
        <v>0</v>
      </c>
      <c r="R11" t="str">
        <f t="shared" si="5"/>
        <v>M. Paes-D. Paes-Muratel-Gonzalez</v>
      </c>
    </row>
    <row r="12" spans="1:18" x14ac:dyDescent="0.25">
      <c r="A12" s="1" t="s">
        <v>429</v>
      </c>
      <c r="B12" s="1">
        <v>1</v>
      </c>
      <c r="C12" s="1" t="s">
        <v>12</v>
      </c>
      <c r="D12" s="1">
        <v>1</v>
      </c>
      <c r="E12" s="1" t="s">
        <v>146</v>
      </c>
      <c r="F12" s="1">
        <v>15</v>
      </c>
      <c r="G12" s="1">
        <v>6</v>
      </c>
      <c r="H12" s="1" t="s">
        <v>182</v>
      </c>
      <c r="I12" s="1" t="s">
        <v>148</v>
      </c>
      <c r="J12" s="1" t="s">
        <v>184</v>
      </c>
      <c r="K12" s="1" t="s">
        <v>400</v>
      </c>
      <c r="L12" s="1" t="s">
        <v>355</v>
      </c>
      <c r="M12" t="str">
        <f t="shared" si="0"/>
        <v>Eisenträger</v>
      </c>
      <c r="N12" t="str">
        <f t="shared" si="1"/>
        <v>Siemer</v>
      </c>
      <c r="O12" t="str">
        <f t="shared" si="2"/>
        <v>Campos</v>
      </c>
      <c r="P12" t="str">
        <f t="shared" si="3"/>
        <v>Forschner</v>
      </c>
      <c r="Q12">
        <f t="shared" si="4"/>
        <v>1</v>
      </c>
      <c r="R12" t="str">
        <f t="shared" si="5"/>
        <v>Eisenträger-Siemer-Campos-Forschner</v>
      </c>
    </row>
    <row r="13" spans="1:18" x14ac:dyDescent="0.25">
      <c r="A13" s="1" t="s">
        <v>429</v>
      </c>
      <c r="B13" s="1">
        <v>1</v>
      </c>
      <c r="C13" s="1" t="s">
        <v>18</v>
      </c>
      <c r="D13" s="1">
        <v>1</v>
      </c>
      <c r="E13" s="1" t="s">
        <v>146</v>
      </c>
      <c r="F13" s="1">
        <v>15</v>
      </c>
      <c r="G13" s="1">
        <v>2</v>
      </c>
      <c r="H13" s="1" t="s">
        <v>182</v>
      </c>
      <c r="I13" s="1" t="s">
        <v>151</v>
      </c>
      <c r="J13" s="1" t="s">
        <v>187</v>
      </c>
      <c r="K13" s="1" t="s">
        <v>400</v>
      </c>
      <c r="L13" s="1" t="s">
        <v>355</v>
      </c>
      <c r="M13" t="str">
        <f t="shared" si="0"/>
        <v>Grönebaum</v>
      </c>
      <c r="N13" t="str">
        <f t="shared" si="1"/>
        <v>Prüfer</v>
      </c>
      <c r="O13" t="str">
        <f t="shared" si="2"/>
        <v>E. Cuesta</v>
      </c>
      <c r="P13" t="str">
        <f t="shared" si="3"/>
        <v>G. Cuesta</v>
      </c>
      <c r="Q13">
        <f t="shared" si="4"/>
        <v>1</v>
      </c>
      <c r="R13" t="str">
        <f t="shared" si="5"/>
        <v>Grönebaum-Prüfer-E. Cuesta-G. Cuesta</v>
      </c>
    </row>
    <row r="14" spans="1:18" x14ac:dyDescent="0.25">
      <c r="A14" s="1" t="s">
        <v>429</v>
      </c>
      <c r="B14" s="1">
        <v>1</v>
      </c>
      <c r="C14" s="1" t="s">
        <v>21</v>
      </c>
      <c r="D14" s="1">
        <v>1</v>
      </c>
      <c r="E14" s="1" t="s">
        <v>146</v>
      </c>
      <c r="F14" s="1">
        <v>15</v>
      </c>
      <c r="G14" s="1">
        <v>11</v>
      </c>
      <c r="H14" s="1" t="s">
        <v>182</v>
      </c>
      <c r="I14" s="1" t="s">
        <v>153</v>
      </c>
      <c r="J14" s="1" t="s">
        <v>379</v>
      </c>
      <c r="K14" s="1" t="s">
        <v>400</v>
      </c>
      <c r="L14" s="1" t="s">
        <v>355</v>
      </c>
      <c r="M14" t="str">
        <f t="shared" si="0"/>
        <v>Claus</v>
      </c>
      <c r="N14" t="str">
        <f t="shared" si="1"/>
        <v>Lauterbach</v>
      </c>
      <c r="O14" t="str">
        <f t="shared" si="2"/>
        <v>Navio</v>
      </c>
      <c r="P14" t="str">
        <f t="shared" si="3"/>
        <v>M. Egea</v>
      </c>
      <c r="Q14">
        <f t="shared" si="4"/>
        <v>1</v>
      </c>
      <c r="R14" t="str">
        <f t="shared" si="5"/>
        <v>Claus-Lauterbach-Navio-M. Egea</v>
      </c>
    </row>
    <row r="15" spans="1:18" x14ac:dyDescent="0.25">
      <c r="A15" s="1" t="s">
        <v>429</v>
      </c>
      <c r="B15" s="1">
        <v>1</v>
      </c>
      <c r="C15" s="1" t="s">
        <v>24</v>
      </c>
      <c r="D15" s="1">
        <v>1</v>
      </c>
      <c r="E15" s="1" t="s">
        <v>146</v>
      </c>
      <c r="F15" s="1">
        <v>15</v>
      </c>
      <c r="G15" s="1">
        <v>8</v>
      </c>
      <c r="H15" s="1" t="s">
        <v>182</v>
      </c>
      <c r="I15" s="1" t="s">
        <v>209</v>
      </c>
      <c r="J15" s="1" t="s">
        <v>380</v>
      </c>
      <c r="K15" s="1" t="s">
        <v>400</v>
      </c>
      <c r="L15" s="1" t="s">
        <v>355</v>
      </c>
      <c r="M15" t="str">
        <f t="shared" si="0"/>
        <v>Christiani</v>
      </c>
      <c r="N15" t="str">
        <f t="shared" si="1"/>
        <v>Harder</v>
      </c>
      <c r="O15" t="str">
        <f t="shared" si="2"/>
        <v>Luna</v>
      </c>
      <c r="P15" t="str">
        <f t="shared" si="3"/>
        <v>D. Egea</v>
      </c>
      <c r="Q15">
        <f t="shared" si="4"/>
        <v>1</v>
      </c>
      <c r="R15" t="str">
        <f t="shared" si="5"/>
        <v>Christiani-Harder-Luna-D. Egea</v>
      </c>
    </row>
    <row r="16" spans="1:18" x14ac:dyDescent="0.25">
      <c r="A16" s="1" t="s">
        <v>429</v>
      </c>
      <c r="B16" s="1">
        <v>1</v>
      </c>
      <c r="C16" s="1" t="s">
        <v>27</v>
      </c>
      <c r="D16" s="1">
        <v>1</v>
      </c>
      <c r="E16" s="1" t="s">
        <v>146</v>
      </c>
      <c r="F16" s="1">
        <v>15</v>
      </c>
      <c r="G16" s="1">
        <v>10</v>
      </c>
      <c r="H16" s="1" t="s">
        <v>182</v>
      </c>
      <c r="I16" s="1" t="s">
        <v>210</v>
      </c>
      <c r="J16" s="1" t="s">
        <v>193</v>
      </c>
      <c r="K16" s="1" t="s">
        <v>400</v>
      </c>
      <c r="L16" s="1" t="s">
        <v>355</v>
      </c>
      <c r="M16" t="str">
        <f t="shared" si="0"/>
        <v>Klement</v>
      </c>
      <c r="N16" t="str">
        <f t="shared" si="1"/>
        <v>Krehle</v>
      </c>
      <c r="O16" t="str">
        <f t="shared" si="2"/>
        <v>Muratel</v>
      </c>
      <c r="P16" t="str">
        <f t="shared" si="3"/>
        <v>Gonzalez</v>
      </c>
      <c r="Q16">
        <f t="shared" si="4"/>
        <v>1</v>
      </c>
      <c r="R16" t="str">
        <f t="shared" si="5"/>
        <v>Klement-Krehle-Muratel-Gonzalez</v>
      </c>
    </row>
    <row r="17" spans="1:18" x14ac:dyDescent="0.25">
      <c r="A17" s="1" t="s">
        <v>429</v>
      </c>
      <c r="B17" s="1">
        <v>1</v>
      </c>
      <c r="C17" s="1" t="s">
        <v>12</v>
      </c>
      <c r="D17" s="1">
        <v>1</v>
      </c>
      <c r="E17" s="1" t="s">
        <v>13</v>
      </c>
      <c r="F17" s="1">
        <v>11</v>
      </c>
      <c r="G17" s="1">
        <v>15</v>
      </c>
      <c r="H17" s="1" t="s">
        <v>14</v>
      </c>
      <c r="I17" s="1" t="s">
        <v>408</v>
      </c>
      <c r="J17" s="1" t="s">
        <v>16</v>
      </c>
      <c r="K17" s="1" t="s">
        <v>400</v>
      </c>
      <c r="L17" s="1" t="s">
        <v>355</v>
      </c>
      <c r="M17" t="str">
        <f t="shared" si="0"/>
        <v>Kaldor</v>
      </c>
      <c r="N17" t="str">
        <f t="shared" si="1"/>
        <v>J. Read</v>
      </c>
      <c r="O17" t="str">
        <f t="shared" si="2"/>
        <v>Beeks</v>
      </c>
      <c r="P17" t="str">
        <f t="shared" si="3"/>
        <v>Elbourne</v>
      </c>
      <c r="Q17">
        <f t="shared" si="4"/>
        <v>0</v>
      </c>
      <c r="R17" t="str">
        <f t="shared" si="5"/>
        <v>Kaldor-J. Read-Beeks-Elbourne</v>
      </c>
    </row>
    <row r="18" spans="1:18" x14ac:dyDescent="0.25">
      <c r="A18" s="1" t="s">
        <v>429</v>
      </c>
      <c r="B18" s="1">
        <v>1</v>
      </c>
      <c r="C18" s="1" t="s">
        <v>18</v>
      </c>
      <c r="D18" s="1">
        <v>1</v>
      </c>
      <c r="E18" s="1" t="s">
        <v>13</v>
      </c>
      <c r="F18" s="1">
        <v>12</v>
      </c>
      <c r="G18" s="1">
        <v>15</v>
      </c>
      <c r="H18" s="1" t="s">
        <v>14</v>
      </c>
      <c r="I18" s="1" t="s">
        <v>19</v>
      </c>
      <c r="J18" s="1" t="s">
        <v>20</v>
      </c>
      <c r="K18" s="1" t="s">
        <v>400</v>
      </c>
      <c r="L18" s="1" t="s">
        <v>355</v>
      </c>
      <c r="M18" t="str">
        <f t="shared" si="0"/>
        <v>Geyer</v>
      </c>
      <c r="N18" t="str">
        <f t="shared" si="1"/>
        <v>Noble</v>
      </c>
      <c r="O18" t="str">
        <f t="shared" si="2"/>
        <v>Rowlands</v>
      </c>
      <c r="P18" t="str">
        <f t="shared" si="3"/>
        <v>Hutko</v>
      </c>
      <c r="Q18">
        <f t="shared" si="4"/>
        <v>0</v>
      </c>
      <c r="R18" t="str">
        <f t="shared" si="5"/>
        <v>Geyer-Noble-Rowlands-Hutko</v>
      </c>
    </row>
    <row r="19" spans="1:18" x14ac:dyDescent="0.25">
      <c r="A19" s="1" t="s">
        <v>429</v>
      </c>
      <c r="B19" s="1">
        <v>1</v>
      </c>
      <c r="C19" s="1" t="s">
        <v>21</v>
      </c>
      <c r="D19" s="1">
        <v>1</v>
      </c>
      <c r="E19" s="1" t="s">
        <v>13</v>
      </c>
      <c r="F19" s="1">
        <v>11</v>
      </c>
      <c r="G19" s="1">
        <v>15</v>
      </c>
      <c r="H19" s="1" t="s">
        <v>14</v>
      </c>
      <c r="I19" s="1" t="s">
        <v>427</v>
      </c>
      <c r="J19" s="1" t="s">
        <v>23</v>
      </c>
      <c r="K19" s="1" t="s">
        <v>400</v>
      </c>
      <c r="L19" s="1" t="s">
        <v>355</v>
      </c>
      <c r="M19" t="str">
        <f t="shared" si="0"/>
        <v>Briant</v>
      </c>
      <c r="N19" t="str">
        <f t="shared" si="1"/>
        <v>N. Wong</v>
      </c>
      <c r="O19" t="str">
        <f t="shared" si="2"/>
        <v>Cook</v>
      </c>
      <c r="P19" t="str">
        <f t="shared" si="3"/>
        <v>Kerridge</v>
      </c>
      <c r="Q19">
        <f t="shared" si="4"/>
        <v>0</v>
      </c>
      <c r="R19" t="str">
        <f t="shared" si="5"/>
        <v>Briant-N. Wong-Cook-Kerridge</v>
      </c>
    </row>
    <row r="20" spans="1:18" x14ac:dyDescent="0.25">
      <c r="A20" s="1" t="s">
        <v>429</v>
      </c>
      <c r="B20" s="1">
        <v>1</v>
      </c>
      <c r="C20" s="1" t="s">
        <v>24</v>
      </c>
      <c r="D20" s="1">
        <v>1</v>
      </c>
      <c r="E20" s="1" t="s">
        <v>13</v>
      </c>
      <c r="F20" s="1">
        <v>15</v>
      </c>
      <c r="G20" s="1">
        <v>9</v>
      </c>
      <c r="H20" s="1" t="s">
        <v>14</v>
      </c>
      <c r="I20" s="1" t="s">
        <v>387</v>
      </c>
      <c r="J20" s="1" t="s">
        <v>26</v>
      </c>
      <c r="K20" s="1" t="s">
        <v>400</v>
      </c>
      <c r="L20" s="1" t="s">
        <v>355</v>
      </c>
      <c r="M20" t="str">
        <f t="shared" si="0"/>
        <v>Al. Capp</v>
      </c>
      <c r="N20" t="str">
        <f t="shared" si="1"/>
        <v>Ragg</v>
      </c>
      <c r="O20" t="str">
        <f t="shared" si="2"/>
        <v>Jackson</v>
      </c>
      <c r="P20" t="str">
        <f t="shared" si="3"/>
        <v>Douglas</v>
      </c>
      <c r="Q20">
        <f t="shared" si="4"/>
        <v>1</v>
      </c>
      <c r="R20" t="str">
        <f t="shared" si="5"/>
        <v>Al. Capp-Ragg-Jackson-Douglas</v>
      </c>
    </row>
    <row r="21" spans="1:18" x14ac:dyDescent="0.25">
      <c r="A21" s="1" t="s">
        <v>429</v>
      </c>
      <c r="B21" s="1">
        <v>1</v>
      </c>
      <c r="C21" s="1" t="s">
        <v>27</v>
      </c>
      <c r="D21" s="1">
        <v>1</v>
      </c>
      <c r="E21" s="1" t="s">
        <v>13</v>
      </c>
      <c r="F21" s="1">
        <v>11</v>
      </c>
      <c r="G21" s="1">
        <v>15</v>
      </c>
      <c r="H21" s="1" t="s">
        <v>14</v>
      </c>
      <c r="I21" s="1" t="s">
        <v>28</v>
      </c>
      <c r="J21" s="1" t="s">
        <v>29</v>
      </c>
      <c r="K21" s="1" t="s">
        <v>400</v>
      </c>
      <c r="L21" s="1" t="s">
        <v>355</v>
      </c>
      <c r="M21" t="str">
        <f t="shared" si="0"/>
        <v>Nirens</v>
      </c>
      <c r="N21" t="str">
        <f t="shared" si="1"/>
        <v>Wise</v>
      </c>
      <c r="O21" t="str">
        <f t="shared" si="2"/>
        <v>Sayyed</v>
      </c>
      <c r="P21" t="str">
        <f t="shared" si="3"/>
        <v>Powell</v>
      </c>
      <c r="Q21">
        <f t="shared" si="4"/>
        <v>0</v>
      </c>
      <c r="R21" t="str">
        <f t="shared" si="5"/>
        <v>Nirens-Wise-Sayyed-Powell</v>
      </c>
    </row>
    <row r="22" spans="1:18" x14ac:dyDescent="0.25">
      <c r="A22" s="1" t="s">
        <v>382</v>
      </c>
      <c r="B22" s="1">
        <v>1</v>
      </c>
      <c r="C22" s="1" t="s">
        <v>12</v>
      </c>
      <c r="D22" s="1">
        <v>1</v>
      </c>
      <c r="E22" s="7" t="s">
        <v>43</v>
      </c>
      <c r="F22" s="1">
        <v>15</v>
      </c>
      <c r="G22" s="1">
        <v>11</v>
      </c>
      <c r="H22" s="7" t="s">
        <v>155</v>
      </c>
      <c r="I22" s="1" t="s">
        <v>45</v>
      </c>
      <c r="J22" s="1" t="s">
        <v>157</v>
      </c>
      <c r="K22" s="1" t="s">
        <v>400</v>
      </c>
      <c r="L22" s="1" t="s">
        <v>355</v>
      </c>
      <c r="M22" t="str">
        <f t="shared" si="0"/>
        <v>Cabala</v>
      </c>
      <c r="N22" t="str">
        <f t="shared" si="1"/>
        <v>Nerad</v>
      </c>
      <c r="O22" t="str">
        <f t="shared" si="2"/>
        <v>Bazzani</v>
      </c>
      <c r="P22" t="str">
        <f t="shared" si="3"/>
        <v>Borsotti</v>
      </c>
      <c r="Q22">
        <f t="shared" si="4"/>
        <v>1</v>
      </c>
      <c r="R22" t="str">
        <f t="shared" si="5"/>
        <v>Cabala-Nerad-Bazzani-Borsotti</v>
      </c>
    </row>
    <row r="23" spans="1:18" x14ac:dyDescent="0.25">
      <c r="A23" s="1" t="s">
        <v>382</v>
      </c>
      <c r="B23" s="1">
        <v>1</v>
      </c>
      <c r="C23" s="1" t="s">
        <v>18</v>
      </c>
      <c r="D23" s="1">
        <v>1</v>
      </c>
      <c r="E23" s="7" t="s">
        <v>43</v>
      </c>
      <c r="F23" s="1">
        <v>9</v>
      </c>
      <c r="G23" s="1">
        <v>15</v>
      </c>
      <c r="H23" s="7" t="s">
        <v>155</v>
      </c>
      <c r="I23" s="1" t="s">
        <v>48</v>
      </c>
      <c r="J23" s="1" t="s">
        <v>160</v>
      </c>
      <c r="K23" s="1" t="s">
        <v>400</v>
      </c>
      <c r="L23" s="1" t="s">
        <v>355</v>
      </c>
      <c r="M23" t="str">
        <f t="shared" si="0"/>
        <v>Mezzey</v>
      </c>
      <c r="N23" t="str">
        <f t="shared" si="1"/>
        <v>Visek</v>
      </c>
      <c r="O23" t="str">
        <f t="shared" si="2"/>
        <v>Dudine</v>
      </c>
      <c r="P23" t="str">
        <f t="shared" si="3"/>
        <v>Zanellato</v>
      </c>
      <c r="Q23">
        <f t="shared" si="4"/>
        <v>0</v>
      </c>
      <c r="R23" t="str">
        <f t="shared" si="5"/>
        <v>Mezzey-Visek-Dudine-Zanellato</v>
      </c>
    </row>
    <row r="24" spans="1:18" x14ac:dyDescent="0.25">
      <c r="A24" s="1" t="s">
        <v>382</v>
      </c>
      <c r="B24" s="1">
        <v>1</v>
      </c>
      <c r="C24" s="1" t="s">
        <v>21</v>
      </c>
      <c r="D24" s="1">
        <v>1</v>
      </c>
      <c r="E24" s="7" t="s">
        <v>43</v>
      </c>
      <c r="F24" s="1">
        <v>5</v>
      </c>
      <c r="G24" s="1">
        <v>11</v>
      </c>
      <c r="H24" s="7" t="s">
        <v>155</v>
      </c>
      <c r="I24" s="1" t="s">
        <v>381</v>
      </c>
      <c r="J24" s="1" t="s">
        <v>364</v>
      </c>
      <c r="K24" s="1" t="s">
        <v>400</v>
      </c>
      <c r="L24" s="1" t="s">
        <v>355</v>
      </c>
      <c r="M24" t="str">
        <f t="shared" si="0"/>
        <v>Grahman</v>
      </c>
      <c r="N24" t="str">
        <f t="shared" si="1"/>
        <v>Sakup</v>
      </c>
      <c r="O24" t="str">
        <f t="shared" si="2"/>
        <v>mercadini</v>
      </c>
      <c r="P24" t="str">
        <f t="shared" si="3"/>
        <v>Sacchini</v>
      </c>
      <c r="Q24">
        <f t="shared" si="4"/>
        <v>0</v>
      </c>
      <c r="R24" t="str">
        <f t="shared" si="5"/>
        <v>Grahman-Sakup-mercadini-Sacchini</v>
      </c>
    </row>
    <row r="25" spans="1:18" x14ac:dyDescent="0.25">
      <c r="A25" s="1" t="s">
        <v>382</v>
      </c>
      <c r="B25" s="1">
        <v>1</v>
      </c>
      <c r="C25" s="1" t="s">
        <v>24</v>
      </c>
      <c r="D25" s="1">
        <v>1</v>
      </c>
      <c r="E25" s="7" t="s">
        <v>43</v>
      </c>
      <c r="F25" s="1">
        <v>6</v>
      </c>
      <c r="G25" s="1">
        <v>15</v>
      </c>
      <c r="H25" s="7" t="s">
        <v>155</v>
      </c>
      <c r="I25" s="1" t="s">
        <v>52</v>
      </c>
      <c r="J25" s="1" t="s">
        <v>164</v>
      </c>
      <c r="K25" s="1" t="s">
        <v>400</v>
      </c>
      <c r="L25" s="1" t="s">
        <v>355</v>
      </c>
      <c r="M25" t="str">
        <f t="shared" si="0"/>
        <v>Daling</v>
      </c>
      <c r="N25" t="str">
        <f t="shared" si="1"/>
        <v>Olsansky</v>
      </c>
      <c r="O25" t="str">
        <f t="shared" si="2"/>
        <v>Grazi</v>
      </c>
      <c r="P25" t="str">
        <f t="shared" si="3"/>
        <v>Pareschi</v>
      </c>
      <c r="Q25">
        <f t="shared" si="4"/>
        <v>0</v>
      </c>
      <c r="R25" t="str">
        <f t="shared" si="5"/>
        <v>Daling-Olsansky-Grazi-Pareschi</v>
      </c>
    </row>
    <row r="26" spans="1:18" x14ac:dyDescent="0.25">
      <c r="A26" s="1" t="s">
        <v>382</v>
      </c>
      <c r="B26" s="1">
        <v>1</v>
      </c>
      <c r="C26" s="1" t="s">
        <v>27</v>
      </c>
      <c r="D26" s="1">
        <v>1</v>
      </c>
      <c r="E26" s="7" t="s">
        <v>43</v>
      </c>
      <c r="F26" s="1">
        <v>6</v>
      </c>
      <c r="G26" s="1">
        <v>15</v>
      </c>
      <c r="H26" s="7" t="s">
        <v>155</v>
      </c>
      <c r="I26" s="1" t="s">
        <v>54</v>
      </c>
      <c r="J26" s="1" t="s">
        <v>166</v>
      </c>
      <c r="K26" s="1" t="s">
        <v>400</v>
      </c>
      <c r="L26" s="1" t="s">
        <v>355</v>
      </c>
      <c r="M26" t="str">
        <f t="shared" si="0"/>
        <v>Kovarik</v>
      </c>
      <c r="N26" t="str">
        <f t="shared" si="1"/>
        <v>Macanek</v>
      </c>
      <c r="O26" t="str">
        <f t="shared" si="2"/>
        <v>Merlin</v>
      </c>
      <c r="P26" t="str">
        <f t="shared" si="3"/>
        <v>Molli</v>
      </c>
      <c r="Q26">
        <f t="shared" si="4"/>
        <v>0</v>
      </c>
      <c r="R26" t="str">
        <f t="shared" si="5"/>
        <v>Kovarik-Macanek-Merlin-Molli</v>
      </c>
    </row>
    <row r="27" spans="1:18" x14ac:dyDescent="0.25">
      <c r="A27" s="1" t="s">
        <v>382</v>
      </c>
      <c r="B27" s="1">
        <v>1</v>
      </c>
      <c r="C27" s="1" t="s">
        <v>12</v>
      </c>
      <c r="D27" s="1">
        <v>1</v>
      </c>
      <c r="E27" s="7" t="s">
        <v>57</v>
      </c>
      <c r="F27" s="1">
        <v>17</v>
      </c>
      <c r="G27" s="1">
        <v>16</v>
      </c>
      <c r="H27" s="7" t="s">
        <v>155</v>
      </c>
      <c r="I27" s="1" t="s">
        <v>59</v>
      </c>
      <c r="J27" s="1" t="s">
        <v>157</v>
      </c>
      <c r="K27" s="1" t="s">
        <v>400</v>
      </c>
      <c r="L27" s="1" t="s">
        <v>355</v>
      </c>
      <c r="M27" t="str">
        <f t="shared" si="0"/>
        <v>Razvan</v>
      </c>
      <c r="N27" t="str">
        <f t="shared" si="1"/>
        <v>Cimpian</v>
      </c>
      <c r="O27" t="str">
        <f t="shared" si="2"/>
        <v>Bazzani</v>
      </c>
      <c r="P27" t="str">
        <f t="shared" si="3"/>
        <v>Borsotti</v>
      </c>
      <c r="Q27">
        <f t="shared" si="4"/>
        <v>1</v>
      </c>
      <c r="R27" t="str">
        <f t="shared" si="5"/>
        <v>Razvan-Cimpian-Bazzani-Borsotti</v>
      </c>
    </row>
    <row r="28" spans="1:18" x14ac:dyDescent="0.25">
      <c r="A28" s="1" t="s">
        <v>382</v>
      </c>
      <c r="B28" s="1">
        <v>1</v>
      </c>
      <c r="C28" s="1" t="s">
        <v>18</v>
      </c>
      <c r="D28" s="1">
        <v>1</v>
      </c>
      <c r="E28" s="7" t="s">
        <v>57</v>
      </c>
      <c r="F28" s="1">
        <v>9</v>
      </c>
      <c r="G28" s="1">
        <v>15</v>
      </c>
      <c r="H28" s="7" t="s">
        <v>155</v>
      </c>
      <c r="I28" s="1" t="s">
        <v>62</v>
      </c>
      <c r="J28" s="1" t="s">
        <v>160</v>
      </c>
      <c r="K28" s="1" t="s">
        <v>400</v>
      </c>
      <c r="L28" s="1" t="s">
        <v>355</v>
      </c>
      <c r="M28" t="str">
        <f t="shared" si="0"/>
        <v>Colac</v>
      </c>
      <c r="N28" t="str">
        <f t="shared" si="1"/>
        <v>Popa</v>
      </c>
      <c r="O28" t="str">
        <f t="shared" si="2"/>
        <v>Dudine</v>
      </c>
      <c r="P28" t="str">
        <f t="shared" si="3"/>
        <v>Zanellato</v>
      </c>
      <c r="Q28">
        <f t="shared" si="4"/>
        <v>0</v>
      </c>
      <c r="R28" t="str">
        <f t="shared" si="5"/>
        <v>Colac-Popa-Dudine-Zanellato</v>
      </c>
    </row>
    <row r="29" spans="1:18" x14ac:dyDescent="0.25">
      <c r="A29" s="1" t="s">
        <v>382</v>
      </c>
      <c r="B29" s="1">
        <v>1</v>
      </c>
      <c r="C29" s="1" t="s">
        <v>21</v>
      </c>
      <c r="D29" s="1">
        <v>1</v>
      </c>
      <c r="E29" s="7" t="s">
        <v>57</v>
      </c>
      <c r="F29" s="1">
        <v>8</v>
      </c>
      <c r="G29" s="1">
        <v>11</v>
      </c>
      <c r="H29" s="7" t="s">
        <v>155</v>
      </c>
      <c r="I29" s="1" t="s">
        <v>64</v>
      </c>
      <c r="J29" s="1" t="s">
        <v>364</v>
      </c>
      <c r="K29" s="1" t="s">
        <v>400</v>
      </c>
      <c r="L29" s="1" t="s">
        <v>355</v>
      </c>
      <c r="M29" t="str">
        <f t="shared" si="0"/>
        <v>Gyergyoi</v>
      </c>
      <c r="N29" t="str">
        <f t="shared" si="1"/>
        <v>Limbovici</v>
      </c>
      <c r="O29" t="str">
        <f t="shared" si="2"/>
        <v>mercadini</v>
      </c>
      <c r="P29" t="str">
        <f t="shared" si="3"/>
        <v>Sacchini</v>
      </c>
      <c r="Q29">
        <f t="shared" si="4"/>
        <v>0</v>
      </c>
      <c r="R29" t="str">
        <f t="shared" si="5"/>
        <v>Gyergyoi-Limbovici-mercadini-Sacchini</v>
      </c>
    </row>
    <row r="30" spans="1:18" x14ac:dyDescent="0.25">
      <c r="A30" s="1" t="s">
        <v>382</v>
      </c>
      <c r="B30" s="1">
        <v>1</v>
      </c>
      <c r="C30" s="1" t="s">
        <v>24</v>
      </c>
      <c r="D30" s="1">
        <v>1</v>
      </c>
      <c r="E30" s="7" t="s">
        <v>57</v>
      </c>
      <c r="F30" s="1">
        <v>9</v>
      </c>
      <c r="G30" s="1">
        <v>15</v>
      </c>
      <c r="H30" s="7" t="s">
        <v>155</v>
      </c>
      <c r="I30" s="1" t="s">
        <v>66</v>
      </c>
      <c r="J30" s="1" t="s">
        <v>164</v>
      </c>
      <c r="K30" s="1" t="s">
        <v>400</v>
      </c>
      <c r="L30" s="1" t="s">
        <v>355</v>
      </c>
      <c r="M30" t="str">
        <f t="shared" si="0"/>
        <v>Aldea</v>
      </c>
      <c r="N30" t="str">
        <f t="shared" si="1"/>
        <v>Bizdideanu</v>
      </c>
      <c r="O30" t="str">
        <f t="shared" si="2"/>
        <v>Grazi</v>
      </c>
      <c r="P30" t="str">
        <f t="shared" si="3"/>
        <v>Pareschi</v>
      </c>
      <c r="Q30">
        <f t="shared" si="4"/>
        <v>0</v>
      </c>
      <c r="R30" t="str">
        <f t="shared" si="5"/>
        <v>Aldea-Bizdideanu-Grazi-Pareschi</v>
      </c>
    </row>
    <row r="31" spans="1:18" x14ac:dyDescent="0.25">
      <c r="A31" s="1" t="s">
        <v>382</v>
      </c>
      <c r="B31" s="1">
        <v>1</v>
      </c>
      <c r="C31" s="1" t="s">
        <v>27</v>
      </c>
      <c r="D31" s="1">
        <v>1</v>
      </c>
      <c r="E31" s="7" t="s">
        <v>57</v>
      </c>
      <c r="F31" s="1">
        <v>5</v>
      </c>
      <c r="G31" s="1">
        <v>15</v>
      </c>
      <c r="H31" s="7" t="s">
        <v>155</v>
      </c>
      <c r="I31" s="1" t="s">
        <v>68</v>
      </c>
      <c r="J31" s="1" t="s">
        <v>166</v>
      </c>
      <c r="K31" s="1" t="s">
        <v>400</v>
      </c>
      <c r="L31" s="1" t="s">
        <v>355</v>
      </c>
      <c r="M31" t="str">
        <f t="shared" si="0"/>
        <v>Bliort</v>
      </c>
      <c r="N31" t="str">
        <f t="shared" si="1"/>
        <v>Cornoiu</v>
      </c>
      <c r="O31" t="str">
        <f t="shared" si="2"/>
        <v>Merlin</v>
      </c>
      <c r="P31" t="str">
        <f t="shared" si="3"/>
        <v>Molli</v>
      </c>
      <c r="Q31">
        <f t="shared" si="4"/>
        <v>0</v>
      </c>
      <c r="R31" t="str">
        <f t="shared" si="5"/>
        <v>Bliort-Cornoiu-Merlin-Molli</v>
      </c>
    </row>
    <row r="32" spans="1:18" x14ac:dyDescent="0.25">
      <c r="A32" s="1" t="s">
        <v>382</v>
      </c>
      <c r="B32" s="1">
        <v>1</v>
      </c>
      <c r="C32" s="1" t="s">
        <v>12</v>
      </c>
      <c r="D32" s="1">
        <v>1</v>
      </c>
      <c r="E32" s="7" t="s">
        <v>156</v>
      </c>
      <c r="F32" s="1">
        <v>12</v>
      </c>
      <c r="G32" s="1">
        <v>15</v>
      </c>
      <c r="H32" s="7" t="s">
        <v>155</v>
      </c>
      <c r="I32" s="1" t="s">
        <v>158</v>
      </c>
      <c r="J32" s="1" t="s">
        <v>157</v>
      </c>
      <c r="K32" s="1" t="s">
        <v>400</v>
      </c>
      <c r="L32" s="1" t="s">
        <v>355</v>
      </c>
      <c r="M32" t="str">
        <f t="shared" si="0"/>
        <v>Bachler</v>
      </c>
      <c r="N32" t="str">
        <f t="shared" si="1"/>
        <v>Dziruni</v>
      </c>
      <c r="O32" t="str">
        <f t="shared" si="2"/>
        <v>Bazzani</v>
      </c>
      <c r="P32" t="str">
        <f t="shared" si="3"/>
        <v>Borsotti</v>
      </c>
      <c r="Q32">
        <f t="shared" si="4"/>
        <v>0</v>
      </c>
      <c r="R32" t="str">
        <f t="shared" si="5"/>
        <v>Bachler-Dziruni-Bazzani-Borsotti</v>
      </c>
    </row>
    <row r="33" spans="1:18" x14ac:dyDescent="0.25">
      <c r="A33" s="1" t="s">
        <v>382</v>
      </c>
      <c r="B33" s="1">
        <v>1</v>
      </c>
      <c r="C33" s="1" t="s">
        <v>18</v>
      </c>
      <c r="D33" s="1">
        <v>1</v>
      </c>
      <c r="E33" s="7" t="s">
        <v>156</v>
      </c>
      <c r="F33" s="1">
        <v>15</v>
      </c>
      <c r="G33" s="1">
        <v>12</v>
      </c>
      <c r="H33" s="7" t="s">
        <v>155</v>
      </c>
      <c r="I33" s="1" t="s">
        <v>161</v>
      </c>
      <c r="J33" s="1" t="s">
        <v>160</v>
      </c>
      <c r="K33" s="1" t="s">
        <v>400</v>
      </c>
      <c r="L33" s="1" t="s">
        <v>355</v>
      </c>
      <c r="M33" t="str">
        <f t="shared" si="0"/>
        <v>Handschmann</v>
      </c>
      <c r="N33" t="str">
        <f t="shared" si="1"/>
        <v>Jindra</v>
      </c>
      <c r="O33" t="str">
        <f t="shared" si="2"/>
        <v>Dudine</v>
      </c>
      <c r="P33" t="str">
        <f t="shared" si="3"/>
        <v>Zanellato</v>
      </c>
      <c r="Q33">
        <f t="shared" si="4"/>
        <v>1</v>
      </c>
      <c r="R33" t="str">
        <f t="shared" si="5"/>
        <v>Handschmann-Jindra-Dudine-Zanellato</v>
      </c>
    </row>
    <row r="34" spans="1:18" x14ac:dyDescent="0.25">
      <c r="A34" s="1" t="s">
        <v>382</v>
      </c>
      <c r="B34" s="1">
        <v>1</v>
      </c>
      <c r="C34" s="1" t="s">
        <v>21</v>
      </c>
      <c r="D34" s="1">
        <v>1</v>
      </c>
      <c r="E34" s="7" t="s">
        <v>156</v>
      </c>
      <c r="F34" s="1">
        <v>14</v>
      </c>
      <c r="G34" s="1">
        <v>16</v>
      </c>
      <c r="H34" s="7" t="s">
        <v>155</v>
      </c>
      <c r="I34" s="1" t="s">
        <v>163</v>
      </c>
      <c r="J34" s="1" t="s">
        <v>364</v>
      </c>
      <c r="K34" s="1" t="s">
        <v>400</v>
      </c>
      <c r="L34" s="1" t="s">
        <v>355</v>
      </c>
      <c r="M34" t="str">
        <f t="shared" si="0"/>
        <v>Eynard</v>
      </c>
      <c r="N34" t="str">
        <f t="shared" si="1"/>
        <v>Stoisser</v>
      </c>
      <c r="O34" t="str">
        <f t="shared" si="2"/>
        <v>mercadini</v>
      </c>
      <c r="P34" t="str">
        <f t="shared" si="3"/>
        <v>Sacchini</v>
      </c>
      <c r="Q34">
        <f t="shared" si="4"/>
        <v>0</v>
      </c>
      <c r="R34" t="str">
        <f t="shared" si="5"/>
        <v>Eynard-Stoisser-mercadini-Sacchini</v>
      </c>
    </row>
    <row r="35" spans="1:18" x14ac:dyDescent="0.25">
      <c r="A35" s="1" t="s">
        <v>382</v>
      </c>
      <c r="B35" s="1">
        <v>1</v>
      </c>
      <c r="C35" s="1" t="s">
        <v>24</v>
      </c>
      <c r="D35" s="1">
        <v>1</v>
      </c>
      <c r="E35" s="7" t="s">
        <v>156</v>
      </c>
      <c r="F35" s="1">
        <v>15</v>
      </c>
      <c r="G35" s="1">
        <v>13</v>
      </c>
      <c r="H35" s="7" t="s">
        <v>155</v>
      </c>
      <c r="I35" s="1" t="s">
        <v>165</v>
      </c>
      <c r="J35" s="1" t="s">
        <v>164</v>
      </c>
      <c r="K35" s="1" t="s">
        <v>400</v>
      </c>
      <c r="L35" s="1" t="s">
        <v>355</v>
      </c>
      <c r="M35" t="str">
        <f t="shared" si="0"/>
        <v>Gangkofner</v>
      </c>
      <c r="N35" t="str">
        <f t="shared" si="1"/>
        <v>Mitterwald</v>
      </c>
      <c r="O35" t="str">
        <f t="shared" si="2"/>
        <v>Grazi</v>
      </c>
      <c r="P35" t="str">
        <f t="shared" si="3"/>
        <v>Pareschi</v>
      </c>
      <c r="Q35">
        <f t="shared" si="4"/>
        <v>1</v>
      </c>
      <c r="R35" t="str">
        <f t="shared" si="5"/>
        <v>Gangkofner-Mitterwald-Grazi-Pareschi</v>
      </c>
    </row>
    <row r="36" spans="1:18" x14ac:dyDescent="0.25">
      <c r="A36" s="1" t="s">
        <v>382</v>
      </c>
      <c r="B36" s="1">
        <v>1</v>
      </c>
      <c r="C36" s="1" t="s">
        <v>27</v>
      </c>
      <c r="D36" s="1">
        <v>1</v>
      </c>
      <c r="E36" s="7" t="s">
        <v>156</v>
      </c>
      <c r="F36" s="1">
        <v>8</v>
      </c>
      <c r="G36" s="1">
        <v>15</v>
      </c>
      <c r="H36" s="7" t="s">
        <v>155</v>
      </c>
      <c r="I36" s="1" t="s">
        <v>167</v>
      </c>
      <c r="J36" s="1" t="s">
        <v>166</v>
      </c>
      <c r="K36" s="1" t="s">
        <v>400</v>
      </c>
      <c r="L36" s="1" t="s">
        <v>355</v>
      </c>
      <c r="M36" t="str">
        <f t="shared" si="0"/>
        <v>Anderle</v>
      </c>
      <c r="N36" t="str">
        <f t="shared" si="1"/>
        <v>Leidenfrost</v>
      </c>
      <c r="O36" t="str">
        <f t="shared" si="2"/>
        <v>Merlin</v>
      </c>
      <c r="P36" t="str">
        <f t="shared" si="3"/>
        <v>Molli</v>
      </c>
      <c r="Q36">
        <f t="shared" si="4"/>
        <v>0</v>
      </c>
      <c r="R36" t="str">
        <f t="shared" si="5"/>
        <v>Anderle-Leidenfrost-Merlin-Molli</v>
      </c>
    </row>
    <row r="37" spans="1:18" x14ac:dyDescent="0.25">
      <c r="A37" s="1" t="s">
        <v>382</v>
      </c>
      <c r="B37" s="1">
        <v>1</v>
      </c>
      <c r="C37" s="1" t="s">
        <v>12</v>
      </c>
      <c r="D37" s="1">
        <v>1</v>
      </c>
      <c r="E37" s="7" t="s">
        <v>43</v>
      </c>
      <c r="F37" s="1">
        <v>15</v>
      </c>
      <c r="G37" s="1">
        <v>13</v>
      </c>
      <c r="H37" s="1" t="s">
        <v>156</v>
      </c>
      <c r="I37" s="1" t="s">
        <v>45</v>
      </c>
      <c r="J37" s="1" t="s">
        <v>158</v>
      </c>
      <c r="K37" s="1" t="s">
        <v>400</v>
      </c>
      <c r="L37" s="1" t="s">
        <v>355</v>
      </c>
      <c r="M37" t="str">
        <f t="shared" si="0"/>
        <v>Cabala</v>
      </c>
      <c r="N37" t="str">
        <f t="shared" si="1"/>
        <v>Nerad</v>
      </c>
      <c r="O37" t="str">
        <f t="shared" si="2"/>
        <v>Bachler</v>
      </c>
      <c r="P37" t="str">
        <f t="shared" si="3"/>
        <v>Dziruni</v>
      </c>
      <c r="Q37">
        <f t="shared" si="4"/>
        <v>1</v>
      </c>
      <c r="R37" t="str">
        <f t="shared" si="5"/>
        <v>Cabala-Nerad-Bachler-Dziruni</v>
      </c>
    </row>
    <row r="38" spans="1:18" x14ac:dyDescent="0.25">
      <c r="A38" s="1" t="s">
        <v>382</v>
      </c>
      <c r="B38" s="1">
        <v>1</v>
      </c>
      <c r="C38" s="1" t="s">
        <v>18</v>
      </c>
      <c r="D38" s="1">
        <v>1</v>
      </c>
      <c r="E38" s="7" t="s">
        <v>43</v>
      </c>
      <c r="F38" s="1">
        <v>16</v>
      </c>
      <c r="G38" s="1">
        <v>17</v>
      </c>
      <c r="H38" s="1" t="s">
        <v>156</v>
      </c>
      <c r="I38" s="1" t="s">
        <v>48</v>
      </c>
      <c r="J38" s="1" t="s">
        <v>161</v>
      </c>
      <c r="K38" s="1" t="s">
        <v>400</v>
      </c>
      <c r="L38" s="1" t="s">
        <v>355</v>
      </c>
      <c r="M38" t="str">
        <f t="shared" si="0"/>
        <v>Mezzey</v>
      </c>
      <c r="N38" t="str">
        <f t="shared" si="1"/>
        <v>Visek</v>
      </c>
      <c r="O38" t="str">
        <f t="shared" si="2"/>
        <v>Handschmann</v>
      </c>
      <c r="P38" t="str">
        <f t="shared" si="3"/>
        <v>Jindra</v>
      </c>
      <c r="Q38">
        <f t="shared" si="4"/>
        <v>0</v>
      </c>
      <c r="R38" t="str">
        <f t="shared" si="5"/>
        <v>Mezzey-Visek-Handschmann-Jindra</v>
      </c>
    </row>
    <row r="39" spans="1:18" x14ac:dyDescent="0.25">
      <c r="A39" s="1" t="s">
        <v>382</v>
      </c>
      <c r="B39" s="1">
        <v>1</v>
      </c>
      <c r="C39" s="1" t="s">
        <v>21</v>
      </c>
      <c r="D39" s="1">
        <v>1</v>
      </c>
      <c r="E39" s="7" t="s">
        <v>43</v>
      </c>
      <c r="F39" s="1">
        <v>11</v>
      </c>
      <c r="G39" s="1">
        <v>15</v>
      </c>
      <c r="H39" s="1" t="s">
        <v>156</v>
      </c>
      <c r="I39" s="1" t="s">
        <v>381</v>
      </c>
      <c r="J39" s="1" t="s">
        <v>163</v>
      </c>
      <c r="K39" s="1" t="s">
        <v>400</v>
      </c>
      <c r="L39" s="1" t="s">
        <v>355</v>
      </c>
      <c r="M39" t="str">
        <f t="shared" si="0"/>
        <v>Grahman</v>
      </c>
      <c r="N39" t="str">
        <f t="shared" si="1"/>
        <v>Sakup</v>
      </c>
      <c r="O39" t="str">
        <f t="shared" si="2"/>
        <v>Eynard</v>
      </c>
      <c r="P39" t="str">
        <f t="shared" si="3"/>
        <v>Stoisser</v>
      </c>
      <c r="Q39">
        <f t="shared" si="4"/>
        <v>0</v>
      </c>
      <c r="R39" t="str">
        <f t="shared" si="5"/>
        <v>Grahman-Sakup-Eynard-Stoisser</v>
      </c>
    </row>
    <row r="40" spans="1:18" x14ac:dyDescent="0.25">
      <c r="A40" s="1" t="s">
        <v>382</v>
      </c>
      <c r="B40" s="1">
        <v>1</v>
      </c>
      <c r="C40" s="1" t="s">
        <v>24</v>
      </c>
      <c r="D40" s="1">
        <v>1</v>
      </c>
      <c r="E40" s="7" t="s">
        <v>43</v>
      </c>
      <c r="F40" s="1">
        <v>7</v>
      </c>
      <c r="G40" s="1">
        <v>15</v>
      </c>
      <c r="H40" s="1" t="s">
        <v>156</v>
      </c>
      <c r="I40" s="1" t="s">
        <v>52</v>
      </c>
      <c r="J40" s="1" t="s">
        <v>165</v>
      </c>
      <c r="K40" s="1" t="s">
        <v>400</v>
      </c>
      <c r="L40" s="1" t="s">
        <v>355</v>
      </c>
      <c r="M40" t="str">
        <f t="shared" si="0"/>
        <v>Daling</v>
      </c>
      <c r="N40" t="str">
        <f t="shared" si="1"/>
        <v>Olsansky</v>
      </c>
      <c r="O40" t="str">
        <f t="shared" si="2"/>
        <v>Gangkofner</v>
      </c>
      <c r="P40" t="str">
        <f t="shared" si="3"/>
        <v>Mitterwald</v>
      </c>
      <c r="Q40">
        <f t="shared" si="4"/>
        <v>0</v>
      </c>
      <c r="R40" t="str">
        <f t="shared" si="5"/>
        <v>Daling-Olsansky-Gangkofner-Mitterwald</v>
      </c>
    </row>
    <row r="41" spans="1:18" x14ac:dyDescent="0.25">
      <c r="A41" s="1" t="s">
        <v>382</v>
      </c>
      <c r="B41" s="1">
        <v>1</v>
      </c>
      <c r="C41" s="1" t="s">
        <v>27</v>
      </c>
      <c r="D41" s="1">
        <v>1</v>
      </c>
      <c r="E41" s="7" t="s">
        <v>43</v>
      </c>
      <c r="F41" s="1">
        <v>2</v>
      </c>
      <c r="G41" s="1">
        <v>15</v>
      </c>
      <c r="H41" s="1" t="s">
        <v>156</v>
      </c>
      <c r="I41" s="1" t="s">
        <v>54</v>
      </c>
      <c r="J41" s="1" t="s">
        <v>167</v>
      </c>
      <c r="K41" s="1" t="s">
        <v>400</v>
      </c>
      <c r="L41" s="1" t="s">
        <v>355</v>
      </c>
      <c r="M41" t="str">
        <f t="shared" si="0"/>
        <v>Kovarik</v>
      </c>
      <c r="N41" t="str">
        <f t="shared" si="1"/>
        <v>Macanek</v>
      </c>
      <c r="O41" t="str">
        <f t="shared" si="2"/>
        <v>Anderle</v>
      </c>
      <c r="P41" t="str">
        <f t="shared" si="3"/>
        <v>Leidenfrost</v>
      </c>
      <c r="Q41">
        <f t="shared" si="4"/>
        <v>0</v>
      </c>
      <c r="R41" t="str">
        <f t="shared" si="5"/>
        <v>Kovarik-Macanek-Anderle-Leidenfrost</v>
      </c>
    </row>
    <row r="42" spans="1:18" x14ac:dyDescent="0.25">
      <c r="A42" s="1" t="s">
        <v>382</v>
      </c>
      <c r="B42" s="1">
        <v>1</v>
      </c>
      <c r="C42" s="1" t="s">
        <v>12</v>
      </c>
      <c r="D42" s="1">
        <v>1</v>
      </c>
      <c r="E42" s="1" t="s">
        <v>57</v>
      </c>
      <c r="F42" s="1">
        <v>7</v>
      </c>
      <c r="G42" s="1">
        <v>15</v>
      </c>
      <c r="H42" s="1" t="s">
        <v>156</v>
      </c>
      <c r="I42" s="1" t="s">
        <v>59</v>
      </c>
      <c r="J42" s="1" t="s">
        <v>158</v>
      </c>
      <c r="K42" s="1" t="s">
        <v>400</v>
      </c>
      <c r="L42" s="1" t="s">
        <v>355</v>
      </c>
      <c r="M42" t="str">
        <f t="shared" si="0"/>
        <v>Razvan</v>
      </c>
      <c r="N42" t="str">
        <f t="shared" si="1"/>
        <v>Cimpian</v>
      </c>
      <c r="O42" t="str">
        <f t="shared" si="2"/>
        <v>Bachler</v>
      </c>
      <c r="P42" t="str">
        <f t="shared" si="3"/>
        <v>Dziruni</v>
      </c>
      <c r="Q42">
        <f t="shared" si="4"/>
        <v>0</v>
      </c>
      <c r="R42" t="str">
        <f t="shared" si="5"/>
        <v>Razvan-Cimpian-Bachler-Dziruni</v>
      </c>
    </row>
    <row r="43" spans="1:18" x14ac:dyDescent="0.25">
      <c r="A43" s="1" t="s">
        <v>382</v>
      </c>
      <c r="B43" s="1">
        <v>1</v>
      </c>
      <c r="C43" s="1" t="s">
        <v>18</v>
      </c>
      <c r="D43" s="1">
        <v>1</v>
      </c>
      <c r="E43" s="1" t="s">
        <v>57</v>
      </c>
      <c r="F43" s="1">
        <v>13</v>
      </c>
      <c r="G43" s="1">
        <v>15</v>
      </c>
      <c r="H43" s="1" t="s">
        <v>156</v>
      </c>
      <c r="I43" s="1" t="s">
        <v>62</v>
      </c>
      <c r="J43" s="1" t="s">
        <v>161</v>
      </c>
      <c r="K43" s="1" t="s">
        <v>400</v>
      </c>
      <c r="L43" s="1" t="s">
        <v>355</v>
      </c>
      <c r="M43" t="str">
        <f t="shared" si="0"/>
        <v>Colac</v>
      </c>
      <c r="N43" t="str">
        <f t="shared" si="1"/>
        <v>Popa</v>
      </c>
      <c r="O43" t="str">
        <f t="shared" si="2"/>
        <v>Handschmann</v>
      </c>
      <c r="P43" t="str">
        <f t="shared" si="3"/>
        <v>Jindra</v>
      </c>
      <c r="Q43">
        <f t="shared" si="4"/>
        <v>0</v>
      </c>
      <c r="R43" t="str">
        <f t="shared" si="5"/>
        <v>Colac-Popa-Handschmann-Jindra</v>
      </c>
    </row>
    <row r="44" spans="1:18" x14ac:dyDescent="0.25">
      <c r="A44" s="1" t="s">
        <v>382</v>
      </c>
      <c r="B44" s="1">
        <v>1</v>
      </c>
      <c r="C44" s="1" t="s">
        <v>21</v>
      </c>
      <c r="D44" s="1">
        <v>1</v>
      </c>
      <c r="E44" s="1" t="s">
        <v>57</v>
      </c>
      <c r="F44" s="1">
        <v>1</v>
      </c>
      <c r="G44" s="1">
        <v>15</v>
      </c>
      <c r="H44" s="1" t="s">
        <v>156</v>
      </c>
      <c r="I44" s="1" t="s">
        <v>64</v>
      </c>
      <c r="J44" s="1" t="s">
        <v>163</v>
      </c>
      <c r="K44" s="1" t="s">
        <v>400</v>
      </c>
      <c r="L44" s="1" t="s">
        <v>355</v>
      </c>
      <c r="M44" t="str">
        <f t="shared" si="0"/>
        <v>Gyergyoi</v>
      </c>
      <c r="N44" t="str">
        <f t="shared" si="1"/>
        <v>Limbovici</v>
      </c>
      <c r="O44" t="str">
        <f t="shared" si="2"/>
        <v>Eynard</v>
      </c>
      <c r="P44" t="str">
        <f t="shared" si="3"/>
        <v>Stoisser</v>
      </c>
      <c r="Q44">
        <f t="shared" si="4"/>
        <v>0</v>
      </c>
      <c r="R44" t="str">
        <f t="shared" si="5"/>
        <v>Gyergyoi-Limbovici-Eynard-Stoisser</v>
      </c>
    </row>
    <row r="45" spans="1:18" x14ac:dyDescent="0.25">
      <c r="A45" s="1" t="s">
        <v>382</v>
      </c>
      <c r="B45" s="1">
        <v>1</v>
      </c>
      <c r="C45" s="1" t="s">
        <v>24</v>
      </c>
      <c r="D45" s="1">
        <v>1</v>
      </c>
      <c r="E45" s="1" t="s">
        <v>57</v>
      </c>
      <c r="F45" s="1">
        <v>5</v>
      </c>
      <c r="G45" s="1">
        <v>15</v>
      </c>
      <c r="H45" s="1" t="s">
        <v>156</v>
      </c>
      <c r="I45" s="1" t="s">
        <v>66</v>
      </c>
      <c r="J45" s="1" t="s">
        <v>165</v>
      </c>
      <c r="K45" s="1" t="s">
        <v>400</v>
      </c>
      <c r="L45" s="1" t="s">
        <v>355</v>
      </c>
      <c r="M45" t="str">
        <f t="shared" si="0"/>
        <v>Aldea</v>
      </c>
      <c r="N45" t="str">
        <f t="shared" si="1"/>
        <v>Bizdideanu</v>
      </c>
      <c r="O45" t="str">
        <f t="shared" si="2"/>
        <v>Gangkofner</v>
      </c>
      <c r="P45" t="str">
        <f t="shared" si="3"/>
        <v>Mitterwald</v>
      </c>
      <c r="Q45">
        <f t="shared" si="4"/>
        <v>0</v>
      </c>
      <c r="R45" t="str">
        <f t="shared" si="5"/>
        <v>Aldea-Bizdideanu-Gangkofner-Mitterwald</v>
      </c>
    </row>
    <row r="46" spans="1:18" x14ac:dyDescent="0.25">
      <c r="A46" s="1" t="s">
        <v>382</v>
      </c>
      <c r="B46" s="1">
        <v>1</v>
      </c>
      <c r="C46" s="1" t="s">
        <v>27</v>
      </c>
      <c r="D46" s="1">
        <v>1</v>
      </c>
      <c r="E46" s="1" t="s">
        <v>57</v>
      </c>
      <c r="F46" s="1">
        <v>9</v>
      </c>
      <c r="G46" s="1">
        <v>15</v>
      </c>
      <c r="H46" s="1" t="s">
        <v>156</v>
      </c>
      <c r="I46" s="1" t="s">
        <v>68</v>
      </c>
      <c r="J46" s="1" t="s">
        <v>167</v>
      </c>
      <c r="K46" s="1" t="s">
        <v>400</v>
      </c>
      <c r="L46" s="1" t="s">
        <v>355</v>
      </c>
      <c r="M46" t="str">
        <f t="shared" si="0"/>
        <v>Bliort</v>
      </c>
      <c r="N46" t="str">
        <f t="shared" si="1"/>
        <v>Cornoiu</v>
      </c>
      <c r="O46" t="str">
        <f t="shared" si="2"/>
        <v>Anderle</v>
      </c>
      <c r="P46" t="str">
        <f t="shared" si="3"/>
        <v>Leidenfrost</v>
      </c>
      <c r="Q46">
        <f t="shared" si="4"/>
        <v>0</v>
      </c>
      <c r="R46" t="str">
        <f t="shared" si="5"/>
        <v>Bliort-Cornoiu-Anderle-Leidenfrost</v>
      </c>
    </row>
    <row r="47" spans="1:18" x14ac:dyDescent="0.25">
      <c r="A47" s="1" t="s">
        <v>430</v>
      </c>
      <c r="B47" s="1">
        <v>1</v>
      </c>
      <c r="C47" s="1" t="s">
        <v>12</v>
      </c>
      <c r="D47" s="1">
        <v>1</v>
      </c>
      <c r="E47" s="1" t="s">
        <v>147</v>
      </c>
      <c r="F47" s="1">
        <v>15</v>
      </c>
      <c r="G47" s="1">
        <v>12</v>
      </c>
      <c r="H47" s="1" t="s">
        <v>168</v>
      </c>
      <c r="I47" s="1" t="s">
        <v>149</v>
      </c>
      <c r="J47" s="1" t="s">
        <v>170</v>
      </c>
      <c r="K47" s="1" t="s">
        <v>400</v>
      </c>
      <c r="L47" s="1" t="s">
        <v>355</v>
      </c>
      <c r="M47" t="str">
        <f t="shared" si="0"/>
        <v>Felix</v>
      </c>
      <c r="N47" t="str">
        <f t="shared" si="1"/>
        <v>Baumeler</v>
      </c>
      <c r="O47" t="str">
        <f t="shared" si="2"/>
        <v>Clark</v>
      </c>
      <c r="P47" t="str">
        <f t="shared" si="3"/>
        <v>Florinda</v>
      </c>
      <c r="Q47">
        <f t="shared" si="4"/>
        <v>1</v>
      </c>
      <c r="R47" t="str">
        <f t="shared" si="5"/>
        <v>Felix-Baumeler-Clark-Florinda</v>
      </c>
    </row>
    <row r="48" spans="1:18" x14ac:dyDescent="0.25">
      <c r="A48" s="1" t="s">
        <v>430</v>
      </c>
      <c r="B48" s="1">
        <v>1</v>
      </c>
      <c r="C48" s="1" t="s">
        <v>18</v>
      </c>
      <c r="D48" s="1">
        <v>1</v>
      </c>
      <c r="E48" s="1" t="s">
        <v>147</v>
      </c>
      <c r="F48" s="1">
        <v>15</v>
      </c>
      <c r="G48" s="1">
        <v>13</v>
      </c>
      <c r="H48" s="1" t="s">
        <v>182</v>
      </c>
      <c r="I48" s="1" t="s">
        <v>152</v>
      </c>
      <c r="J48" s="1" t="s">
        <v>173</v>
      </c>
      <c r="K48" s="1" t="s">
        <v>400</v>
      </c>
      <c r="L48" s="1" t="s">
        <v>355</v>
      </c>
      <c r="M48" t="str">
        <f t="shared" si="0"/>
        <v>Rimle</v>
      </c>
      <c r="N48" t="str">
        <f t="shared" si="1"/>
        <v>Peter</v>
      </c>
      <c r="O48" t="str">
        <f t="shared" si="2"/>
        <v>Améziane</v>
      </c>
      <c r="P48" t="str">
        <f t="shared" si="3"/>
        <v>Mareschal</v>
      </c>
      <c r="Q48">
        <f t="shared" si="4"/>
        <v>1</v>
      </c>
      <c r="R48" t="str">
        <f t="shared" si="5"/>
        <v>Rimle-Peter-Améziane-Mareschal</v>
      </c>
    </row>
    <row r="49" spans="1:18" x14ac:dyDescent="0.25">
      <c r="A49" s="1" t="s">
        <v>430</v>
      </c>
      <c r="B49" s="1">
        <v>1</v>
      </c>
      <c r="C49" s="1" t="s">
        <v>21</v>
      </c>
      <c r="D49" s="1">
        <v>1</v>
      </c>
      <c r="E49" s="1" t="s">
        <v>147</v>
      </c>
      <c r="F49" s="1">
        <v>15</v>
      </c>
      <c r="G49" s="1">
        <v>11</v>
      </c>
      <c r="H49" s="1" t="s">
        <v>182</v>
      </c>
      <c r="I49" s="1" t="s">
        <v>154</v>
      </c>
      <c r="J49" s="1" t="s">
        <v>175</v>
      </c>
      <c r="K49" s="1" t="s">
        <v>400</v>
      </c>
      <c r="L49" s="1" t="s">
        <v>355</v>
      </c>
      <c r="M49" t="str">
        <f t="shared" si="0"/>
        <v>Pasetti</v>
      </c>
      <c r="N49" t="str">
        <f t="shared" si="1"/>
        <v>Widin</v>
      </c>
      <c r="O49" t="str">
        <f t="shared" si="2"/>
        <v>Caux-Ramon</v>
      </c>
      <c r="P49" t="str">
        <f t="shared" si="3"/>
        <v>Lacombe</v>
      </c>
      <c r="Q49">
        <f t="shared" si="4"/>
        <v>1</v>
      </c>
      <c r="R49" t="str">
        <f t="shared" si="5"/>
        <v>Pasetti-Widin-Caux-Ramon-Lacombe</v>
      </c>
    </row>
    <row r="50" spans="1:18" x14ac:dyDescent="0.25">
      <c r="A50" s="1" t="s">
        <v>430</v>
      </c>
      <c r="B50" s="1">
        <v>1</v>
      </c>
      <c r="C50" s="1" t="s">
        <v>24</v>
      </c>
      <c r="D50" s="1">
        <v>1</v>
      </c>
      <c r="E50" s="1" t="s">
        <v>147</v>
      </c>
      <c r="F50" s="1">
        <v>15</v>
      </c>
      <c r="G50" s="1">
        <v>12</v>
      </c>
      <c r="H50" s="1" t="s">
        <v>182</v>
      </c>
      <c r="I50" s="1" t="s">
        <v>385</v>
      </c>
      <c r="J50" s="1" t="s">
        <v>177</v>
      </c>
      <c r="K50" s="1" t="s">
        <v>400</v>
      </c>
      <c r="L50" s="1" t="s">
        <v>355</v>
      </c>
      <c r="M50" t="str">
        <f t="shared" si="0"/>
        <v>J. Eigenmann</v>
      </c>
      <c r="N50" t="str">
        <f t="shared" si="1"/>
        <v>Tognini</v>
      </c>
      <c r="O50" t="str">
        <f t="shared" si="2"/>
        <v>Danekas</v>
      </c>
      <c r="P50" t="str">
        <f t="shared" si="3"/>
        <v>Lecrosnier</v>
      </c>
      <c r="Q50">
        <f t="shared" si="4"/>
        <v>1</v>
      </c>
      <c r="R50" t="str">
        <f t="shared" si="5"/>
        <v>J. Eigenmann-Tognini-Danekas-Lecrosnier</v>
      </c>
    </row>
    <row r="51" spans="1:18" x14ac:dyDescent="0.25">
      <c r="A51" s="1" t="s">
        <v>430</v>
      </c>
      <c r="B51" s="1">
        <v>1</v>
      </c>
      <c r="C51" s="1" t="s">
        <v>27</v>
      </c>
      <c r="D51" s="1">
        <v>1</v>
      </c>
      <c r="E51" s="1" t="s">
        <v>147</v>
      </c>
      <c r="F51" s="1">
        <v>15</v>
      </c>
      <c r="G51" s="1">
        <v>13</v>
      </c>
      <c r="H51" s="1" t="s">
        <v>182</v>
      </c>
      <c r="I51" s="1" t="s">
        <v>212</v>
      </c>
      <c r="J51" s="1" t="s">
        <v>179</v>
      </c>
      <c r="K51" s="1" t="s">
        <v>400</v>
      </c>
      <c r="L51" s="1" t="s">
        <v>355</v>
      </c>
      <c r="M51" t="str">
        <f t="shared" si="0"/>
        <v>Rieser</v>
      </c>
      <c r="N51" t="str">
        <f t="shared" si="1"/>
        <v>Engel</v>
      </c>
      <c r="O51" t="str">
        <f t="shared" si="2"/>
        <v>Renimel</v>
      </c>
      <c r="P51" t="str">
        <f t="shared" si="3"/>
        <v>Sandoz</v>
      </c>
      <c r="Q51">
        <f t="shared" si="4"/>
        <v>1</v>
      </c>
      <c r="R51" t="str">
        <f t="shared" si="5"/>
        <v>Rieser-Engel-Renimel-Sandoz</v>
      </c>
    </row>
    <row r="52" spans="1:18" x14ac:dyDescent="0.25">
      <c r="A52" s="1" t="s">
        <v>383</v>
      </c>
      <c r="B52" s="1">
        <v>1</v>
      </c>
      <c r="C52" s="1" t="s">
        <v>12</v>
      </c>
      <c r="D52" s="1">
        <v>1</v>
      </c>
      <c r="E52" s="1" t="s">
        <v>194</v>
      </c>
      <c r="F52" s="1">
        <v>15</v>
      </c>
      <c r="G52" s="1">
        <v>10</v>
      </c>
      <c r="H52" s="1" t="s">
        <v>169</v>
      </c>
      <c r="I52" s="1" t="s">
        <v>196</v>
      </c>
      <c r="J52" s="1" t="s">
        <v>171</v>
      </c>
      <c r="K52" s="1" t="s">
        <v>400</v>
      </c>
      <c r="L52" s="1" t="s">
        <v>355</v>
      </c>
      <c r="M52" t="str">
        <f t="shared" si="0"/>
        <v>Bosak</v>
      </c>
      <c r="N52" t="str">
        <f t="shared" si="1"/>
        <v>Cote</v>
      </c>
      <c r="O52" t="str">
        <f t="shared" si="2"/>
        <v>Ekman</v>
      </c>
      <c r="P52" t="str">
        <f t="shared" si="3"/>
        <v>Stenquist</v>
      </c>
      <c r="Q52">
        <f t="shared" si="4"/>
        <v>1</v>
      </c>
      <c r="R52" t="str">
        <f t="shared" si="5"/>
        <v>Bosak-Cote-Ekman-Stenquist</v>
      </c>
    </row>
    <row r="53" spans="1:18" x14ac:dyDescent="0.25">
      <c r="A53" s="1" t="s">
        <v>383</v>
      </c>
      <c r="B53" s="1">
        <v>1</v>
      </c>
      <c r="C53" s="1" t="s">
        <v>18</v>
      </c>
      <c r="D53" s="1">
        <v>1</v>
      </c>
      <c r="E53" s="1" t="s">
        <v>194</v>
      </c>
      <c r="F53" s="1">
        <v>15</v>
      </c>
      <c r="G53" s="1">
        <v>9</v>
      </c>
      <c r="H53" s="1" t="s">
        <v>169</v>
      </c>
      <c r="I53" s="1" t="s">
        <v>199</v>
      </c>
      <c r="J53" s="1" t="s">
        <v>174</v>
      </c>
      <c r="K53" s="1" t="s">
        <v>400</v>
      </c>
      <c r="L53" s="1" t="s">
        <v>355</v>
      </c>
      <c r="M53" t="str">
        <f t="shared" si="0"/>
        <v>Dean</v>
      </c>
      <c r="N53" t="str">
        <f t="shared" si="1"/>
        <v>Gagnon</v>
      </c>
      <c r="O53" t="str">
        <f t="shared" si="2"/>
        <v>Henström</v>
      </c>
      <c r="P53" t="str">
        <f t="shared" si="3"/>
        <v>Mjönes</v>
      </c>
      <c r="Q53">
        <f t="shared" si="4"/>
        <v>1</v>
      </c>
      <c r="R53" t="str">
        <f t="shared" si="5"/>
        <v>Dean-Gagnon-Henström-Mjönes</v>
      </c>
    </row>
    <row r="54" spans="1:18" x14ac:dyDescent="0.25">
      <c r="A54" s="1" t="s">
        <v>383</v>
      </c>
      <c r="B54" s="1">
        <v>1</v>
      </c>
      <c r="C54" s="1" t="s">
        <v>21</v>
      </c>
      <c r="D54" s="1">
        <v>1</v>
      </c>
      <c r="E54" s="1" t="s">
        <v>194</v>
      </c>
      <c r="F54" s="1">
        <v>15</v>
      </c>
      <c r="G54" s="1">
        <v>11</v>
      </c>
      <c r="H54" s="1" t="s">
        <v>169</v>
      </c>
      <c r="I54" s="1" t="s">
        <v>392</v>
      </c>
      <c r="J54" s="1" t="s">
        <v>176</v>
      </c>
      <c r="K54" s="1" t="s">
        <v>400</v>
      </c>
      <c r="L54" s="1" t="s">
        <v>355</v>
      </c>
      <c r="M54" t="str">
        <f t="shared" si="0"/>
        <v>Mathieu</v>
      </c>
      <c r="N54" t="str">
        <f t="shared" si="1"/>
        <v>E. Leung</v>
      </c>
      <c r="O54" t="str">
        <f t="shared" si="2"/>
        <v>Millton</v>
      </c>
      <c r="P54" t="str">
        <f t="shared" si="3"/>
        <v>Baggman</v>
      </c>
      <c r="Q54">
        <f t="shared" si="4"/>
        <v>1</v>
      </c>
      <c r="R54" t="str">
        <f t="shared" si="5"/>
        <v>Mathieu-E. Leung-Millton-Baggman</v>
      </c>
    </row>
    <row r="55" spans="1:18" x14ac:dyDescent="0.25">
      <c r="A55" s="1" t="s">
        <v>383</v>
      </c>
      <c r="B55" s="1">
        <v>1</v>
      </c>
      <c r="C55" s="1" t="s">
        <v>24</v>
      </c>
      <c r="D55" s="1">
        <v>1</v>
      </c>
      <c r="E55" s="1" t="s">
        <v>194</v>
      </c>
      <c r="F55" s="1">
        <v>15</v>
      </c>
      <c r="G55" s="1">
        <v>12</v>
      </c>
      <c r="H55" s="1" t="s">
        <v>169</v>
      </c>
      <c r="I55" s="1" t="s">
        <v>203</v>
      </c>
      <c r="J55" s="1" t="s">
        <v>178</v>
      </c>
      <c r="K55" s="1" t="s">
        <v>400</v>
      </c>
      <c r="L55" s="1" t="s">
        <v>355</v>
      </c>
      <c r="M55" t="str">
        <f t="shared" si="0"/>
        <v>Prince</v>
      </c>
      <c r="N55" t="str">
        <f t="shared" si="1"/>
        <v>Brown</v>
      </c>
      <c r="O55" t="str">
        <f t="shared" si="2"/>
        <v>Jansson</v>
      </c>
      <c r="P55" t="str">
        <f t="shared" si="3"/>
        <v>Svensson</v>
      </c>
      <c r="Q55">
        <f t="shared" si="4"/>
        <v>1</v>
      </c>
      <c r="R55" t="str">
        <f t="shared" si="5"/>
        <v>Prince-Brown-Jansson-Svensson</v>
      </c>
    </row>
    <row r="56" spans="1:18" x14ac:dyDescent="0.25">
      <c r="A56" s="1" t="s">
        <v>383</v>
      </c>
      <c r="B56" s="1">
        <v>1</v>
      </c>
      <c r="C56" s="1" t="s">
        <v>27</v>
      </c>
      <c r="D56" s="1">
        <v>1</v>
      </c>
      <c r="E56" s="1" t="s">
        <v>194</v>
      </c>
      <c r="F56" s="1">
        <v>15</v>
      </c>
      <c r="G56" s="1">
        <v>10</v>
      </c>
      <c r="H56" s="1" t="s">
        <v>169</v>
      </c>
      <c r="I56" s="1" t="s">
        <v>205</v>
      </c>
      <c r="J56" s="1" t="s">
        <v>180</v>
      </c>
      <c r="K56" s="1" t="s">
        <v>400</v>
      </c>
      <c r="L56" s="1" t="s">
        <v>355</v>
      </c>
      <c r="M56" t="str">
        <f t="shared" si="0"/>
        <v>Babin</v>
      </c>
      <c r="N56" t="str">
        <f t="shared" si="1"/>
        <v>Laurin</v>
      </c>
      <c r="O56" t="str">
        <f t="shared" si="2"/>
        <v>Skogward</v>
      </c>
      <c r="P56" t="str">
        <f t="shared" si="3"/>
        <v>Ljung</v>
      </c>
      <c r="Q56">
        <f t="shared" si="4"/>
        <v>1</v>
      </c>
      <c r="R56" t="str">
        <f t="shared" si="5"/>
        <v>Babin-Laurin-Skogward-Ljung</v>
      </c>
    </row>
    <row r="57" spans="1:18" x14ac:dyDescent="0.25">
      <c r="A57" s="1" t="s">
        <v>383</v>
      </c>
      <c r="B57" s="1">
        <v>1</v>
      </c>
      <c r="C57" s="1" t="s">
        <v>12</v>
      </c>
      <c r="D57" s="1">
        <v>1</v>
      </c>
      <c r="E57" s="1" t="s">
        <v>147</v>
      </c>
      <c r="F57" s="1">
        <v>17</v>
      </c>
      <c r="G57" s="1">
        <v>16</v>
      </c>
      <c r="H57" s="1" t="s">
        <v>14</v>
      </c>
      <c r="I57" s="1" t="s">
        <v>149</v>
      </c>
      <c r="J57" s="1" t="s">
        <v>16</v>
      </c>
      <c r="K57" s="1" t="s">
        <v>400</v>
      </c>
      <c r="L57" s="1" t="s">
        <v>355</v>
      </c>
      <c r="M57" t="str">
        <f t="shared" si="0"/>
        <v>Felix</v>
      </c>
      <c r="N57" t="str">
        <f t="shared" si="1"/>
        <v>Baumeler</v>
      </c>
      <c r="O57" t="str">
        <f t="shared" si="2"/>
        <v>Beeks</v>
      </c>
      <c r="P57" t="str">
        <f t="shared" si="3"/>
        <v>Elbourne</v>
      </c>
      <c r="Q57">
        <f t="shared" si="4"/>
        <v>1</v>
      </c>
      <c r="R57" t="str">
        <f t="shared" si="5"/>
        <v>Felix-Baumeler-Beeks-Elbourne</v>
      </c>
    </row>
    <row r="58" spans="1:18" x14ac:dyDescent="0.25">
      <c r="A58" s="1" t="s">
        <v>383</v>
      </c>
      <c r="B58" s="1">
        <v>1</v>
      </c>
      <c r="C58" s="1" t="s">
        <v>18</v>
      </c>
      <c r="D58" s="1">
        <v>1</v>
      </c>
      <c r="E58" s="1" t="s">
        <v>147</v>
      </c>
      <c r="F58" s="1">
        <v>15</v>
      </c>
      <c r="G58" s="1">
        <v>8</v>
      </c>
      <c r="H58" s="1" t="s">
        <v>14</v>
      </c>
      <c r="I58" s="1" t="s">
        <v>152</v>
      </c>
      <c r="J58" s="1" t="s">
        <v>20</v>
      </c>
      <c r="K58" s="1" t="s">
        <v>400</v>
      </c>
      <c r="L58" s="1" t="s">
        <v>355</v>
      </c>
      <c r="M58" t="str">
        <f t="shared" si="0"/>
        <v>Rimle</v>
      </c>
      <c r="N58" t="str">
        <f t="shared" si="1"/>
        <v>Peter</v>
      </c>
      <c r="O58" t="str">
        <f t="shared" si="2"/>
        <v>Rowlands</v>
      </c>
      <c r="P58" t="str">
        <f t="shared" si="3"/>
        <v>Hutko</v>
      </c>
      <c r="Q58">
        <f t="shared" si="4"/>
        <v>1</v>
      </c>
      <c r="R58" t="str">
        <f t="shared" si="5"/>
        <v>Rimle-Peter-Rowlands-Hutko</v>
      </c>
    </row>
    <row r="59" spans="1:18" x14ac:dyDescent="0.25">
      <c r="A59" s="1" t="s">
        <v>383</v>
      </c>
      <c r="B59" s="1">
        <v>1</v>
      </c>
      <c r="C59" s="1" t="s">
        <v>21</v>
      </c>
      <c r="D59" s="1">
        <v>1</v>
      </c>
      <c r="E59" s="1" t="s">
        <v>147</v>
      </c>
      <c r="F59" s="1">
        <v>17</v>
      </c>
      <c r="G59" s="1">
        <v>16</v>
      </c>
      <c r="H59" s="1" t="s">
        <v>14</v>
      </c>
      <c r="I59" s="1" t="s">
        <v>154</v>
      </c>
      <c r="J59" s="1" t="s">
        <v>23</v>
      </c>
      <c r="K59" s="1" t="s">
        <v>400</v>
      </c>
      <c r="L59" s="1" t="s">
        <v>355</v>
      </c>
      <c r="M59" t="str">
        <f t="shared" si="0"/>
        <v>Pasetti</v>
      </c>
      <c r="N59" t="str">
        <f t="shared" si="1"/>
        <v>Widin</v>
      </c>
      <c r="O59" t="str">
        <f t="shared" si="2"/>
        <v>Cook</v>
      </c>
      <c r="P59" t="str">
        <f t="shared" si="3"/>
        <v>Kerridge</v>
      </c>
      <c r="Q59">
        <f t="shared" si="4"/>
        <v>1</v>
      </c>
      <c r="R59" t="str">
        <f t="shared" si="5"/>
        <v>Pasetti-Widin-Cook-Kerridge</v>
      </c>
    </row>
    <row r="60" spans="1:18" x14ac:dyDescent="0.25">
      <c r="A60" s="1" t="s">
        <v>383</v>
      </c>
      <c r="B60" s="1">
        <v>1</v>
      </c>
      <c r="C60" s="1" t="s">
        <v>24</v>
      </c>
      <c r="D60" s="1">
        <v>1</v>
      </c>
      <c r="E60" s="1" t="s">
        <v>147</v>
      </c>
      <c r="F60" s="1">
        <v>15</v>
      </c>
      <c r="G60" s="1">
        <v>7</v>
      </c>
      <c r="H60" s="1" t="s">
        <v>14</v>
      </c>
      <c r="I60" s="1" t="s">
        <v>385</v>
      </c>
      <c r="J60" s="1" t="s">
        <v>26</v>
      </c>
      <c r="K60" s="1" t="s">
        <v>400</v>
      </c>
      <c r="L60" s="1" t="s">
        <v>355</v>
      </c>
      <c r="M60" t="str">
        <f t="shared" si="0"/>
        <v>J. Eigenmann</v>
      </c>
      <c r="N60" t="str">
        <f t="shared" si="1"/>
        <v>Tognini</v>
      </c>
      <c r="O60" t="str">
        <f t="shared" si="2"/>
        <v>Jackson</v>
      </c>
      <c r="P60" t="str">
        <f t="shared" si="3"/>
        <v>Douglas</v>
      </c>
      <c r="Q60">
        <f t="shared" si="4"/>
        <v>1</v>
      </c>
      <c r="R60" t="str">
        <f t="shared" si="5"/>
        <v>J. Eigenmann-Tognini-Jackson-Douglas</v>
      </c>
    </row>
    <row r="61" spans="1:18" x14ac:dyDescent="0.25">
      <c r="A61" s="1" t="s">
        <v>383</v>
      </c>
      <c r="B61" s="1">
        <v>1</v>
      </c>
      <c r="C61" s="1" t="s">
        <v>27</v>
      </c>
      <c r="D61" s="1">
        <v>1</v>
      </c>
      <c r="E61" s="1" t="s">
        <v>147</v>
      </c>
      <c r="F61" s="1">
        <v>16</v>
      </c>
      <c r="G61" s="1">
        <v>17</v>
      </c>
      <c r="H61" s="1" t="s">
        <v>14</v>
      </c>
      <c r="I61" s="1" t="s">
        <v>212</v>
      </c>
      <c r="J61" s="1" t="s">
        <v>29</v>
      </c>
      <c r="K61" s="1" t="s">
        <v>400</v>
      </c>
      <c r="L61" s="1" t="s">
        <v>355</v>
      </c>
      <c r="M61" t="str">
        <f t="shared" si="0"/>
        <v>Rieser</v>
      </c>
      <c r="N61" t="str">
        <f t="shared" si="1"/>
        <v>Engel</v>
      </c>
      <c r="O61" t="str">
        <f t="shared" si="2"/>
        <v>Sayyed</v>
      </c>
      <c r="P61" t="str">
        <f t="shared" si="3"/>
        <v>Powell</v>
      </c>
      <c r="Q61">
        <f t="shared" si="4"/>
        <v>0</v>
      </c>
      <c r="R61" t="str">
        <f t="shared" si="5"/>
        <v>Rieser-Engel-Sayyed-Powell</v>
      </c>
    </row>
    <row r="62" spans="1:18" x14ac:dyDescent="0.25">
      <c r="A62" s="1" t="s">
        <v>383</v>
      </c>
      <c r="B62" s="1">
        <v>1</v>
      </c>
      <c r="C62" s="1" t="s">
        <v>12</v>
      </c>
      <c r="D62" s="1">
        <v>1</v>
      </c>
      <c r="E62" s="1" t="s">
        <v>146</v>
      </c>
      <c r="F62" s="1">
        <v>15</v>
      </c>
      <c r="G62" s="1">
        <v>7</v>
      </c>
      <c r="H62" s="1" t="s">
        <v>182</v>
      </c>
      <c r="I62" s="1" t="s">
        <v>148</v>
      </c>
      <c r="J62" s="1" t="s">
        <v>184</v>
      </c>
      <c r="K62" s="1" t="s">
        <v>400</v>
      </c>
      <c r="L62" s="1" t="s">
        <v>355</v>
      </c>
      <c r="M62" t="str">
        <f t="shared" si="0"/>
        <v>Eisenträger</v>
      </c>
      <c r="N62" t="str">
        <f t="shared" si="1"/>
        <v>Siemer</v>
      </c>
      <c r="O62" t="str">
        <f t="shared" si="2"/>
        <v>Campos</v>
      </c>
      <c r="P62" t="str">
        <f t="shared" si="3"/>
        <v>Forschner</v>
      </c>
      <c r="Q62">
        <f t="shared" si="4"/>
        <v>1</v>
      </c>
      <c r="R62" t="str">
        <f t="shared" si="5"/>
        <v>Eisenträger-Siemer-Campos-Forschner</v>
      </c>
    </row>
    <row r="63" spans="1:18" x14ac:dyDescent="0.25">
      <c r="A63" s="1" t="s">
        <v>383</v>
      </c>
      <c r="B63" s="1">
        <v>1</v>
      </c>
      <c r="C63" s="1" t="s">
        <v>18</v>
      </c>
      <c r="D63" s="1">
        <v>1</v>
      </c>
      <c r="E63" s="1" t="s">
        <v>146</v>
      </c>
      <c r="F63" s="1">
        <v>15</v>
      </c>
      <c r="G63" s="1">
        <v>10</v>
      </c>
      <c r="H63" s="1" t="s">
        <v>182</v>
      </c>
      <c r="I63" s="1" t="s">
        <v>151</v>
      </c>
      <c r="J63" s="1" t="s">
        <v>187</v>
      </c>
      <c r="K63" s="1" t="s">
        <v>400</v>
      </c>
      <c r="L63" s="1" t="s">
        <v>355</v>
      </c>
      <c r="M63" t="str">
        <f t="shared" si="0"/>
        <v>Grönebaum</v>
      </c>
      <c r="N63" t="str">
        <f t="shared" si="1"/>
        <v>Prüfer</v>
      </c>
      <c r="O63" t="str">
        <f t="shared" si="2"/>
        <v>E. Cuesta</v>
      </c>
      <c r="P63" t="str">
        <f t="shared" si="3"/>
        <v>G. Cuesta</v>
      </c>
      <c r="Q63">
        <f t="shared" si="4"/>
        <v>1</v>
      </c>
      <c r="R63" t="str">
        <f t="shared" si="5"/>
        <v>Grönebaum-Prüfer-E. Cuesta-G. Cuesta</v>
      </c>
    </row>
    <row r="64" spans="1:18" x14ac:dyDescent="0.25">
      <c r="A64" s="1" t="s">
        <v>383</v>
      </c>
      <c r="B64" s="1">
        <v>1</v>
      </c>
      <c r="C64" s="1" t="s">
        <v>21</v>
      </c>
      <c r="D64" s="1">
        <v>1</v>
      </c>
      <c r="E64" s="1" t="s">
        <v>146</v>
      </c>
      <c r="F64" s="1">
        <v>16</v>
      </c>
      <c r="G64" s="1">
        <v>17</v>
      </c>
      <c r="H64" s="1" t="s">
        <v>182</v>
      </c>
      <c r="I64" s="1" t="s">
        <v>153</v>
      </c>
      <c r="J64" s="1" t="s">
        <v>379</v>
      </c>
      <c r="K64" s="1" t="s">
        <v>400</v>
      </c>
      <c r="L64" s="1" t="s">
        <v>355</v>
      </c>
      <c r="M64" t="str">
        <f t="shared" si="0"/>
        <v>Claus</v>
      </c>
      <c r="N64" t="str">
        <f t="shared" si="1"/>
        <v>Lauterbach</v>
      </c>
      <c r="O64" t="str">
        <f t="shared" si="2"/>
        <v>Navio</v>
      </c>
      <c r="P64" t="str">
        <f t="shared" si="3"/>
        <v>M. Egea</v>
      </c>
      <c r="Q64">
        <f t="shared" si="4"/>
        <v>0</v>
      </c>
      <c r="R64" t="str">
        <f t="shared" si="5"/>
        <v>Claus-Lauterbach-Navio-M. Egea</v>
      </c>
    </row>
    <row r="65" spans="1:18" x14ac:dyDescent="0.25">
      <c r="A65" s="1" t="s">
        <v>383</v>
      </c>
      <c r="B65" s="1">
        <v>1</v>
      </c>
      <c r="C65" s="1" t="s">
        <v>24</v>
      </c>
      <c r="D65" s="1">
        <v>1</v>
      </c>
      <c r="E65" s="1" t="s">
        <v>146</v>
      </c>
      <c r="F65" s="1">
        <v>15</v>
      </c>
      <c r="G65" s="1">
        <v>8</v>
      </c>
      <c r="H65" s="1" t="s">
        <v>182</v>
      </c>
      <c r="I65" s="1" t="s">
        <v>209</v>
      </c>
      <c r="J65" s="1" t="s">
        <v>380</v>
      </c>
      <c r="K65" s="1" t="s">
        <v>400</v>
      </c>
      <c r="L65" s="1" t="s">
        <v>355</v>
      </c>
      <c r="M65" t="str">
        <f t="shared" si="0"/>
        <v>Christiani</v>
      </c>
      <c r="N65" t="str">
        <f t="shared" si="1"/>
        <v>Harder</v>
      </c>
      <c r="O65" t="str">
        <f t="shared" si="2"/>
        <v>Luna</v>
      </c>
      <c r="P65" t="str">
        <f t="shared" si="3"/>
        <v>D. Egea</v>
      </c>
      <c r="Q65">
        <f t="shared" si="4"/>
        <v>1</v>
      </c>
      <c r="R65" t="str">
        <f t="shared" si="5"/>
        <v>Christiani-Harder-Luna-D. Egea</v>
      </c>
    </row>
    <row r="66" spans="1:18" x14ac:dyDescent="0.25">
      <c r="A66" s="1" t="s">
        <v>383</v>
      </c>
      <c r="B66" s="1">
        <v>1</v>
      </c>
      <c r="C66" s="1" t="s">
        <v>27</v>
      </c>
      <c r="D66" s="1">
        <v>1</v>
      </c>
      <c r="E66" s="1" t="s">
        <v>146</v>
      </c>
      <c r="F66" s="1">
        <v>15</v>
      </c>
      <c r="G66" s="1">
        <v>9</v>
      </c>
      <c r="H66" s="1" t="s">
        <v>182</v>
      </c>
      <c r="I66" s="1" t="s">
        <v>210</v>
      </c>
      <c r="J66" s="1" t="s">
        <v>193</v>
      </c>
      <c r="K66" s="1" t="s">
        <v>400</v>
      </c>
      <c r="L66" s="1" t="s">
        <v>355</v>
      </c>
      <c r="M66" t="str">
        <f t="shared" ref="M66:M129" si="6">_xlfn.TEXTBEFORE(I66,"/")</f>
        <v>Klement</v>
      </c>
      <c r="N66" t="str">
        <f t="shared" ref="N66:N129" si="7">_xlfn.TEXTAFTER(I66,"/ ")</f>
        <v>Krehle</v>
      </c>
      <c r="O66" t="str">
        <f t="shared" ref="O66:O129" si="8">_xlfn.TEXTBEFORE(J66,"/")</f>
        <v>Muratel</v>
      </c>
      <c r="P66" t="str">
        <f t="shared" ref="P66:P129" si="9">_xlfn.TEXTAFTER(J66,"/ ")</f>
        <v>Gonzalez</v>
      </c>
      <c r="Q66">
        <f t="shared" ref="Q66:Q129" si="10">IF(F66&gt;G66,1,0)</f>
        <v>1</v>
      </c>
      <c r="R66" t="str">
        <f t="shared" ref="R66:R129" si="11">_xlfn.TEXTJOIN("-",TRUE,M66,N66,O66,P66)</f>
        <v>Klement-Krehle-Muratel-Gonzalez</v>
      </c>
    </row>
    <row r="67" spans="1:18" x14ac:dyDescent="0.25">
      <c r="A67" s="1" t="s">
        <v>383</v>
      </c>
      <c r="B67" s="1">
        <v>1</v>
      </c>
      <c r="C67" s="1" t="s">
        <v>12</v>
      </c>
      <c r="D67" s="1">
        <v>1</v>
      </c>
      <c r="E67" s="1" t="s">
        <v>195</v>
      </c>
      <c r="F67" s="1">
        <v>16</v>
      </c>
      <c r="G67" s="1">
        <v>14</v>
      </c>
      <c r="H67" s="1" t="s">
        <v>168</v>
      </c>
      <c r="I67" s="1" t="s">
        <v>197</v>
      </c>
      <c r="J67" s="1" t="s">
        <v>170</v>
      </c>
      <c r="K67" s="1" t="s">
        <v>400</v>
      </c>
      <c r="L67" s="1" t="s">
        <v>355</v>
      </c>
      <c r="M67" t="str">
        <f t="shared" si="6"/>
        <v>Cole</v>
      </c>
      <c r="N67" t="str">
        <f t="shared" si="7"/>
        <v>Klapwijk</v>
      </c>
      <c r="O67" t="str">
        <f t="shared" si="8"/>
        <v>Clark</v>
      </c>
      <c r="P67" t="str">
        <f t="shared" si="9"/>
        <v>Florinda</v>
      </c>
      <c r="Q67">
        <f t="shared" si="10"/>
        <v>1</v>
      </c>
      <c r="R67" t="str">
        <f t="shared" si="11"/>
        <v>Cole-Klapwijk-Clark-Florinda</v>
      </c>
    </row>
    <row r="68" spans="1:18" x14ac:dyDescent="0.25">
      <c r="A68" s="1" t="s">
        <v>383</v>
      </c>
      <c r="B68" s="1">
        <v>1</v>
      </c>
      <c r="C68" s="1" t="s">
        <v>18</v>
      </c>
      <c r="D68" s="1">
        <v>1</v>
      </c>
      <c r="E68" s="1" t="s">
        <v>195</v>
      </c>
      <c r="F68" s="1">
        <v>15</v>
      </c>
      <c r="G68" s="1">
        <v>11</v>
      </c>
      <c r="H68" s="1" t="s">
        <v>168</v>
      </c>
      <c r="I68" s="1" t="s">
        <v>200</v>
      </c>
      <c r="J68" s="1" t="s">
        <v>173</v>
      </c>
      <c r="K68" s="1" t="s">
        <v>400</v>
      </c>
      <c r="L68" s="1" t="s">
        <v>355</v>
      </c>
      <c r="M68" t="str">
        <f t="shared" si="6"/>
        <v>Finocchi</v>
      </c>
      <c r="N68" t="str">
        <f t="shared" si="7"/>
        <v>Picone</v>
      </c>
      <c r="O68" t="str">
        <f t="shared" si="8"/>
        <v>Améziane</v>
      </c>
      <c r="P68" t="str">
        <f t="shared" si="9"/>
        <v>Mareschal</v>
      </c>
      <c r="Q68">
        <f t="shared" si="10"/>
        <v>1</v>
      </c>
      <c r="R68" t="str">
        <f t="shared" si="11"/>
        <v>Finocchi-Picone-Améziane-Mareschal</v>
      </c>
    </row>
    <row r="69" spans="1:18" x14ac:dyDescent="0.25">
      <c r="A69" s="1" t="s">
        <v>383</v>
      </c>
      <c r="B69" s="1">
        <v>1</v>
      </c>
      <c r="C69" s="1" t="s">
        <v>21</v>
      </c>
      <c r="D69" s="1">
        <v>1</v>
      </c>
      <c r="E69" s="1" t="s">
        <v>195</v>
      </c>
      <c r="F69" s="1">
        <v>15</v>
      </c>
      <c r="G69" s="1">
        <v>11</v>
      </c>
      <c r="H69" s="1" t="s">
        <v>168</v>
      </c>
      <c r="I69" s="1" t="s">
        <v>202</v>
      </c>
      <c r="J69" s="1" t="s">
        <v>175</v>
      </c>
      <c r="K69" s="1" t="s">
        <v>400</v>
      </c>
      <c r="L69" s="1" t="s">
        <v>355</v>
      </c>
      <c r="M69" t="str">
        <f t="shared" si="6"/>
        <v>Bondi</v>
      </c>
      <c r="N69" t="str">
        <f t="shared" si="7"/>
        <v>Gross</v>
      </c>
      <c r="O69" t="str">
        <f t="shared" si="8"/>
        <v>Caux-Ramon</v>
      </c>
      <c r="P69" t="str">
        <f t="shared" si="9"/>
        <v>Lacombe</v>
      </c>
      <c r="Q69">
        <f t="shared" si="10"/>
        <v>1</v>
      </c>
      <c r="R69" t="str">
        <f t="shared" si="11"/>
        <v>Bondi-Gross-Caux-Ramon-Lacombe</v>
      </c>
    </row>
    <row r="70" spans="1:18" x14ac:dyDescent="0.25">
      <c r="A70" s="1" t="s">
        <v>383</v>
      </c>
      <c r="B70" s="1">
        <v>1</v>
      </c>
      <c r="C70" s="1" t="s">
        <v>24</v>
      </c>
      <c r="D70" s="1">
        <v>1</v>
      </c>
      <c r="E70" s="1" t="s">
        <v>195</v>
      </c>
      <c r="F70" s="1">
        <v>15</v>
      </c>
      <c r="G70" s="1">
        <v>5</v>
      </c>
      <c r="H70" s="1" t="s">
        <v>168</v>
      </c>
      <c r="I70" s="1" t="s">
        <v>204</v>
      </c>
      <c r="J70" s="1" t="s">
        <v>177</v>
      </c>
      <c r="K70" s="1" t="s">
        <v>400</v>
      </c>
      <c r="L70" s="1" t="s">
        <v>355</v>
      </c>
      <c r="M70" t="str">
        <f t="shared" si="6"/>
        <v>Hamilton</v>
      </c>
      <c r="N70" t="str">
        <f t="shared" si="7"/>
        <v>Marino</v>
      </c>
      <c r="O70" t="str">
        <f t="shared" si="8"/>
        <v>Danekas</v>
      </c>
      <c r="P70" t="str">
        <f t="shared" si="9"/>
        <v>Lecrosnier</v>
      </c>
      <c r="Q70">
        <f t="shared" si="10"/>
        <v>1</v>
      </c>
      <c r="R70" t="str">
        <f t="shared" si="11"/>
        <v>Hamilton-Marino-Danekas-Lecrosnier</v>
      </c>
    </row>
    <row r="71" spans="1:18" x14ac:dyDescent="0.25">
      <c r="A71" s="1" t="s">
        <v>383</v>
      </c>
      <c r="B71" s="1">
        <v>1</v>
      </c>
      <c r="C71" s="1" t="s">
        <v>27</v>
      </c>
      <c r="D71" s="1">
        <v>1</v>
      </c>
      <c r="E71" s="1" t="s">
        <v>195</v>
      </c>
      <c r="F71" s="1">
        <v>15</v>
      </c>
      <c r="G71" s="1">
        <v>6</v>
      </c>
      <c r="H71" s="1" t="s">
        <v>168</v>
      </c>
      <c r="I71" s="1" t="s">
        <v>206</v>
      </c>
      <c r="J71" s="1" t="s">
        <v>179</v>
      </c>
      <c r="K71" s="1" t="s">
        <v>400</v>
      </c>
      <c r="L71" s="1" t="s">
        <v>355</v>
      </c>
      <c r="M71" t="str">
        <f t="shared" si="6"/>
        <v>Nelson</v>
      </c>
      <c r="N71" t="str">
        <f t="shared" si="7"/>
        <v>Rose</v>
      </c>
      <c r="O71" t="str">
        <f t="shared" si="8"/>
        <v>Renimel</v>
      </c>
      <c r="P71" t="str">
        <f t="shared" si="9"/>
        <v>Sandoz</v>
      </c>
      <c r="Q71">
        <f t="shared" si="10"/>
        <v>1</v>
      </c>
      <c r="R71" t="str">
        <f t="shared" si="11"/>
        <v>Nelson-Rose-Renimel-Sandoz</v>
      </c>
    </row>
    <row r="72" spans="1:18" x14ac:dyDescent="0.25">
      <c r="A72" s="1" t="s">
        <v>383</v>
      </c>
      <c r="B72" s="1">
        <v>1</v>
      </c>
      <c r="C72" s="1" t="s">
        <v>12</v>
      </c>
      <c r="D72" s="1">
        <v>1</v>
      </c>
      <c r="E72" s="1" t="s">
        <v>194</v>
      </c>
      <c r="F72" s="1">
        <v>15</v>
      </c>
      <c r="G72" s="1">
        <v>8</v>
      </c>
      <c r="H72" s="1" t="s">
        <v>14</v>
      </c>
      <c r="I72" s="1" t="s">
        <v>196</v>
      </c>
      <c r="J72" s="1" t="s">
        <v>16</v>
      </c>
      <c r="K72" s="1" t="s">
        <v>400</v>
      </c>
      <c r="L72" s="1" t="s">
        <v>355</v>
      </c>
      <c r="M72" t="str">
        <f t="shared" si="6"/>
        <v>Bosak</v>
      </c>
      <c r="N72" t="str">
        <f t="shared" si="7"/>
        <v>Cote</v>
      </c>
      <c r="O72" t="str">
        <f t="shared" si="8"/>
        <v>Beeks</v>
      </c>
      <c r="P72" t="str">
        <f t="shared" si="9"/>
        <v>Elbourne</v>
      </c>
      <c r="Q72">
        <f t="shared" si="10"/>
        <v>1</v>
      </c>
      <c r="R72" t="str">
        <f t="shared" si="11"/>
        <v>Bosak-Cote-Beeks-Elbourne</v>
      </c>
    </row>
    <row r="73" spans="1:18" x14ac:dyDescent="0.25">
      <c r="A73" s="1" t="s">
        <v>383</v>
      </c>
      <c r="B73" s="1">
        <v>1</v>
      </c>
      <c r="C73" s="1" t="s">
        <v>18</v>
      </c>
      <c r="D73" s="1">
        <v>1</v>
      </c>
      <c r="E73" s="1" t="s">
        <v>194</v>
      </c>
      <c r="F73" s="1">
        <v>15</v>
      </c>
      <c r="G73" s="1">
        <v>8</v>
      </c>
      <c r="H73" s="1" t="s">
        <v>14</v>
      </c>
      <c r="I73" s="1" t="s">
        <v>199</v>
      </c>
      <c r="J73" s="1" t="s">
        <v>20</v>
      </c>
      <c r="K73" s="1" t="s">
        <v>400</v>
      </c>
      <c r="L73" s="1" t="s">
        <v>355</v>
      </c>
      <c r="M73" t="str">
        <f t="shared" si="6"/>
        <v>Dean</v>
      </c>
      <c r="N73" t="str">
        <f t="shared" si="7"/>
        <v>Gagnon</v>
      </c>
      <c r="O73" t="str">
        <f t="shared" si="8"/>
        <v>Rowlands</v>
      </c>
      <c r="P73" t="str">
        <f t="shared" si="9"/>
        <v>Hutko</v>
      </c>
      <c r="Q73">
        <f t="shared" si="10"/>
        <v>1</v>
      </c>
      <c r="R73" t="str">
        <f t="shared" si="11"/>
        <v>Dean-Gagnon-Rowlands-Hutko</v>
      </c>
    </row>
    <row r="74" spans="1:18" x14ac:dyDescent="0.25">
      <c r="A74" s="1" t="s">
        <v>383</v>
      </c>
      <c r="B74" s="1">
        <v>1</v>
      </c>
      <c r="C74" s="1" t="s">
        <v>21</v>
      </c>
      <c r="D74" s="1">
        <v>1</v>
      </c>
      <c r="E74" s="1" t="s">
        <v>194</v>
      </c>
      <c r="F74" s="1">
        <v>15</v>
      </c>
      <c r="G74" s="1">
        <v>8</v>
      </c>
      <c r="H74" s="1" t="s">
        <v>14</v>
      </c>
      <c r="I74" s="1" t="s">
        <v>392</v>
      </c>
      <c r="J74" s="1" t="s">
        <v>23</v>
      </c>
      <c r="K74" s="1" t="s">
        <v>400</v>
      </c>
      <c r="L74" s="1" t="s">
        <v>355</v>
      </c>
      <c r="M74" t="str">
        <f t="shared" si="6"/>
        <v>Mathieu</v>
      </c>
      <c r="N74" t="str">
        <f t="shared" si="7"/>
        <v>E. Leung</v>
      </c>
      <c r="O74" t="str">
        <f t="shared" si="8"/>
        <v>Cook</v>
      </c>
      <c r="P74" t="str">
        <f t="shared" si="9"/>
        <v>Kerridge</v>
      </c>
      <c r="Q74">
        <f t="shared" si="10"/>
        <v>1</v>
      </c>
      <c r="R74" t="str">
        <f t="shared" si="11"/>
        <v>Mathieu-E. Leung-Cook-Kerridge</v>
      </c>
    </row>
    <row r="75" spans="1:18" x14ac:dyDescent="0.25">
      <c r="A75" s="1" t="s">
        <v>383</v>
      </c>
      <c r="B75" s="1">
        <v>1</v>
      </c>
      <c r="C75" s="1" t="s">
        <v>24</v>
      </c>
      <c r="D75" s="1">
        <v>1</v>
      </c>
      <c r="E75" s="1" t="s">
        <v>194</v>
      </c>
      <c r="F75" s="1">
        <v>15</v>
      </c>
      <c r="G75" s="1">
        <v>7</v>
      </c>
      <c r="H75" s="1" t="s">
        <v>14</v>
      </c>
      <c r="I75" s="1" t="s">
        <v>203</v>
      </c>
      <c r="J75" s="1" t="s">
        <v>26</v>
      </c>
      <c r="K75" s="1" t="s">
        <v>400</v>
      </c>
      <c r="L75" s="1" t="s">
        <v>355</v>
      </c>
      <c r="M75" t="str">
        <f t="shared" si="6"/>
        <v>Prince</v>
      </c>
      <c r="N75" t="str">
        <f t="shared" si="7"/>
        <v>Brown</v>
      </c>
      <c r="O75" t="str">
        <f t="shared" si="8"/>
        <v>Jackson</v>
      </c>
      <c r="P75" t="str">
        <f t="shared" si="9"/>
        <v>Douglas</v>
      </c>
      <c r="Q75">
        <f t="shared" si="10"/>
        <v>1</v>
      </c>
      <c r="R75" t="str">
        <f t="shared" si="11"/>
        <v>Prince-Brown-Jackson-Douglas</v>
      </c>
    </row>
    <row r="76" spans="1:18" x14ac:dyDescent="0.25">
      <c r="A76" s="1" t="s">
        <v>383</v>
      </c>
      <c r="B76" s="1">
        <v>1</v>
      </c>
      <c r="C76" s="1" t="s">
        <v>27</v>
      </c>
      <c r="D76" s="1">
        <v>1</v>
      </c>
      <c r="E76" s="1" t="s">
        <v>194</v>
      </c>
      <c r="F76" s="1">
        <v>15</v>
      </c>
      <c r="G76" s="1">
        <v>8</v>
      </c>
      <c r="H76" s="1" t="s">
        <v>14</v>
      </c>
      <c r="I76" s="1" t="s">
        <v>205</v>
      </c>
      <c r="J76" s="1" t="s">
        <v>29</v>
      </c>
      <c r="K76" s="1" t="s">
        <v>400</v>
      </c>
      <c r="L76" s="1" t="s">
        <v>355</v>
      </c>
      <c r="M76" t="str">
        <f t="shared" si="6"/>
        <v>Babin</v>
      </c>
      <c r="N76" t="str">
        <f t="shared" si="7"/>
        <v>Laurin</v>
      </c>
      <c r="O76" t="str">
        <f t="shared" si="8"/>
        <v>Sayyed</v>
      </c>
      <c r="P76" t="str">
        <f t="shared" si="9"/>
        <v>Powell</v>
      </c>
      <c r="Q76">
        <f t="shared" si="10"/>
        <v>1</v>
      </c>
      <c r="R76" t="str">
        <f t="shared" si="11"/>
        <v>Babin-Laurin-Sayyed-Powell</v>
      </c>
    </row>
    <row r="77" spans="1:18" x14ac:dyDescent="0.25">
      <c r="A77" s="1" t="s">
        <v>383</v>
      </c>
      <c r="B77" s="1">
        <v>1</v>
      </c>
      <c r="C77" s="1" t="s">
        <v>12</v>
      </c>
      <c r="D77" s="1">
        <v>1</v>
      </c>
      <c r="E77" s="1" t="s">
        <v>155</v>
      </c>
      <c r="F77" s="1">
        <v>17</v>
      </c>
      <c r="G77" s="1">
        <v>16</v>
      </c>
      <c r="H77" s="1" t="s">
        <v>169</v>
      </c>
      <c r="I77" s="1" t="s">
        <v>157</v>
      </c>
      <c r="J77" s="1" t="s">
        <v>171</v>
      </c>
      <c r="K77" s="1" t="s">
        <v>400</v>
      </c>
      <c r="L77" s="1" t="s">
        <v>355</v>
      </c>
      <c r="M77" t="str">
        <f t="shared" si="6"/>
        <v>Bazzani</v>
      </c>
      <c r="N77" t="str">
        <f t="shared" si="7"/>
        <v>Borsotti</v>
      </c>
      <c r="O77" t="str">
        <f t="shared" si="8"/>
        <v>Ekman</v>
      </c>
      <c r="P77" t="str">
        <f t="shared" si="9"/>
        <v>Stenquist</v>
      </c>
      <c r="Q77">
        <f t="shared" si="10"/>
        <v>1</v>
      </c>
      <c r="R77" t="str">
        <f t="shared" si="11"/>
        <v>Bazzani-Borsotti-Ekman-Stenquist</v>
      </c>
    </row>
    <row r="78" spans="1:18" x14ac:dyDescent="0.25">
      <c r="A78" s="1" t="s">
        <v>383</v>
      </c>
      <c r="B78" s="1">
        <v>1</v>
      </c>
      <c r="C78" s="1" t="s">
        <v>18</v>
      </c>
      <c r="D78" s="1">
        <v>1</v>
      </c>
      <c r="E78" s="1" t="s">
        <v>155</v>
      </c>
      <c r="F78" s="1">
        <v>15</v>
      </c>
      <c r="G78" s="1">
        <v>13</v>
      </c>
      <c r="H78" s="1" t="s">
        <v>169</v>
      </c>
      <c r="I78" s="1" t="s">
        <v>160</v>
      </c>
      <c r="J78" s="1" t="s">
        <v>174</v>
      </c>
      <c r="K78" s="1" t="s">
        <v>400</v>
      </c>
      <c r="L78" s="1" t="s">
        <v>355</v>
      </c>
      <c r="M78" t="str">
        <f t="shared" si="6"/>
        <v>Dudine</v>
      </c>
      <c r="N78" t="str">
        <f t="shared" si="7"/>
        <v>Zanellato</v>
      </c>
      <c r="O78" t="str">
        <f t="shared" si="8"/>
        <v>Henström</v>
      </c>
      <c r="P78" t="str">
        <f t="shared" si="9"/>
        <v>Mjönes</v>
      </c>
      <c r="Q78">
        <f t="shared" si="10"/>
        <v>1</v>
      </c>
      <c r="R78" t="str">
        <f t="shared" si="11"/>
        <v>Dudine-Zanellato-Henström-Mjönes</v>
      </c>
    </row>
    <row r="79" spans="1:18" x14ac:dyDescent="0.25">
      <c r="A79" s="1" t="s">
        <v>383</v>
      </c>
      <c r="B79" s="1">
        <v>1</v>
      </c>
      <c r="C79" s="1" t="s">
        <v>21</v>
      </c>
      <c r="D79" s="1">
        <v>1</v>
      </c>
      <c r="E79" s="1" t="s">
        <v>155</v>
      </c>
      <c r="F79" s="1">
        <v>15</v>
      </c>
      <c r="G79" s="1">
        <v>13</v>
      </c>
      <c r="H79" s="1" t="s">
        <v>169</v>
      </c>
      <c r="I79" s="1" t="s">
        <v>364</v>
      </c>
      <c r="J79" s="1" t="s">
        <v>176</v>
      </c>
      <c r="K79" s="1" t="s">
        <v>400</v>
      </c>
      <c r="L79" s="1" t="s">
        <v>355</v>
      </c>
      <c r="M79" t="str">
        <f t="shared" si="6"/>
        <v>mercadini</v>
      </c>
      <c r="N79" t="str">
        <f t="shared" si="7"/>
        <v>Sacchini</v>
      </c>
      <c r="O79" t="str">
        <f t="shared" si="8"/>
        <v>Millton</v>
      </c>
      <c r="P79" t="str">
        <f t="shared" si="9"/>
        <v>Baggman</v>
      </c>
      <c r="Q79">
        <f t="shared" si="10"/>
        <v>1</v>
      </c>
      <c r="R79" t="str">
        <f t="shared" si="11"/>
        <v>mercadini-Sacchini-Millton-Baggman</v>
      </c>
    </row>
    <row r="80" spans="1:18" x14ac:dyDescent="0.25">
      <c r="A80" s="1" t="s">
        <v>383</v>
      </c>
      <c r="B80" s="1">
        <v>1</v>
      </c>
      <c r="C80" s="1" t="s">
        <v>24</v>
      </c>
      <c r="D80" s="1">
        <v>1</v>
      </c>
      <c r="E80" s="1" t="s">
        <v>155</v>
      </c>
      <c r="F80" s="1">
        <v>15</v>
      </c>
      <c r="G80" s="1">
        <v>7</v>
      </c>
      <c r="H80" s="1" t="s">
        <v>169</v>
      </c>
      <c r="I80" s="1" t="s">
        <v>164</v>
      </c>
      <c r="J80" s="1" t="s">
        <v>178</v>
      </c>
      <c r="K80" s="1" t="s">
        <v>400</v>
      </c>
      <c r="L80" s="1" t="s">
        <v>355</v>
      </c>
      <c r="M80" t="str">
        <f t="shared" si="6"/>
        <v>Grazi</v>
      </c>
      <c r="N80" t="str">
        <f t="shared" si="7"/>
        <v>Pareschi</v>
      </c>
      <c r="O80" t="str">
        <f t="shared" si="8"/>
        <v>Jansson</v>
      </c>
      <c r="P80" t="str">
        <f t="shared" si="9"/>
        <v>Svensson</v>
      </c>
      <c r="Q80">
        <f t="shared" si="10"/>
        <v>1</v>
      </c>
      <c r="R80" t="str">
        <f t="shared" si="11"/>
        <v>Grazi-Pareschi-Jansson-Svensson</v>
      </c>
    </row>
    <row r="81" spans="1:18" x14ac:dyDescent="0.25">
      <c r="A81" s="1" t="s">
        <v>383</v>
      </c>
      <c r="B81" s="1">
        <v>1</v>
      </c>
      <c r="C81" s="1" t="s">
        <v>27</v>
      </c>
      <c r="D81" s="1">
        <v>1</v>
      </c>
      <c r="E81" s="1" t="s">
        <v>155</v>
      </c>
      <c r="F81" s="1">
        <v>15</v>
      </c>
      <c r="G81" s="1">
        <v>7</v>
      </c>
      <c r="H81" s="1" t="s">
        <v>169</v>
      </c>
      <c r="I81" s="1" t="s">
        <v>166</v>
      </c>
      <c r="J81" s="1" t="s">
        <v>180</v>
      </c>
      <c r="K81" s="1" t="s">
        <v>400</v>
      </c>
      <c r="L81" s="1" t="s">
        <v>355</v>
      </c>
      <c r="M81" t="str">
        <f t="shared" si="6"/>
        <v>Merlin</v>
      </c>
      <c r="N81" t="str">
        <f t="shared" si="7"/>
        <v>Molli</v>
      </c>
      <c r="O81" t="str">
        <f t="shared" si="8"/>
        <v>Skogward</v>
      </c>
      <c r="P81" t="str">
        <f t="shared" si="9"/>
        <v>Ljung</v>
      </c>
      <c r="Q81">
        <f t="shared" si="10"/>
        <v>1</v>
      </c>
      <c r="R81" t="str">
        <f t="shared" si="11"/>
        <v>Merlin-Molli-Skogward-Ljung</v>
      </c>
    </row>
    <row r="82" spans="1:18" x14ac:dyDescent="0.25">
      <c r="A82" s="1" t="s">
        <v>383</v>
      </c>
      <c r="B82" s="1">
        <v>1</v>
      </c>
      <c r="C82" s="1" t="s">
        <v>12</v>
      </c>
      <c r="D82" s="1">
        <v>1</v>
      </c>
      <c r="E82" s="1" t="s">
        <v>146</v>
      </c>
      <c r="F82" s="1">
        <v>15</v>
      </c>
      <c r="G82" s="1">
        <v>10</v>
      </c>
      <c r="H82" s="1" t="s">
        <v>168</v>
      </c>
      <c r="I82" s="1" t="s">
        <v>148</v>
      </c>
      <c r="J82" s="1" t="s">
        <v>170</v>
      </c>
      <c r="K82" s="1" t="s">
        <v>400</v>
      </c>
      <c r="L82" s="1" t="s">
        <v>355</v>
      </c>
      <c r="M82" t="str">
        <f t="shared" si="6"/>
        <v>Eisenträger</v>
      </c>
      <c r="N82" t="str">
        <f t="shared" si="7"/>
        <v>Siemer</v>
      </c>
      <c r="O82" t="str">
        <f t="shared" si="8"/>
        <v>Clark</v>
      </c>
      <c r="P82" t="str">
        <f t="shared" si="9"/>
        <v>Florinda</v>
      </c>
      <c r="Q82">
        <f t="shared" si="10"/>
        <v>1</v>
      </c>
      <c r="R82" t="str">
        <f t="shared" si="11"/>
        <v>Eisenträger-Siemer-Clark-Florinda</v>
      </c>
    </row>
    <row r="83" spans="1:18" x14ac:dyDescent="0.25">
      <c r="A83" s="1" t="s">
        <v>383</v>
      </c>
      <c r="B83" s="1">
        <v>1</v>
      </c>
      <c r="C83" s="1" t="s">
        <v>18</v>
      </c>
      <c r="D83" s="1">
        <v>1</v>
      </c>
      <c r="E83" s="1" t="s">
        <v>146</v>
      </c>
      <c r="F83" s="1">
        <v>15</v>
      </c>
      <c r="G83" s="1">
        <v>7</v>
      </c>
      <c r="H83" s="1" t="s">
        <v>168</v>
      </c>
      <c r="I83" s="1" t="s">
        <v>151</v>
      </c>
      <c r="J83" s="1" t="s">
        <v>173</v>
      </c>
      <c r="K83" s="1" t="s">
        <v>400</v>
      </c>
      <c r="L83" s="1" t="s">
        <v>355</v>
      </c>
      <c r="M83" t="str">
        <f t="shared" si="6"/>
        <v>Grönebaum</v>
      </c>
      <c r="N83" t="str">
        <f t="shared" si="7"/>
        <v>Prüfer</v>
      </c>
      <c r="O83" t="str">
        <f t="shared" si="8"/>
        <v>Améziane</v>
      </c>
      <c r="P83" t="str">
        <f t="shared" si="9"/>
        <v>Mareschal</v>
      </c>
      <c r="Q83">
        <f t="shared" si="10"/>
        <v>1</v>
      </c>
      <c r="R83" t="str">
        <f t="shared" si="11"/>
        <v>Grönebaum-Prüfer-Améziane-Mareschal</v>
      </c>
    </row>
    <row r="84" spans="1:18" x14ac:dyDescent="0.25">
      <c r="A84" s="1" t="s">
        <v>383</v>
      </c>
      <c r="B84" s="1">
        <v>1</v>
      </c>
      <c r="C84" s="1" t="s">
        <v>21</v>
      </c>
      <c r="D84" s="1">
        <v>1</v>
      </c>
      <c r="E84" s="1" t="s">
        <v>146</v>
      </c>
      <c r="F84" s="1">
        <v>15</v>
      </c>
      <c r="G84" s="1">
        <v>10</v>
      </c>
      <c r="H84" s="1" t="s">
        <v>168</v>
      </c>
      <c r="I84" s="1" t="s">
        <v>153</v>
      </c>
      <c r="J84" s="1" t="s">
        <v>175</v>
      </c>
      <c r="K84" s="1" t="s">
        <v>400</v>
      </c>
      <c r="L84" s="1" t="s">
        <v>355</v>
      </c>
      <c r="M84" t="str">
        <f t="shared" si="6"/>
        <v>Claus</v>
      </c>
      <c r="N84" t="str">
        <f t="shared" si="7"/>
        <v>Lauterbach</v>
      </c>
      <c r="O84" t="str">
        <f t="shared" si="8"/>
        <v>Caux-Ramon</v>
      </c>
      <c r="P84" t="str">
        <f t="shared" si="9"/>
        <v>Lacombe</v>
      </c>
      <c r="Q84">
        <f t="shared" si="10"/>
        <v>1</v>
      </c>
      <c r="R84" t="str">
        <f t="shared" si="11"/>
        <v>Claus-Lauterbach-Caux-Ramon-Lacombe</v>
      </c>
    </row>
    <row r="85" spans="1:18" x14ac:dyDescent="0.25">
      <c r="A85" s="1" t="s">
        <v>383</v>
      </c>
      <c r="B85" s="1">
        <v>1</v>
      </c>
      <c r="C85" s="1" t="s">
        <v>24</v>
      </c>
      <c r="D85" s="1">
        <v>1</v>
      </c>
      <c r="E85" s="1" t="s">
        <v>146</v>
      </c>
      <c r="F85" s="1">
        <v>15</v>
      </c>
      <c r="G85" s="1">
        <v>9</v>
      </c>
      <c r="H85" s="1" t="s">
        <v>168</v>
      </c>
      <c r="I85" s="1" t="s">
        <v>209</v>
      </c>
      <c r="J85" s="1" t="s">
        <v>177</v>
      </c>
      <c r="K85" s="1" t="s">
        <v>400</v>
      </c>
      <c r="L85" s="1" t="s">
        <v>355</v>
      </c>
      <c r="M85" t="str">
        <f t="shared" si="6"/>
        <v>Christiani</v>
      </c>
      <c r="N85" t="str">
        <f t="shared" si="7"/>
        <v>Harder</v>
      </c>
      <c r="O85" t="str">
        <f t="shared" si="8"/>
        <v>Danekas</v>
      </c>
      <c r="P85" t="str">
        <f t="shared" si="9"/>
        <v>Lecrosnier</v>
      </c>
      <c r="Q85">
        <f t="shared" si="10"/>
        <v>1</v>
      </c>
      <c r="R85" t="str">
        <f t="shared" si="11"/>
        <v>Christiani-Harder-Danekas-Lecrosnier</v>
      </c>
    </row>
    <row r="86" spans="1:18" x14ac:dyDescent="0.25">
      <c r="A86" s="1" t="s">
        <v>383</v>
      </c>
      <c r="B86" s="1">
        <v>1</v>
      </c>
      <c r="C86" s="1" t="s">
        <v>27</v>
      </c>
      <c r="D86" s="1">
        <v>1</v>
      </c>
      <c r="E86" s="1" t="s">
        <v>146</v>
      </c>
      <c r="F86" s="1">
        <v>15</v>
      </c>
      <c r="G86" s="1">
        <v>10</v>
      </c>
      <c r="H86" s="1" t="s">
        <v>168</v>
      </c>
      <c r="I86" s="1" t="s">
        <v>210</v>
      </c>
      <c r="J86" s="1" t="s">
        <v>179</v>
      </c>
      <c r="K86" s="1" t="s">
        <v>400</v>
      </c>
      <c r="L86" s="1" t="s">
        <v>355</v>
      </c>
      <c r="M86" t="str">
        <f t="shared" si="6"/>
        <v>Klement</v>
      </c>
      <c r="N86" t="str">
        <f t="shared" si="7"/>
        <v>Krehle</v>
      </c>
      <c r="O86" t="str">
        <f t="shared" si="8"/>
        <v>Renimel</v>
      </c>
      <c r="P86" t="str">
        <f t="shared" si="9"/>
        <v>Sandoz</v>
      </c>
      <c r="Q86">
        <f t="shared" si="10"/>
        <v>1</v>
      </c>
      <c r="R86" t="str">
        <f t="shared" si="11"/>
        <v>Klement-Krehle-Renimel-Sandoz</v>
      </c>
    </row>
    <row r="87" spans="1:18" x14ac:dyDescent="0.25">
      <c r="A87" s="1" t="s">
        <v>383</v>
      </c>
      <c r="B87" s="1">
        <v>1</v>
      </c>
      <c r="C87" s="1" t="s">
        <v>12</v>
      </c>
      <c r="D87" s="1">
        <v>1</v>
      </c>
      <c r="E87" s="1" t="s">
        <v>156</v>
      </c>
      <c r="F87" s="1">
        <v>15</v>
      </c>
      <c r="G87" s="1">
        <v>10</v>
      </c>
      <c r="H87" s="1" t="s">
        <v>182</v>
      </c>
      <c r="I87" s="1" t="s">
        <v>158</v>
      </c>
      <c r="J87" s="1" t="s">
        <v>184</v>
      </c>
      <c r="K87" s="1" t="s">
        <v>400</v>
      </c>
      <c r="L87" s="1" t="s">
        <v>355</v>
      </c>
      <c r="M87" t="str">
        <f t="shared" si="6"/>
        <v>Bachler</v>
      </c>
      <c r="N87" t="str">
        <f t="shared" si="7"/>
        <v>Dziruni</v>
      </c>
      <c r="O87" t="str">
        <f t="shared" si="8"/>
        <v>Campos</v>
      </c>
      <c r="P87" t="str">
        <f t="shared" si="9"/>
        <v>Forschner</v>
      </c>
      <c r="Q87">
        <f t="shared" si="10"/>
        <v>1</v>
      </c>
      <c r="R87" t="str">
        <f t="shared" si="11"/>
        <v>Bachler-Dziruni-Campos-Forschner</v>
      </c>
    </row>
    <row r="88" spans="1:18" x14ac:dyDescent="0.25">
      <c r="A88" s="1" t="s">
        <v>383</v>
      </c>
      <c r="B88" s="1">
        <v>1</v>
      </c>
      <c r="C88" s="1" t="s">
        <v>18</v>
      </c>
      <c r="D88" s="1">
        <v>1</v>
      </c>
      <c r="E88" s="1" t="s">
        <v>156</v>
      </c>
      <c r="F88" s="1">
        <v>15</v>
      </c>
      <c r="G88" s="1">
        <v>7</v>
      </c>
      <c r="H88" s="1" t="s">
        <v>182</v>
      </c>
      <c r="I88" s="1" t="s">
        <v>161</v>
      </c>
      <c r="J88" s="1" t="s">
        <v>187</v>
      </c>
      <c r="K88" s="1" t="s">
        <v>400</v>
      </c>
      <c r="L88" s="1" t="s">
        <v>355</v>
      </c>
      <c r="M88" t="str">
        <f t="shared" si="6"/>
        <v>Handschmann</v>
      </c>
      <c r="N88" t="str">
        <f t="shared" si="7"/>
        <v>Jindra</v>
      </c>
      <c r="O88" t="str">
        <f t="shared" si="8"/>
        <v>E. Cuesta</v>
      </c>
      <c r="P88" t="str">
        <f t="shared" si="9"/>
        <v>G. Cuesta</v>
      </c>
      <c r="Q88">
        <f t="shared" si="10"/>
        <v>1</v>
      </c>
      <c r="R88" t="str">
        <f t="shared" si="11"/>
        <v>Handschmann-Jindra-E. Cuesta-G. Cuesta</v>
      </c>
    </row>
    <row r="89" spans="1:18" x14ac:dyDescent="0.25">
      <c r="A89" s="1" t="s">
        <v>383</v>
      </c>
      <c r="B89" s="1">
        <v>1</v>
      </c>
      <c r="C89" s="1" t="s">
        <v>21</v>
      </c>
      <c r="D89" s="1">
        <v>1</v>
      </c>
      <c r="E89" s="1" t="s">
        <v>156</v>
      </c>
      <c r="F89" s="1">
        <v>15</v>
      </c>
      <c r="G89" s="1">
        <v>10</v>
      </c>
      <c r="H89" s="1" t="s">
        <v>182</v>
      </c>
      <c r="I89" s="1" t="s">
        <v>163</v>
      </c>
      <c r="J89" s="1" t="s">
        <v>379</v>
      </c>
      <c r="K89" s="1" t="s">
        <v>400</v>
      </c>
      <c r="L89" s="1" t="s">
        <v>355</v>
      </c>
      <c r="M89" t="str">
        <f t="shared" si="6"/>
        <v>Eynard</v>
      </c>
      <c r="N89" t="str">
        <f t="shared" si="7"/>
        <v>Stoisser</v>
      </c>
      <c r="O89" t="str">
        <f t="shared" si="8"/>
        <v>Navio</v>
      </c>
      <c r="P89" t="str">
        <f t="shared" si="9"/>
        <v>M. Egea</v>
      </c>
      <c r="Q89">
        <f t="shared" si="10"/>
        <v>1</v>
      </c>
      <c r="R89" t="str">
        <f t="shared" si="11"/>
        <v>Eynard-Stoisser-Navio-M. Egea</v>
      </c>
    </row>
    <row r="90" spans="1:18" x14ac:dyDescent="0.25">
      <c r="A90" s="1" t="s">
        <v>383</v>
      </c>
      <c r="B90" s="1">
        <v>1</v>
      </c>
      <c r="C90" s="1" t="s">
        <v>24</v>
      </c>
      <c r="D90" s="1">
        <v>1</v>
      </c>
      <c r="E90" s="1" t="s">
        <v>156</v>
      </c>
      <c r="F90" s="1">
        <v>15</v>
      </c>
      <c r="G90" s="1">
        <v>9</v>
      </c>
      <c r="H90" s="1" t="s">
        <v>182</v>
      </c>
      <c r="I90" s="1" t="s">
        <v>165</v>
      </c>
      <c r="J90" s="1" t="s">
        <v>380</v>
      </c>
      <c r="K90" s="1" t="s">
        <v>400</v>
      </c>
      <c r="L90" s="1" t="s">
        <v>355</v>
      </c>
      <c r="M90" t="str">
        <f t="shared" si="6"/>
        <v>Gangkofner</v>
      </c>
      <c r="N90" t="str">
        <f t="shared" si="7"/>
        <v>Mitterwald</v>
      </c>
      <c r="O90" t="str">
        <f t="shared" si="8"/>
        <v>Luna</v>
      </c>
      <c r="P90" t="str">
        <f t="shared" si="9"/>
        <v>D. Egea</v>
      </c>
      <c r="Q90">
        <f t="shared" si="10"/>
        <v>1</v>
      </c>
      <c r="R90" t="str">
        <f t="shared" si="11"/>
        <v>Gangkofner-Mitterwald-Luna-D. Egea</v>
      </c>
    </row>
    <row r="91" spans="1:18" x14ac:dyDescent="0.25">
      <c r="A91" s="1" t="s">
        <v>383</v>
      </c>
      <c r="B91" s="1">
        <v>1</v>
      </c>
      <c r="C91" s="1" t="s">
        <v>27</v>
      </c>
      <c r="D91" s="1">
        <v>1</v>
      </c>
      <c r="E91" s="1" t="s">
        <v>156</v>
      </c>
      <c r="F91" s="1">
        <v>15</v>
      </c>
      <c r="G91" s="1">
        <v>10</v>
      </c>
      <c r="H91" s="1" t="s">
        <v>182</v>
      </c>
      <c r="I91" s="1" t="s">
        <v>167</v>
      </c>
      <c r="J91" s="1" t="s">
        <v>193</v>
      </c>
      <c r="K91" s="1" t="s">
        <v>400</v>
      </c>
      <c r="L91" s="1" t="s">
        <v>355</v>
      </c>
      <c r="M91" t="str">
        <f t="shared" si="6"/>
        <v>Anderle</v>
      </c>
      <c r="N91" t="str">
        <f t="shared" si="7"/>
        <v>Leidenfrost</v>
      </c>
      <c r="O91" t="str">
        <f t="shared" si="8"/>
        <v>Muratel</v>
      </c>
      <c r="P91" t="str">
        <f t="shared" si="9"/>
        <v>Gonzalez</v>
      </c>
      <c r="Q91">
        <f t="shared" si="10"/>
        <v>1</v>
      </c>
      <c r="R91" t="str">
        <f t="shared" si="11"/>
        <v>Anderle-Leidenfrost-Muratel-Gonzalez</v>
      </c>
    </row>
    <row r="92" spans="1:18" x14ac:dyDescent="0.25">
      <c r="A92" s="1" t="s">
        <v>383</v>
      </c>
      <c r="B92" s="1">
        <v>1</v>
      </c>
      <c r="C92" s="1" t="s">
        <v>12</v>
      </c>
      <c r="D92" s="1">
        <v>1</v>
      </c>
      <c r="E92" s="1" t="s">
        <v>195</v>
      </c>
      <c r="F92" s="1">
        <v>15</v>
      </c>
      <c r="G92" s="1">
        <v>11</v>
      </c>
      <c r="H92" s="1" t="s">
        <v>182</v>
      </c>
      <c r="I92" s="1" t="s">
        <v>197</v>
      </c>
      <c r="J92" s="1" t="s">
        <v>184</v>
      </c>
      <c r="K92" s="1" t="s">
        <v>400</v>
      </c>
      <c r="L92" s="1" t="s">
        <v>355</v>
      </c>
      <c r="M92" t="str">
        <f t="shared" si="6"/>
        <v>Cole</v>
      </c>
      <c r="N92" t="str">
        <f t="shared" si="7"/>
        <v>Klapwijk</v>
      </c>
      <c r="O92" t="str">
        <f t="shared" si="8"/>
        <v>Campos</v>
      </c>
      <c r="P92" t="str">
        <f t="shared" si="9"/>
        <v>Forschner</v>
      </c>
      <c r="Q92">
        <f t="shared" si="10"/>
        <v>1</v>
      </c>
      <c r="R92" t="str">
        <f t="shared" si="11"/>
        <v>Cole-Klapwijk-Campos-Forschner</v>
      </c>
    </row>
    <row r="93" spans="1:18" x14ac:dyDescent="0.25">
      <c r="A93" s="1" t="s">
        <v>383</v>
      </c>
      <c r="B93" s="1">
        <v>1</v>
      </c>
      <c r="C93" s="1" t="s">
        <v>18</v>
      </c>
      <c r="D93" s="1">
        <v>1</v>
      </c>
      <c r="E93" s="1" t="s">
        <v>195</v>
      </c>
      <c r="F93" s="1">
        <v>15</v>
      </c>
      <c r="G93" s="1">
        <v>5</v>
      </c>
      <c r="H93" s="1" t="s">
        <v>182</v>
      </c>
      <c r="I93" s="1" t="s">
        <v>200</v>
      </c>
      <c r="J93" s="1" t="s">
        <v>187</v>
      </c>
      <c r="K93" s="1" t="s">
        <v>400</v>
      </c>
      <c r="L93" s="1" t="s">
        <v>355</v>
      </c>
      <c r="M93" t="str">
        <f t="shared" si="6"/>
        <v>Finocchi</v>
      </c>
      <c r="N93" t="str">
        <f t="shared" si="7"/>
        <v>Picone</v>
      </c>
      <c r="O93" t="str">
        <f t="shared" si="8"/>
        <v>E. Cuesta</v>
      </c>
      <c r="P93" t="str">
        <f t="shared" si="9"/>
        <v>G. Cuesta</v>
      </c>
      <c r="Q93">
        <f t="shared" si="10"/>
        <v>1</v>
      </c>
      <c r="R93" t="str">
        <f t="shared" si="11"/>
        <v>Finocchi-Picone-E. Cuesta-G. Cuesta</v>
      </c>
    </row>
    <row r="94" spans="1:18" x14ac:dyDescent="0.25">
      <c r="A94" s="1" t="s">
        <v>383</v>
      </c>
      <c r="B94" s="1">
        <v>1</v>
      </c>
      <c r="C94" s="1" t="s">
        <v>21</v>
      </c>
      <c r="D94" s="1">
        <v>1</v>
      </c>
      <c r="E94" s="1" t="s">
        <v>195</v>
      </c>
      <c r="F94" s="1">
        <v>15</v>
      </c>
      <c r="G94" s="1">
        <v>13</v>
      </c>
      <c r="H94" s="1" t="s">
        <v>182</v>
      </c>
      <c r="I94" s="1" t="s">
        <v>202</v>
      </c>
      <c r="J94" s="1" t="s">
        <v>379</v>
      </c>
      <c r="K94" s="1" t="s">
        <v>400</v>
      </c>
      <c r="L94" s="1" t="s">
        <v>355</v>
      </c>
      <c r="M94" t="str">
        <f t="shared" si="6"/>
        <v>Bondi</v>
      </c>
      <c r="N94" t="str">
        <f t="shared" si="7"/>
        <v>Gross</v>
      </c>
      <c r="O94" t="str">
        <f t="shared" si="8"/>
        <v>Navio</v>
      </c>
      <c r="P94" t="str">
        <f t="shared" si="9"/>
        <v>M. Egea</v>
      </c>
      <c r="Q94">
        <f t="shared" si="10"/>
        <v>1</v>
      </c>
      <c r="R94" t="str">
        <f t="shared" si="11"/>
        <v>Bondi-Gross-Navio-M. Egea</v>
      </c>
    </row>
    <row r="95" spans="1:18" x14ac:dyDescent="0.25">
      <c r="A95" s="1" t="s">
        <v>383</v>
      </c>
      <c r="B95" s="1">
        <v>1</v>
      </c>
      <c r="C95" s="1" t="s">
        <v>24</v>
      </c>
      <c r="D95" s="1">
        <v>1</v>
      </c>
      <c r="E95" s="1" t="s">
        <v>195</v>
      </c>
      <c r="F95" s="1">
        <v>15</v>
      </c>
      <c r="G95" s="1">
        <v>5</v>
      </c>
      <c r="H95" s="1" t="s">
        <v>182</v>
      </c>
      <c r="I95" s="1" t="s">
        <v>204</v>
      </c>
      <c r="J95" s="1" t="s">
        <v>380</v>
      </c>
      <c r="K95" s="1" t="s">
        <v>400</v>
      </c>
      <c r="L95" s="1" t="s">
        <v>355</v>
      </c>
      <c r="M95" t="str">
        <f t="shared" si="6"/>
        <v>Hamilton</v>
      </c>
      <c r="N95" t="str">
        <f t="shared" si="7"/>
        <v>Marino</v>
      </c>
      <c r="O95" t="str">
        <f t="shared" si="8"/>
        <v>Luna</v>
      </c>
      <c r="P95" t="str">
        <f t="shared" si="9"/>
        <v>D. Egea</v>
      </c>
      <c r="Q95">
        <f t="shared" si="10"/>
        <v>1</v>
      </c>
      <c r="R95" t="str">
        <f t="shared" si="11"/>
        <v>Hamilton-Marino-Luna-D. Egea</v>
      </c>
    </row>
    <row r="96" spans="1:18" x14ac:dyDescent="0.25">
      <c r="A96" s="1" t="s">
        <v>383</v>
      </c>
      <c r="B96" s="1">
        <v>1</v>
      </c>
      <c r="C96" s="1" t="s">
        <v>27</v>
      </c>
      <c r="D96" s="1">
        <v>1</v>
      </c>
      <c r="E96" s="1" t="s">
        <v>195</v>
      </c>
      <c r="F96" s="1">
        <v>15</v>
      </c>
      <c r="G96" s="1">
        <v>6</v>
      </c>
      <c r="H96" s="1" t="s">
        <v>182</v>
      </c>
      <c r="I96" s="1" t="s">
        <v>206</v>
      </c>
      <c r="J96" s="1" t="s">
        <v>193</v>
      </c>
      <c r="K96" s="1" t="s">
        <v>400</v>
      </c>
      <c r="L96" s="1" t="s">
        <v>355</v>
      </c>
      <c r="M96" t="str">
        <f t="shared" si="6"/>
        <v>Nelson</v>
      </c>
      <c r="N96" t="str">
        <f t="shared" si="7"/>
        <v>Rose</v>
      </c>
      <c r="O96" t="str">
        <f t="shared" si="8"/>
        <v>Muratel</v>
      </c>
      <c r="P96" t="str">
        <f t="shared" si="9"/>
        <v>Gonzalez</v>
      </c>
      <c r="Q96">
        <f t="shared" si="10"/>
        <v>1</v>
      </c>
      <c r="R96" t="str">
        <f t="shared" si="11"/>
        <v>Nelson-Rose-Muratel-Gonzalez</v>
      </c>
    </row>
    <row r="97" spans="1:18" x14ac:dyDescent="0.25">
      <c r="A97" s="1" t="s">
        <v>383</v>
      </c>
      <c r="B97" s="1">
        <v>1</v>
      </c>
      <c r="C97" s="1" t="s">
        <v>12</v>
      </c>
      <c r="D97" s="1">
        <v>1</v>
      </c>
      <c r="E97" s="1" t="s">
        <v>194</v>
      </c>
      <c r="F97" s="1">
        <v>17</v>
      </c>
      <c r="G97" s="1">
        <v>16</v>
      </c>
      <c r="H97" s="1" t="s">
        <v>155</v>
      </c>
      <c r="I97" s="1" t="s">
        <v>196</v>
      </c>
      <c r="J97" s="1" t="s">
        <v>157</v>
      </c>
      <c r="K97" s="1" t="s">
        <v>400</v>
      </c>
      <c r="L97" s="1" t="s">
        <v>355</v>
      </c>
      <c r="M97" t="str">
        <f t="shared" si="6"/>
        <v>Bosak</v>
      </c>
      <c r="N97" t="str">
        <f t="shared" si="7"/>
        <v>Cote</v>
      </c>
      <c r="O97" t="str">
        <f t="shared" si="8"/>
        <v>Bazzani</v>
      </c>
      <c r="P97" t="str">
        <f t="shared" si="9"/>
        <v>Borsotti</v>
      </c>
      <c r="Q97">
        <f t="shared" si="10"/>
        <v>1</v>
      </c>
      <c r="R97" t="str">
        <f t="shared" si="11"/>
        <v>Bosak-Cote-Bazzani-Borsotti</v>
      </c>
    </row>
    <row r="98" spans="1:18" x14ac:dyDescent="0.25">
      <c r="A98" s="1" t="s">
        <v>383</v>
      </c>
      <c r="B98" s="1">
        <v>1</v>
      </c>
      <c r="C98" s="1" t="s">
        <v>18</v>
      </c>
      <c r="D98" s="1">
        <v>1</v>
      </c>
      <c r="E98" s="1" t="s">
        <v>194</v>
      </c>
      <c r="F98" s="1">
        <v>15</v>
      </c>
      <c r="G98" s="1">
        <v>12</v>
      </c>
      <c r="H98" s="1" t="s">
        <v>155</v>
      </c>
      <c r="I98" s="1" t="s">
        <v>199</v>
      </c>
      <c r="J98" s="1" t="s">
        <v>160</v>
      </c>
      <c r="K98" s="1" t="s">
        <v>400</v>
      </c>
      <c r="L98" s="1" t="s">
        <v>355</v>
      </c>
      <c r="M98" t="str">
        <f t="shared" si="6"/>
        <v>Dean</v>
      </c>
      <c r="N98" t="str">
        <f t="shared" si="7"/>
        <v>Gagnon</v>
      </c>
      <c r="O98" t="str">
        <f t="shared" si="8"/>
        <v>Dudine</v>
      </c>
      <c r="P98" t="str">
        <f t="shared" si="9"/>
        <v>Zanellato</v>
      </c>
      <c r="Q98">
        <f t="shared" si="10"/>
        <v>1</v>
      </c>
      <c r="R98" t="str">
        <f t="shared" si="11"/>
        <v>Dean-Gagnon-Dudine-Zanellato</v>
      </c>
    </row>
    <row r="99" spans="1:18" x14ac:dyDescent="0.25">
      <c r="A99" s="1" t="s">
        <v>383</v>
      </c>
      <c r="B99" s="1">
        <v>1</v>
      </c>
      <c r="C99" s="1" t="s">
        <v>21</v>
      </c>
      <c r="D99" s="1">
        <v>1</v>
      </c>
      <c r="E99" s="1" t="s">
        <v>194</v>
      </c>
      <c r="F99" s="1">
        <v>15</v>
      </c>
      <c r="G99" s="1">
        <v>5</v>
      </c>
      <c r="H99" s="1" t="s">
        <v>155</v>
      </c>
      <c r="I99" s="1" t="s">
        <v>392</v>
      </c>
      <c r="J99" s="1" t="s">
        <v>364</v>
      </c>
      <c r="K99" s="1" t="s">
        <v>400</v>
      </c>
      <c r="L99" s="1" t="s">
        <v>355</v>
      </c>
      <c r="M99" t="str">
        <f t="shared" si="6"/>
        <v>Mathieu</v>
      </c>
      <c r="N99" t="str">
        <f t="shared" si="7"/>
        <v>E. Leung</v>
      </c>
      <c r="O99" t="str">
        <f t="shared" si="8"/>
        <v>mercadini</v>
      </c>
      <c r="P99" t="str">
        <f t="shared" si="9"/>
        <v>Sacchini</v>
      </c>
      <c r="Q99">
        <f t="shared" si="10"/>
        <v>1</v>
      </c>
      <c r="R99" t="str">
        <f t="shared" si="11"/>
        <v>Mathieu-E. Leung-mercadini-Sacchini</v>
      </c>
    </row>
    <row r="100" spans="1:18" x14ac:dyDescent="0.25">
      <c r="A100" s="1" t="s">
        <v>383</v>
      </c>
      <c r="B100" s="1">
        <v>1</v>
      </c>
      <c r="C100" s="1" t="s">
        <v>24</v>
      </c>
      <c r="D100" s="1">
        <v>1</v>
      </c>
      <c r="E100" s="1" t="s">
        <v>194</v>
      </c>
      <c r="F100" s="1">
        <v>17</v>
      </c>
      <c r="G100" s="1">
        <v>16</v>
      </c>
      <c r="H100" s="1" t="s">
        <v>155</v>
      </c>
      <c r="I100" s="1" t="s">
        <v>203</v>
      </c>
      <c r="J100" s="1" t="s">
        <v>164</v>
      </c>
      <c r="K100" s="1" t="s">
        <v>400</v>
      </c>
      <c r="L100" s="1" t="s">
        <v>355</v>
      </c>
      <c r="M100" t="str">
        <f t="shared" si="6"/>
        <v>Prince</v>
      </c>
      <c r="N100" t="str">
        <f t="shared" si="7"/>
        <v>Brown</v>
      </c>
      <c r="O100" t="str">
        <f t="shared" si="8"/>
        <v>Grazi</v>
      </c>
      <c r="P100" t="str">
        <f t="shared" si="9"/>
        <v>Pareschi</v>
      </c>
      <c r="Q100">
        <f t="shared" si="10"/>
        <v>1</v>
      </c>
      <c r="R100" t="str">
        <f t="shared" si="11"/>
        <v>Prince-Brown-Grazi-Pareschi</v>
      </c>
    </row>
    <row r="101" spans="1:18" x14ac:dyDescent="0.25">
      <c r="A101" s="1" t="s">
        <v>383</v>
      </c>
      <c r="B101" s="1">
        <v>1</v>
      </c>
      <c r="C101" s="1" t="s">
        <v>27</v>
      </c>
      <c r="D101" s="1">
        <v>1</v>
      </c>
      <c r="E101" s="1" t="s">
        <v>194</v>
      </c>
      <c r="F101" s="1">
        <v>15</v>
      </c>
      <c r="G101" s="1">
        <v>8</v>
      </c>
      <c r="H101" s="1" t="s">
        <v>155</v>
      </c>
      <c r="I101" s="1" t="s">
        <v>205</v>
      </c>
      <c r="J101" s="1" t="s">
        <v>166</v>
      </c>
      <c r="K101" s="1" t="s">
        <v>400</v>
      </c>
      <c r="L101" s="1" t="s">
        <v>355</v>
      </c>
      <c r="M101" t="str">
        <f t="shared" si="6"/>
        <v>Babin</v>
      </c>
      <c r="N101" t="str">
        <f t="shared" si="7"/>
        <v>Laurin</v>
      </c>
      <c r="O101" t="str">
        <f t="shared" si="8"/>
        <v>Merlin</v>
      </c>
      <c r="P101" t="str">
        <f t="shared" si="9"/>
        <v>Molli</v>
      </c>
      <c r="Q101">
        <f t="shared" si="10"/>
        <v>1</v>
      </c>
      <c r="R101" t="str">
        <f t="shared" si="11"/>
        <v>Babin-Laurin-Merlin-Molli</v>
      </c>
    </row>
    <row r="102" spans="1:18" x14ac:dyDescent="0.25">
      <c r="A102" s="1" t="s">
        <v>383</v>
      </c>
      <c r="B102" s="1">
        <v>1</v>
      </c>
      <c r="C102" s="1" t="s">
        <v>12</v>
      </c>
      <c r="D102" s="1">
        <v>1</v>
      </c>
      <c r="E102" s="1" t="s">
        <v>147</v>
      </c>
      <c r="F102" s="1">
        <v>15</v>
      </c>
      <c r="G102" s="1">
        <v>10</v>
      </c>
      <c r="H102" s="1" t="s">
        <v>169</v>
      </c>
      <c r="I102" s="1" t="s">
        <v>149</v>
      </c>
      <c r="J102" s="1" t="s">
        <v>171</v>
      </c>
      <c r="K102" s="1" t="s">
        <v>400</v>
      </c>
      <c r="L102" s="1" t="s">
        <v>355</v>
      </c>
      <c r="M102" t="str">
        <f t="shared" si="6"/>
        <v>Felix</v>
      </c>
      <c r="N102" t="str">
        <f t="shared" si="7"/>
        <v>Baumeler</v>
      </c>
      <c r="O102" t="str">
        <f t="shared" si="8"/>
        <v>Ekman</v>
      </c>
      <c r="P102" t="str">
        <f t="shared" si="9"/>
        <v>Stenquist</v>
      </c>
      <c r="Q102">
        <f t="shared" si="10"/>
        <v>1</v>
      </c>
      <c r="R102" t="str">
        <f t="shared" si="11"/>
        <v>Felix-Baumeler-Ekman-Stenquist</v>
      </c>
    </row>
    <row r="103" spans="1:18" x14ac:dyDescent="0.25">
      <c r="A103" s="1" t="s">
        <v>383</v>
      </c>
      <c r="B103" s="1">
        <v>1</v>
      </c>
      <c r="C103" s="1" t="s">
        <v>18</v>
      </c>
      <c r="D103" s="1">
        <v>1</v>
      </c>
      <c r="E103" s="1" t="s">
        <v>147</v>
      </c>
      <c r="F103" s="1">
        <v>15</v>
      </c>
      <c r="G103" s="1">
        <v>13</v>
      </c>
      <c r="H103" s="1" t="s">
        <v>169</v>
      </c>
      <c r="I103" s="1" t="s">
        <v>152</v>
      </c>
      <c r="J103" s="1" t="s">
        <v>174</v>
      </c>
      <c r="K103" s="1" t="s">
        <v>400</v>
      </c>
      <c r="L103" s="1" t="s">
        <v>355</v>
      </c>
      <c r="M103" t="str">
        <f t="shared" si="6"/>
        <v>Rimle</v>
      </c>
      <c r="N103" t="str">
        <f t="shared" si="7"/>
        <v>Peter</v>
      </c>
      <c r="O103" t="str">
        <f t="shared" si="8"/>
        <v>Henström</v>
      </c>
      <c r="P103" t="str">
        <f t="shared" si="9"/>
        <v>Mjönes</v>
      </c>
      <c r="Q103">
        <f t="shared" si="10"/>
        <v>1</v>
      </c>
      <c r="R103" t="str">
        <f t="shared" si="11"/>
        <v>Rimle-Peter-Henström-Mjönes</v>
      </c>
    </row>
    <row r="104" spans="1:18" x14ac:dyDescent="0.25">
      <c r="A104" s="1" t="s">
        <v>383</v>
      </c>
      <c r="B104" s="1">
        <v>1</v>
      </c>
      <c r="C104" s="1" t="s">
        <v>21</v>
      </c>
      <c r="D104" s="1">
        <v>1</v>
      </c>
      <c r="E104" s="1" t="s">
        <v>147</v>
      </c>
      <c r="F104" s="1">
        <v>11</v>
      </c>
      <c r="G104" s="1">
        <v>15</v>
      </c>
      <c r="H104" s="1" t="s">
        <v>169</v>
      </c>
      <c r="I104" s="1" t="s">
        <v>154</v>
      </c>
      <c r="J104" s="1" t="s">
        <v>176</v>
      </c>
      <c r="K104" s="1" t="s">
        <v>400</v>
      </c>
      <c r="L104" s="1" t="s">
        <v>355</v>
      </c>
      <c r="M104" t="str">
        <f t="shared" si="6"/>
        <v>Pasetti</v>
      </c>
      <c r="N104" t="str">
        <f t="shared" si="7"/>
        <v>Widin</v>
      </c>
      <c r="O104" t="str">
        <f t="shared" si="8"/>
        <v>Millton</v>
      </c>
      <c r="P104" t="str">
        <f t="shared" si="9"/>
        <v>Baggman</v>
      </c>
      <c r="Q104">
        <f t="shared" si="10"/>
        <v>0</v>
      </c>
      <c r="R104" t="str">
        <f t="shared" si="11"/>
        <v>Pasetti-Widin-Millton-Baggman</v>
      </c>
    </row>
    <row r="105" spans="1:18" x14ac:dyDescent="0.25">
      <c r="A105" s="1" t="s">
        <v>383</v>
      </c>
      <c r="B105" s="1">
        <v>1</v>
      </c>
      <c r="C105" s="1" t="s">
        <v>24</v>
      </c>
      <c r="D105" s="1">
        <v>1</v>
      </c>
      <c r="E105" s="1" t="s">
        <v>147</v>
      </c>
      <c r="F105" s="1">
        <v>15</v>
      </c>
      <c r="G105" s="1">
        <v>13</v>
      </c>
      <c r="H105" s="1" t="s">
        <v>169</v>
      </c>
      <c r="I105" s="1" t="s">
        <v>385</v>
      </c>
      <c r="J105" s="1" t="s">
        <v>178</v>
      </c>
      <c r="K105" s="1" t="s">
        <v>400</v>
      </c>
      <c r="L105" s="1" t="s">
        <v>355</v>
      </c>
      <c r="M105" t="str">
        <f t="shared" si="6"/>
        <v>J. Eigenmann</v>
      </c>
      <c r="N105" t="str">
        <f t="shared" si="7"/>
        <v>Tognini</v>
      </c>
      <c r="O105" t="str">
        <f t="shared" si="8"/>
        <v>Jansson</v>
      </c>
      <c r="P105" t="str">
        <f t="shared" si="9"/>
        <v>Svensson</v>
      </c>
      <c r="Q105">
        <f t="shared" si="10"/>
        <v>1</v>
      </c>
      <c r="R105" t="str">
        <f t="shared" si="11"/>
        <v>J. Eigenmann-Tognini-Jansson-Svensson</v>
      </c>
    </row>
    <row r="106" spans="1:18" x14ac:dyDescent="0.25">
      <c r="A106" s="1" t="s">
        <v>383</v>
      </c>
      <c r="B106" s="1">
        <v>1</v>
      </c>
      <c r="C106" s="1" t="s">
        <v>27</v>
      </c>
      <c r="D106" s="1">
        <v>1</v>
      </c>
      <c r="E106" s="1" t="s">
        <v>147</v>
      </c>
      <c r="F106" s="1">
        <v>17</v>
      </c>
      <c r="G106" s="1">
        <v>16</v>
      </c>
      <c r="H106" s="1" t="s">
        <v>169</v>
      </c>
      <c r="I106" s="1" t="s">
        <v>212</v>
      </c>
      <c r="J106" s="1" t="s">
        <v>180</v>
      </c>
      <c r="K106" s="1" t="s">
        <v>400</v>
      </c>
      <c r="L106" s="1" t="s">
        <v>355</v>
      </c>
      <c r="M106" t="str">
        <f t="shared" si="6"/>
        <v>Rieser</v>
      </c>
      <c r="N106" t="str">
        <f t="shared" si="7"/>
        <v>Engel</v>
      </c>
      <c r="O106" t="str">
        <f t="shared" si="8"/>
        <v>Skogward</v>
      </c>
      <c r="P106" t="str">
        <f t="shared" si="9"/>
        <v>Ljung</v>
      </c>
      <c r="Q106">
        <f t="shared" si="10"/>
        <v>1</v>
      </c>
      <c r="R106" t="str">
        <f t="shared" si="11"/>
        <v>Rieser-Engel-Skogward-Ljung</v>
      </c>
    </row>
    <row r="107" spans="1:18" x14ac:dyDescent="0.25">
      <c r="A107" s="1" t="s">
        <v>383</v>
      </c>
      <c r="B107" s="1">
        <v>1</v>
      </c>
      <c r="C107" s="1" t="s">
        <v>12</v>
      </c>
      <c r="D107" s="1">
        <v>1</v>
      </c>
      <c r="E107" s="1" t="s">
        <v>146</v>
      </c>
      <c r="F107" s="1">
        <v>15</v>
      </c>
      <c r="G107" s="1">
        <v>11</v>
      </c>
      <c r="H107" s="1" t="s">
        <v>156</v>
      </c>
      <c r="I107" s="1" t="s">
        <v>148</v>
      </c>
      <c r="J107" s="1" t="s">
        <v>158</v>
      </c>
      <c r="K107" s="1" t="s">
        <v>400</v>
      </c>
      <c r="L107" s="1" t="s">
        <v>355</v>
      </c>
      <c r="M107" t="str">
        <f t="shared" si="6"/>
        <v>Eisenträger</v>
      </c>
      <c r="N107" t="str">
        <f t="shared" si="7"/>
        <v>Siemer</v>
      </c>
      <c r="O107" t="str">
        <f t="shared" si="8"/>
        <v>Bachler</v>
      </c>
      <c r="P107" t="str">
        <f t="shared" si="9"/>
        <v>Dziruni</v>
      </c>
      <c r="Q107">
        <f t="shared" si="10"/>
        <v>1</v>
      </c>
      <c r="R107" t="str">
        <f t="shared" si="11"/>
        <v>Eisenträger-Siemer-Bachler-Dziruni</v>
      </c>
    </row>
    <row r="108" spans="1:18" x14ac:dyDescent="0.25">
      <c r="A108" s="1" t="s">
        <v>383</v>
      </c>
      <c r="B108" s="1">
        <v>1</v>
      </c>
      <c r="C108" s="1" t="s">
        <v>18</v>
      </c>
      <c r="D108" s="1">
        <v>1</v>
      </c>
      <c r="E108" s="1" t="s">
        <v>146</v>
      </c>
      <c r="F108" s="1">
        <v>15</v>
      </c>
      <c r="G108" s="1">
        <v>11</v>
      </c>
      <c r="H108" s="1" t="s">
        <v>156</v>
      </c>
      <c r="I108" s="1" t="s">
        <v>151</v>
      </c>
      <c r="J108" s="1" t="s">
        <v>161</v>
      </c>
      <c r="K108" s="1" t="s">
        <v>400</v>
      </c>
      <c r="L108" s="1" t="s">
        <v>355</v>
      </c>
      <c r="M108" t="str">
        <f t="shared" si="6"/>
        <v>Grönebaum</v>
      </c>
      <c r="N108" t="str">
        <f t="shared" si="7"/>
        <v>Prüfer</v>
      </c>
      <c r="O108" t="str">
        <f t="shared" si="8"/>
        <v>Handschmann</v>
      </c>
      <c r="P108" t="str">
        <f t="shared" si="9"/>
        <v>Jindra</v>
      </c>
      <c r="Q108">
        <f t="shared" si="10"/>
        <v>1</v>
      </c>
      <c r="R108" t="str">
        <f t="shared" si="11"/>
        <v>Grönebaum-Prüfer-Handschmann-Jindra</v>
      </c>
    </row>
    <row r="109" spans="1:18" x14ac:dyDescent="0.25">
      <c r="A109" s="1" t="s">
        <v>383</v>
      </c>
      <c r="B109" s="1">
        <v>1</v>
      </c>
      <c r="C109" s="1" t="s">
        <v>21</v>
      </c>
      <c r="D109" s="1">
        <v>1</v>
      </c>
      <c r="E109" s="1" t="s">
        <v>146</v>
      </c>
      <c r="F109" s="1">
        <v>13</v>
      </c>
      <c r="G109" s="1">
        <v>15</v>
      </c>
      <c r="H109" s="1" t="s">
        <v>156</v>
      </c>
      <c r="I109" s="1" t="s">
        <v>153</v>
      </c>
      <c r="J109" s="1" t="s">
        <v>163</v>
      </c>
      <c r="K109" s="1" t="s">
        <v>400</v>
      </c>
      <c r="L109" s="1" t="s">
        <v>355</v>
      </c>
      <c r="M109" t="str">
        <f t="shared" si="6"/>
        <v>Claus</v>
      </c>
      <c r="N109" t="str">
        <f t="shared" si="7"/>
        <v>Lauterbach</v>
      </c>
      <c r="O109" t="str">
        <f t="shared" si="8"/>
        <v>Eynard</v>
      </c>
      <c r="P109" t="str">
        <f t="shared" si="9"/>
        <v>Stoisser</v>
      </c>
      <c r="Q109">
        <f t="shared" si="10"/>
        <v>0</v>
      </c>
      <c r="R109" t="str">
        <f t="shared" si="11"/>
        <v>Claus-Lauterbach-Eynard-Stoisser</v>
      </c>
    </row>
    <row r="110" spans="1:18" x14ac:dyDescent="0.25">
      <c r="A110" s="1" t="s">
        <v>383</v>
      </c>
      <c r="B110" s="1">
        <v>1</v>
      </c>
      <c r="C110" s="1" t="s">
        <v>24</v>
      </c>
      <c r="D110" s="1">
        <v>1</v>
      </c>
      <c r="E110" s="1" t="s">
        <v>146</v>
      </c>
      <c r="F110" s="1">
        <v>15</v>
      </c>
      <c r="G110" s="1">
        <v>10</v>
      </c>
      <c r="H110" s="1" t="s">
        <v>156</v>
      </c>
      <c r="I110" s="1" t="s">
        <v>209</v>
      </c>
      <c r="J110" s="1" t="s">
        <v>165</v>
      </c>
      <c r="K110" s="1" t="s">
        <v>400</v>
      </c>
      <c r="L110" s="1" t="s">
        <v>355</v>
      </c>
      <c r="M110" t="str">
        <f t="shared" si="6"/>
        <v>Christiani</v>
      </c>
      <c r="N110" t="str">
        <f t="shared" si="7"/>
        <v>Harder</v>
      </c>
      <c r="O110" t="str">
        <f t="shared" si="8"/>
        <v>Gangkofner</v>
      </c>
      <c r="P110" t="str">
        <f t="shared" si="9"/>
        <v>Mitterwald</v>
      </c>
      <c r="Q110">
        <f t="shared" si="10"/>
        <v>1</v>
      </c>
      <c r="R110" t="str">
        <f t="shared" si="11"/>
        <v>Christiani-Harder-Gangkofner-Mitterwald</v>
      </c>
    </row>
    <row r="111" spans="1:18" x14ac:dyDescent="0.25">
      <c r="A111" s="1" t="s">
        <v>383</v>
      </c>
      <c r="B111" s="1">
        <v>1</v>
      </c>
      <c r="C111" s="1" t="s">
        <v>27</v>
      </c>
      <c r="D111" s="1">
        <v>1</v>
      </c>
      <c r="E111" s="1" t="s">
        <v>146</v>
      </c>
      <c r="F111" s="1">
        <v>15</v>
      </c>
      <c r="G111" s="1">
        <v>10</v>
      </c>
      <c r="H111" s="1" t="s">
        <v>156</v>
      </c>
      <c r="I111" s="1" t="s">
        <v>210</v>
      </c>
      <c r="J111" s="1" t="s">
        <v>167</v>
      </c>
      <c r="K111" s="1" t="s">
        <v>400</v>
      </c>
      <c r="L111" s="1" t="s">
        <v>355</v>
      </c>
      <c r="M111" t="str">
        <f t="shared" si="6"/>
        <v>Klement</v>
      </c>
      <c r="N111" t="str">
        <f t="shared" si="7"/>
        <v>Krehle</v>
      </c>
      <c r="O111" t="str">
        <f t="shared" si="8"/>
        <v>Anderle</v>
      </c>
      <c r="P111" t="str">
        <f t="shared" si="9"/>
        <v>Leidenfrost</v>
      </c>
      <c r="Q111">
        <f t="shared" si="10"/>
        <v>1</v>
      </c>
      <c r="R111" t="str">
        <f t="shared" si="11"/>
        <v>Klement-Krehle-Anderle-Leidenfrost</v>
      </c>
    </row>
    <row r="112" spans="1:18" x14ac:dyDescent="0.25">
      <c r="A112" s="1" t="s">
        <v>383</v>
      </c>
      <c r="B112" s="1">
        <v>1</v>
      </c>
      <c r="C112" s="1" t="s">
        <v>12</v>
      </c>
      <c r="D112" s="1">
        <v>1</v>
      </c>
      <c r="E112" s="1" t="s">
        <v>147</v>
      </c>
      <c r="F112" s="1">
        <v>12</v>
      </c>
      <c r="G112" s="1">
        <v>15</v>
      </c>
      <c r="H112" s="1" t="s">
        <v>155</v>
      </c>
      <c r="I112" s="1" t="s">
        <v>149</v>
      </c>
      <c r="J112" s="1" t="s">
        <v>157</v>
      </c>
      <c r="K112" s="1" t="s">
        <v>400</v>
      </c>
      <c r="L112" s="1" t="s">
        <v>355</v>
      </c>
      <c r="M112" t="str">
        <f t="shared" si="6"/>
        <v>Felix</v>
      </c>
      <c r="N112" t="str">
        <f t="shared" si="7"/>
        <v>Baumeler</v>
      </c>
      <c r="O112" t="str">
        <f t="shared" si="8"/>
        <v>Bazzani</v>
      </c>
      <c r="P112" t="str">
        <f t="shared" si="9"/>
        <v>Borsotti</v>
      </c>
      <c r="Q112">
        <f t="shared" si="10"/>
        <v>0</v>
      </c>
      <c r="R112" t="str">
        <f t="shared" si="11"/>
        <v>Felix-Baumeler-Bazzani-Borsotti</v>
      </c>
    </row>
    <row r="113" spans="1:18" x14ac:dyDescent="0.25">
      <c r="A113" s="1" t="s">
        <v>383</v>
      </c>
      <c r="B113" s="1">
        <v>1</v>
      </c>
      <c r="C113" s="1" t="s">
        <v>18</v>
      </c>
      <c r="D113" s="1">
        <v>1</v>
      </c>
      <c r="E113" s="1" t="s">
        <v>147</v>
      </c>
      <c r="F113" s="1">
        <v>9</v>
      </c>
      <c r="G113" s="1">
        <v>15</v>
      </c>
      <c r="H113" s="1" t="s">
        <v>155</v>
      </c>
      <c r="I113" s="1" t="s">
        <v>152</v>
      </c>
      <c r="J113" s="1" t="s">
        <v>160</v>
      </c>
      <c r="K113" s="1" t="s">
        <v>400</v>
      </c>
      <c r="L113" s="1" t="s">
        <v>355</v>
      </c>
      <c r="M113" t="str">
        <f t="shared" si="6"/>
        <v>Rimle</v>
      </c>
      <c r="N113" t="str">
        <f t="shared" si="7"/>
        <v>Peter</v>
      </c>
      <c r="O113" t="str">
        <f t="shared" si="8"/>
        <v>Dudine</v>
      </c>
      <c r="P113" t="str">
        <f t="shared" si="9"/>
        <v>Zanellato</v>
      </c>
      <c r="Q113">
        <f t="shared" si="10"/>
        <v>0</v>
      </c>
      <c r="R113" t="str">
        <f t="shared" si="11"/>
        <v>Rimle-Peter-Dudine-Zanellato</v>
      </c>
    </row>
    <row r="114" spans="1:18" x14ac:dyDescent="0.25">
      <c r="A114" s="1" t="s">
        <v>383</v>
      </c>
      <c r="B114" s="1">
        <v>1</v>
      </c>
      <c r="C114" s="1" t="s">
        <v>21</v>
      </c>
      <c r="D114" s="1">
        <v>1</v>
      </c>
      <c r="E114" s="1" t="s">
        <v>147</v>
      </c>
      <c r="F114" s="1">
        <v>15</v>
      </c>
      <c r="G114" s="1">
        <v>12</v>
      </c>
      <c r="H114" s="1" t="s">
        <v>155</v>
      </c>
      <c r="I114" s="1" t="s">
        <v>154</v>
      </c>
      <c r="J114" s="1" t="s">
        <v>364</v>
      </c>
      <c r="K114" s="1" t="s">
        <v>400</v>
      </c>
      <c r="L114" s="1" t="s">
        <v>355</v>
      </c>
      <c r="M114" t="str">
        <f t="shared" si="6"/>
        <v>Pasetti</v>
      </c>
      <c r="N114" t="str">
        <f t="shared" si="7"/>
        <v>Widin</v>
      </c>
      <c r="O114" t="str">
        <f t="shared" si="8"/>
        <v>mercadini</v>
      </c>
      <c r="P114" t="str">
        <f t="shared" si="9"/>
        <v>Sacchini</v>
      </c>
      <c r="Q114">
        <f t="shared" si="10"/>
        <v>1</v>
      </c>
      <c r="R114" t="str">
        <f t="shared" si="11"/>
        <v>Pasetti-Widin-mercadini-Sacchini</v>
      </c>
    </row>
    <row r="115" spans="1:18" x14ac:dyDescent="0.25">
      <c r="A115" s="1" t="s">
        <v>383</v>
      </c>
      <c r="B115" s="1">
        <v>1</v>
      </c>
      <c r="C115" s="1" t="s">
        <v>24</v>
      </c>
      <c r="D115" s="1">
        <v>1</v>
      </c>
      <c r="E115" s="1" t="s">
        <v>147</v>
      </c>
      <c r="F115" s="1">
        <v>15</v>
      </c>
      <c r="G115" s="1">
        <v>7</v>
      </c>
      <c r="H115" s="1" t="s">
        <v>155</v>
      </c>
      <c r="I115" s="1" t="s">
        <v>385</v>
      </c>
      <c r="J115" s="1" t="s">
        <v>164</v>
      </c>
      <c r="K115" s="1" t="s">
        <v>400</v>
      </c>
      <c r="L115" s="1" t="s">
        <v>355</v>
      </c>
      <c r="M115" t="str">
        <f t="shared" si="6"/>
        <v>J. Eigenmann</v>
      </c>
      <c r="N115" t="str">
        <f t="shared" si="7"/>
        <v>Tognini</v>
      </c>
      <c r="O115" t="str">
        <f t="shared" si="8"/>
        <v>Grazi</v>
      </c>
      <c r="P115" t="str">
        <f t="shared" si="9"/>
        <v>Pareschi</v>
      </c>
      <c r="Q115">
        <f t="shared" si="10"/>
        <v>1</v>
      </c>
      <c r="R115" t="str">
        <f t="shared" si="11"/>
        <v>J. Eigenmann-Tognini-Grazi-Pareschi</v>
      </c>
    </row>
    <row r="116" spans="1:18" x14ac:dyDescent="0.25">
      <c r="A116" s="1" t="s">
        <v>383</v>
      </c>
      <c r="B116" s="1">
        <v>1</v>
      </c>
      <c r="C116" s="1" t="s">
        <v>27</v>
      </c>
      <c r="D116" s="1">
        <v>1</v>
      </c>
      <c r="E116" s="1" t="s">
        <v>147</v>
      </c>
      <c r="F116" s="1">
        <v>15</v>
      </c>
      <c r="G116" s="1">
        <v>10</v>
      </c>
      <c r="H116" s="1" t="s">
        <v>155</v>
      </c>
      <c r="I116" s="1" t="s">
        <v>212</v>
      </c>
      <c r="J116" s="1" t="s">
        <v>166</v>
      </c>
      <c r="K116" s="1" t="s">
        <v>400</v>
      </c>
      <c r="L116" s="1" t="s">
        <v>355</v>
      </c>
      <c r="M116" t="str">
        <f t="shared" si="6"/>
        <v>Rieser</v>
      </c>
      <c r="N116" t="str">
        <f t="shared" si="7"/>
        <v>Engel</v>
      </c>
      <c r="O116" t="str">
        <f t="shared" si="8"/>
        <v>Merlin</v>
      </c>
      <c r="P116" t="str">
        <f t="shared" si="9"/>
        <v>Molli</v>
      </c>
      <c r="Q116">
        <f t="shared" si="10"/>
        <v>1</v>
      </c>
      <c r="R116" t="str">
        <f t="shared" si="11"/>
        <v>Rieser-Engel-Merlin-Molli</v>
      </c>
    </row>
    <row r="117" spans="1:18" x14ac:dyDescent="0.25">
      <c r="A117" s="1" t="s">
        <v>383</v>
      </c>
      <c r="B117" s="1">
        <v>1</v>
      </c>
      <c r="C117" s="1" t="s">
        <v>12</v>
      </c>
      <c r="D117" s="1">
        <v>1</v>
      </c>
      <c r="E117" s="1" t="s">
        <v>14</v>
      </c>
      <c r="F117" s="1">
        <v>12</v>
      </c>
      <c r="G117" s="1">
        <v>15</v>
      </c>
      <c r="H117" s="1" t="s">
        <v>169</v>
      </c>
      <c r="I117" s="1" t="s">
        <v>16</v>
      </c>
      <c r="J117" s="1" t="s">
        <v>171</v>
      </c>
      <c r="K117" s="1" t="s">
        <v>400</v>
      </c>
      <c r="L117" s="1" t="s">
        <v>355</v>
      </c>
      <c r="M117" t="str">
        <f t="shared" si="6"/>
        <v>Beeks</v>
      </c>
      <c r="N117" t="str">
        <f t="shared" si="7"/>
        <v>Elbourne</v>
      </c>
      <c r="O117" t="str">
        <f t="shared" si="8"/>
        <v>Ekman</v>
      </c>
      <c r="P117" t="str">
        <f t="shared" si="9"/>
        <v>Stenquist</v>
      </c>
      <c r="Q117">
        <f t="shared" si="10"/>
        <v>0</v>
      </c>
      <c r="R117" t="str">
        <f t="shared" si="11"/>
        <v>Beeks-Elbourne-Ekman-Stenquist</v>
      </c>
    </row>
    <row r="118" spans="1:18" x14ac:dyDescent="0.25">
      <c r="A118" s="1" t="s">
        <v>383</v>
      </c>
      <c r="B118" s="1">
        <v>1</v>
      </c>
      <c r="C118" s="1" t="s">
        <v>18</v>
      </c>
      <c r="D118" s="1">
        <v>1</v>
      </c>
      <c r="E118" s="1" t="s">
        <v>14</v>
      </c>
      <c r="F118" s="1">
        <v>16</v>
      </c>
      <c r="G118" s="1">
        <v>17</v>
      </c>
      <c r="H118" s="1" t="s">
        <v>169</v>
      </c>
      <c r="I118" s="1" t="s">
        <v>20</v>
      </c>
      <c r="J118" s="1" t="s">
        <v>174</v>
      </c>
      <c r="K118" s="1" t="s">
        <v>400</v>
      </c>
      <c r="L118" s="1" t="s">
        <v>355</v>
      </c>
      <c r="M118" t="str">
        <f t="shared" si="6"/>
        <v>Rowlands</v>
      </c>
      <c r="N118" t="str">
        <f t="shared" si="7"/>
        <v>Hutko</v>
      </c>
      <c r="O118" t="str">
        <f t="shared" si="8"/>
        <v>Henström</v>
      </c>
      <c r="P118" t="str">
        <f t="shared" si="9"/>
        <v>Mjönes</v>
      </c>
      <c r="Q118">
        <f t="shared" si="10"/>
        <v>0</v>
      </c>
      <c r="R118" t="str">
        <f t="shared" si="11"/>
        <v>Rowlands-Hutko-Henström-Mjönes</v>
      </c>
    </row>
    <row r="119" spans="1:18" x14ac:dyDescent="0.25">
      <c r="A119" s="1" t="s">
        <v>383</v>
      </c>
      <c r="B119" s="1">
        <v>1</v>
      </c>
      <c r="C119" s="1" t="s">
        <v>21</v>
      </c>
      <c r="D119" s="1">
        <v>1</v>
      </c>
      <c r="E119" s="1" t="s">
        <v>14</v>
      </c>
      <c r="F119" s="1">
        <v>15</v>
      </c>
      <c r="G119" s="1">
        <v>17</v>
      </c>
      <c r="H119" s="1" t="s">
        <v>169</v>
      </c>
      <c r="I119" s="1" t="s">
        <v>23</v>
      </c>
      <c r="J119" s="1" t="s">
        <v>176</v>
      </c>
      <c r="K119" s="1" t="s">
        <v>400</v>
      </c>
      <c r="L119" s="1" t="s">
        <v>355</v>
      </c>
      <c r="M119" t="str">
        <f t="shared" si="6"/>
        <v>Cook</v>
      </c>
      <c r="N119" t="str">
        <f t="shared" si="7"/>
        <v>Kerridge</v>
      </c>
      <c r="O119" t="str">
        <f t="shared" si="8"/>
        <v>Millton</v>
      </c>
      <c r="P119" t="str">
        <f t="shared" si="9"/>
        <v>Baggman</v>
      </c>
      <c r="Q119">
        <f t="shared" si="10"/>
        <v>0</v>
      </c>
      <c r="R119" t="str">
        <f t="shared" si="11"/>
        <v>Cook-Kerridge-Millton-Baggman</v>
      </c>
    </row>
    <row r="120" spans="1:18" x14ac:dyDescent="0.25">
      <c r="A120" s="1" t="s">
        <v>383</v>
      </c>
      <c r="B120" s="1">
        <v>1</v>
      </c>
      <c r="C120" s="1" t="s">
        <v>24</v>
      </c>
      <c r="D120" s="1">
        <v>1</v>
      </c>
      <c r="E120" s="1" t="s">
        <v>14</v>
      </c>
      <c r="F120" s="1">
        <v>15</v>
      </c>
      <c r="G120" s="1">
        <v>9</v>
      </c>
      <c r="H120" s="1" t="s">
        <v>169</v>
      </c>
      <c r="I120" s="1" t="s">
        <v>26</v>
      </c>
      <c r="J120" s="1" t="s">
        <v>178</v>
      </c>
      <c r="K120" s="1" t="s">
        <v>400</v>
      </c>
      <c r="L120" s="1" t="s">
        <v>355</v>
      </c>
      <c r="M120" t="str">
        <f t="shared" si="6"/>
        <v>Jackson</v>
      </c>
      <c r="N120" t="str">
        <f t="shared" si="7"/>
        <v>Douglas</v>
      </c>
      <c r="O120" t="str">
        <f t="shared" si="8"/>
        <v>Jansson</v>
      </c>
      <c r="P120" t="str">
        <f t="shared" si="9"/>
        <v>Svensson</v>
      </c>
      <c r="Q120">
        <f t="shared" si="10"/>
        <v>1</v>
      </c>
      <c r="R120" t="str">
        <f t="shared" si="11"/>
        <v>Jackson-Douglas-Jansson-Svensson</v>
      </c>
    </row>
    <row r="121" spans="1:18" x14ac:dyDescent="0.25">
      <c r="A121" s="1" t="s">
        <v>383</v>
      </c>
      <c r="B121" s="1">
        <v>1</v>
      </c>
      <c r="C121" s="1" t="s">
        <v>27</v>
      </c>
      <c r="D121" s="1">
        <v>1</v>
      </c>
      <c r="E121" s="1" t="s">
        <v>14</v>
      </c>
      <c r="F121" s="1">
        <v>13</v>
      </c>
      <c r="G121" s="1">
        <v>15</v>
      </c>
      <c r="H121" s="1" t="s">
        <v>169</v>
      </c>
      <c r="I121" s="1" t="s">
        <v>29</v>
      </c>
      <c r="J121" s="1" t="s">
        <v>180</v>
      </c>
      <c r="K121" s="1" t="s">
        <v>400</v>
      </c>
      <c r="L121" s="1" t="s">
        <v>355</v>
      </c>
      <c r="M121" t="str">
        <f t="shared" si="6"/>
        <v>Sayyed</v>
      </c>
      <c r="N121" t="str">
        <f t="shared" si="7"/>
        <v>Powell</v>
      </c>
      <c r="O121" t="str">
        <f t="shared" si="8"/>
        <v>Skogward</v>
      </c>
      <c r="P121" t="str">
        <f t="shared" si="9"/>
        <v>Ljung</v>
      </c>
      <c r="Q121">
        <f t="shared" si="10"/>
        <v>0</v>
      </c>
      <c r="R121" t="str">
        <f t="shared" si="11"/>
        <v>Sayyed-Powell-Skogward-Ljung</v>
      </c>
    </row>
    <row r="122" spans="1:18" x14ac:dyDescent="0.25">
      <c r="A122" s="1" t="s">
        <v>383</v>
      </c>
      <c r="B122" s="1">
        <v>1</v>
      </c>
      <c r="C122" s="1" t="s">
        <v>12</v>
      </c>
      <c r="D122" s="1">
        <v>1</v>
      </c>
      <c r="E122" s="1" t="s">
        <v>195</v>
      </c>
      <c r="F122" s="1">
        <v>15</v>
      </c>
      <c r="G122" s="1">
        <v>8</v>
      </c>
      <c r="H122" s="1" t="s">
        <v>156</v>
      </c>
      <c r="I122" s="1" t="s">
        <v>197</v>
      </c>
      <c r="J122" s="1" t="s">
        <v>158</v>
      </c>
      <c r="K122" s="1" t="s">
        <v>400</v>
      </c>
      <c r="L122" s="1" t="s">
        <v>355</v>
      </c>
      <c r="M122" t="str">
        <f t="shared" si="6"/>
        <v>Cole</v>
      </c>
      <c r="N122" t="str">
        <f t="shared" si="7"/>
        <v>Klapwijk</v>
      </c>
      <c r="O122" t="str">
        <f t="shared" si="8"/>
        <v>Bachler</v>
      </c>
      <c r="P122" t="str">
        <f t="shared" si="9"/>
        <v>Dziruni</v>
      </c>
      <c r="Q122">
        <f t="shared" si="10"/>
        <v>1</v>
      </c>
      <c r="R122" t="str">
        <f t="shared" si="11"/>
        <v>Cole-Klapwijk-Bachler-Dziruni</v>
      </c>
    </row>
    <row r="123" spans="1:18" x14ac:dyDescent="0.25">
      <c r="A123" s="1" t="s">
        <v>383</v>
      </c>
      <c r="B123" s="1">
        <v>1</v>
      </c>
      <c r="C123" s="1" t="s">
        <v>18</v>
      </c>
      <c r="D123" s="1">
        <v>1</v>
      </c>
      <c r="E123" s="1" t="s">
        <v>195</v>
      </c>
      <c r="F123" s="1">
        <v>15</v>
      </c>
      <c r="G123" s="1">
        <v>12</v>
      </c>
      <c r="H123" s="1" t="s">
        <v>156</v>
      </c>
      <c r="I123" s="1" t="s">
        <v>200</v>
      </c>
      <c r="J123" s="1" t="s">
        <v>161</v>
      </c>
      <c r="K123" s="1" t="s">
        <v>400</v>
      </c>
      <c r="L123" s="1" t="s">
        <v>355</v>
      </c>
      <c r="M123" t="str">
        <f t="shared" si="6"/>
        <v>Finocchi</v>
      </c>
      <c r="N123" t="str">
        <f t="shared" si="7"/>
        <v>Picone</v>
      </c>
      <c r="O123" t="str">
        <f t="shared" si="8"/>
        <v>Handschmann</v>
      </c>
      <c r="P123" t="str">
        <f t="shared" si="9"/>
        <v>Jindra</v>
      </c>
      <c r="Q123">
        <f t="shared" si="10"/>
        <v>1</v>
      </c>
      <c r="R123" t="str">
        <f t="shared" si="11"/>
        <v>Finocchi-Picone-Handschmann-Jindra</v>
      </c>
    </row>
    <row r="124" spans="1:18" x14ac:dyDescent="0.25">
      <c r="A124" s="1" t="s">
        <v>383</v>
      </c>
      <c r="B124" s="1">
        <v>1</v>
      </c>
      <c r="C124" s="1" t="s">
        <v>21</v>
      </c>
      <c r="D124" s="1">
        <v>1</v>
      </c>
      <c r="E124" s="1" t="s">
        <v>195</v>
      </c>
      <c r="F124" s="1">
        <v>15</v>
      </c>
      <c r="G124" s="1">
        <v>11</v>
      </c>
      <c r="H124" s="1" t="s">
        <v>156</v>
      </c>
      <c r="I124" s="1" t="s">
        <v>202</v>
      </c>
      <c r="J124" s="1" t="s">
        <v>163</v>
      </c>
      <c r="K124" s="1" t="s">
        <v>400</v>
      </c>
      <c r="L124" s="1" t="s">
        <v>355</v>
      </c>
      <c r="M124" t="str">
        <f t="shared" si="6"/>
        <v>Bondi</v>
      </c>
      <c r="N124" t="str">
        <f t="shared" si="7"/>
        <v>Gross</v>
      </c>
      <c r="O124" t="str">
        <f t="shared" si="8"/>
        <v>Eynard</v>
      </c>
      <c r="P124" t="str">
        <f t="shared" si="9"/>
        <v>Stoisser</v>
      </c>
      <c r="Q124">
        <f t="shared" si="10"/>
        <v>1</v>
      </c>
      <c r="R124" t="str">
        <f t="shared" si="11"/>
        <v>Bondi-Gross-Eynard-Stoisser</v>
      </c>
    </row>
    <row r="125" spans="1:18" x14ac:dyDescent="0.25">
      <c r="A125" s="1" t="s">
        <v>383</v>
      </c>
      <c r="B125" s="1">
        <v>1</v>
      </c>
      <c r="C125" s="1" t="s">
        <v>24</v>
      </c>
      <c r="D125" s="1">
        <v>1</v>
      </c>
      <c r="E125" s="1" t="s">
        <v>195</v>
      </c>
      <c r="F125" s="1">
        <v>15</v>
      </c>
      <c r="G125" s="1">
        <v>6</v>
      </c>
      <c r="H125" s="1" t="s">
        <v>156</v>
      </c>
      <c r="I125" s="1" t="s">
        <v>204</v>
      </c>
      <c r="J125" s="1" t="s">
        <v>165</v>
      </c>
      <c r="K125" s="1" t="s">
        <v>400</v>
      </c>
      <c r="L125" s="1" t="s">
        <v>355</v>
      </c>
      <c r="M125" t="str">
        <f t="shared" si="6"/>
        <v>Hamilton</v>
      </c>
      <c r="N125" t="str">
        <f t="shared" si="7"/>
        <v>Marino</v>
      </c>
      <c r="O125" t="str">
        <f t="shared" si="8"/>
        <v>Gangkofner</v>
      </c>
      <c r="P125" t="str">
        <f t="shared" si="9"/>
        <v>Mitterwald</v>
      </c>
      <c r="Q125">
        <f t="shared" si="10"/>
        <v>1</v>
      </c>
      <c r="R125" t="str">
        <f t="shared" si="11"/>
        <v>Hamilton-Marino-Gangkofner-Mitterwald</v>
      </c>
    </row>
    <row r="126" spans="1:18" x14ac:dyDescent="0.25">
      <c r="A126" s="1" t="s">
        <v>383</v>
      </c>
      <c r="B126" s="1">
        <v>1</v>
      </c>
      <c r="C126" s="1" t="s">
        <v>27</v>
      </c>
      <c r="D126" s="1">
        <v>1</v>
      </c>
      <c r="E126" s="1" t="s">
        <v>195</v>
      </c>
      <c r="F126" s="1">
        <v>15</v>
      </c>
      <c r="G126" s="1">
        <v>2</v>
      </c>
      <c r="H126" s="1" t="s">
        <v>156</v>
      </c>
      <c r="I126" s="1" t="s">
        <v>206</v>
      </c>
      <c r="J126" s="1" t="s">
        <v>167</v>
      </c>
      <c r="K126" s="1" t="s">
        <v>400</v>
      </c>
      <c r="L126" s="1" t="s">
        <v>355</v>
      </c>
      <c r="M126" t="str">
        <f t="shared" si="6"/>
        <v>Nelson</v>
      </c>
      <c r="N126" t="str">
        <f t="shared" si="7"/>
        <v>Rose</v>
      </c>
      <c r="O126" t="str">
        <f t="shared" si="8"/>
        <v>Anderle</v>
      </c>
      <c r="P126" t="str">
        <f t="shared" si="9"/>
        <v>Leidenfrost</v>
      </c>
      <c r="Q126">
        <f t="shared" si="10"/>
        <v>1</v>
      </c>
      <c r="R126" t="str">
        <f t="shared" si="11"/>
        <v>Nelson-Rose-Anderle-Leidenfrost</v>
      </c>
    </row>
    <row r="127" spans="1:18" x14ac:dyDescent="0.25">
      <c r="A127" s="1" t="s">
        <v>383</v>
      </c>
      <c r="B127" s="1">
        <v>1</v>
      </c>
      <c r="C127" s="1" t="s">
        <v>12</v>
      </c>
      <c r="D127" s="1">
        <v>1</v>
      </c>
      <c r="E127" s="7" t="s">
        <v>168</v>
      </c>
      <c r="F127" s="1">
        <v>16</v>
      </c>
      <c r="G127" s="1">
        <v>17</v>
      </c>
      <c r="H127" s="7" t="s">
        <v>182</v>
      </c>
      <c r="I127" s="1" t="s">
        <v>170</v>
      </c>
      <c r="J127" s="1" t="s">
        <v>184</v>
      </c>
      <c r="K127" s="1" t="s">
        <v>400</v>
      </c>
      <c r="L127" s="1" t="s">
        <v>355</v>
      </c>
      <c r="M127" t="str">
        <f t="shared" si="6"/>
        <v>Clark</v>
      </c>
      <c r="N127" t="str">
        <f t="shared" si="7"/>
        <v>Florinda</v>
      </c>
      <c r="O127" t="str">
        <f t="shared" si="8"/>
        <v>Campos</v>
      </c>
      <c r="P127" t="str">
        <f t="shared" si="9"/>
        <v>Forschner</v>
      </c>
      <c r="Q127">
        <f t="shared" si="10"/>
        <v>0</v>
      </c>
      <c r="R127" t="str">
        <f t="shared" si="11"/>
        <v>Clark-Florinda-Campos-Forschner</v>
      </c>
    </row>
    <row r="128" spans="1:18" x14ac:dyDescent="0.25">
      <c r="A128" s="1" t="s">
        <v>383</v>
      </c>
      <c r="B128" s="1">
        <v>1</v>
      </c>
      <c r="C128" s="1" t="s">
        <v>18</v>
      </c>
      <c r="D128" s="1">
        <v>1</v>
      </c>
      <c r="E128" s="7" t="s">
        <v>168</v>
      </c>
      <c r="F128" s="1">
        <v>15</v>
      </c>
      <c r="G128" s="1">
        <v>10</v>
      </c>
      <c r="H128" s="7" t="s">
        <v>182</v>
      </c>
      <c r="I128" s="1" t="s">
        <v>173</v>
      </c>
      <c r="J128" s="1" t="s">
        <v>187</v>
      </c>
      <c r="K128" s="1" t="s">
        <v>400</v>
      </c>
      <c r="L128" s="1" t="s">
        <v>355</v>
      </c>
      <c r="M128" t="str">
        <f t="shared" si="6"/>
        <v>Améziane</v>
      </c>
      <c r="N128" t="str">
        <f t="shared" si="7"/>
        <v>Mareschal</v>
      </c>
      <c r="O128" t="str">
        <f t="shared" si="8"/>
        <v>E. Cuesta</v>
      </c>
      <c r="P128" t="str">
        <f t="shared" si="9"/>
        <v>G. Cuesta</v>
      </c>
      <c r="Q128">
        <f t="shared" si="10"/>
        <v>1</v>
      </c>
      <c r="R128" t="str">
        <f t="shared" si="11"/>
        <v>Améziane-Mareschal-E. Cuesta-G. Cuesta</v>
      </c>
    </row>
    <row r="129" spans="1:18" x14ac:dyDescent="0.25">
      <c r="A129" s="1" t="s">
        <v>383</v>
      </c>
      <c r="B129" s="1">
        <v>1</v>
      </c>
      <c r="C129" s="1" t="s">
        <v>21</v>
      </c>
      <c r="D129" s="1">
        <v>1</v>
      </c>
      <c r="E129" s="7" t="s">
        <v>168</v>
      </c>
      <c r="F129" s="1">
        <v>15</v>
      </c>
      <c r="G129" s="1">
        <v>12</v>
      </c>
      <c r="H129" s="7" t="s">
        <v>182</v>
      </c>
      <c r="I129" s="1" t="s">
        <v>175</v>
      </c>
      <c r="J129" s="1" t="s">
        <v>379</v>
      </c>
      <c r="K129" s="1" t="s">
        <v>400</v>
      </c>
      <c r="L129" s="1" t="s">
        <v>355</v>
      </c>
      <c r="M129" t="str">
        <f t="shared" si="6"/>
        <v>Caux-Ramon</v>
      </c>
      <c r="N129" t="str">
        <f t="shared" si="7"/>
        <v>Lacombe</v>
      </c>
      <c r="O129" t="str">
        <f t="shared" si="8"/>
        <v>Navio</v>
      </c>
      <c r="P129" t="str">
        <f t="shared" si="9"/>
        <v>M. Egea</v>
      </c>
      <c r="Q129">
        <f t="shared" si="10"/>
        <v>1</v>
      </c>
      <c r="R129" t="str">
        <f t="shared" si="11"/>
        <v>Caux-Ramon-Lacombe-Navio-M. Egea</v>
      </c>
    </row>
    <row r="130" spans="1:18" x14ac:dyDescent="0.25">
      <c r="A130" s="1" t="s">
        <v>383</v>
      </c>
      <c r="B130" s="1">
        <v>1</v>
      </c>
      <c r="C130" s="1" t="s">
        <v>24</v>
      </c>
      <c r="D130" s="1">
        <v>1</v>
      </c>
      <c r="E130" s="7" t="s">
        <v>168</v>
      </c>
      <c r="F130" s="1">
        <v>15</v>
      </c>
      <c r="G130" s="1">
        <v>10</v>
      </c>
      <c r="H130" s="7" t="s">
        <v>182</v>
      </c>
      <c r="I130" s="1" t="s">
        <v>177</v>
      </c>
      <c r="J130" s="1" t="s">
        <v>380</v>
      </c>
      <c r="K130" s="1" t="s">
        <v>400</v>
      </c>
      <c r="L130" s="1" t="s">
        <v>355</v>
      </c>
      <c r="M130" t="str">
        <f t="shared" ref="M130:M193" si="12">_xlfn.TEXTBEFORE(I130,"/")</f>
        <v>Danekas</v>
      </c>
      <c r="N130" t="str">
        <f t="shared" ref="N130:N193" si="13">_xlfn.TEXTAFTER(I130,"/ ")</f>
        <v>Lecrosnier</v>
      </c>
      <c r="O130" t="str">
        <f t="shared" ref="O130:O193" si="14">_xlfn.TEXTBEFORE(J130,"/")</f>
        <v>Luna</v>
      </c>
      <c r="P130" t="str">
        <f t="shared" ref="P130:P193" si="15">_xlfn.TEXTAFTER(J130,"/ ")</f>
        <v>D. Egea</v>
      </c>
      <c r="Q130">
        <f t="shared" ref="Q130:Q193" si="16">IF(F130&gt;G130,1,0)</f>
        <v>1</v>
      </c>
      <c r="R130" t="str">
        <f t="shared" ref="R130:R193" si="17">_xlfn.TEXTJOIN("-",TRUE,M130,N130,O130,P130)</f>
        <v>Danekas-Lecrosnier-Luna-D. Egea</v>
      </c>
    </row>
    <row r="131" spans="1:18" x14ac:dyDescent="0.25">
      <c r="A131" s="1" t="s">
        <v>383</v>
      </c>
      <c r="B131" s="1">
        <v>1</v>
      </c>
      <c r="C131" s="1" t="s">
        <v>27</v>
      </c>
      <c r="D131" s="1">
        <v>1</v>
      </c>
      <c r="E131" s="7" t="s">
        <v>168</v>
      </c>
      <c r="F131" s="1">
        <v>17</v>
      </c>
      <c r="G131" s="1">
        <v>15</v>
      </c>
      <c r="H131" s="7" t="s">
        <v>182</v>
      </c>
      <c r="I131" s="1" t="s">
        <v>179</v>
      </c>
      <c r="J131" s="1" t="s">
        <v>193</v>
      </c>
      <c r="K131" s="1" t="s">
        <v>400</v>
      </c>
      <c r="L131" s="1" t="s">
        <v>355</v>
      </c>
      <c r="M131" t="str">
        <f t="shared" si="12"/>
        <v>Renimel</v>
      </c>
      <c r="N131" t="str">
        <f t="shared" si="13"/>
        <v>Sandoz</v>
      </c>
      <c r="O131" t="str">
        <f t="shared" si="14"/>
        <v>Muratel</v>
      </c>
      <c r="P131" t="str">
        <f t="shared" si="15"/>
        <v>Gonzalez</v>
      </c>
      <c r="Q131">
        <f t="shared" si="16"/>
        <v>1</v>
      </c>
      <c r="R131" t="str">
        <f t="shared" si="17"/>
        <v>Renimel-Sandoz-Muratel-Gonzalez</v>
      </c>
    </row>
    <row r="132" spans="1:18" x14ac:dyDescent="0.25">
      <c r="A132" s="1" t="s">
        <v>383</v>
      </c>
      <c r="B132" s="1">
        <v>1</v>
      </c>
      <c r="C132" s="1" t="s">
        <v>12</v>
      </c>
      <c r="D132" s="1">
        <v>1</v>
      </c>
      <c r="E132" s="7" t="s">
        <v>194</v>
      </c>
      <c r="F132" s="1">
        <v>15</v>
      </c>
      <c r="G132" s="1">
        <v>8</v>
      </c>
      <c r="H132" s="7" t="s">
        <v>147</v>
      </c>
      <c r="I132" s="1" t="s">
        <v>196</v>
      </c>
      <c r="J132" s="1" t="s">
        <v>149</v>
      </c>
      <c r="K132" s="1" t="s">
        <v>400</v>
      </c>
      <c r="L132" s="1" t="s">
        <v>355</v>
      </c>
      <c r="M132" t="str">
        <f t="shared" si="12"/>
        <v>Bosak</v>
      </c>
      <c r="N132" t="str">
        <f t="shared" si="13"/>
        <v>Cote</v>
      </c>
      <c r="O132" t="str">
        <f t="shared" si="14"/>
        <v>Felix</v>
      </c>
      <c r="P132" t="str">
        <f t="shared" si="15"/>
        <v>Baumeler</v>
      </c>
      <c r="Q132">
        <f t="shared" si="16"/>
        <v>1</v>
      </c>
      <c r="R132" t="str">
        <f t="shared" si="17"/>
        <v>Bosak-Cote-Felix-Baumeler</v>
      </c>
    </row>
    <row r="133" spans="1:18" x14ac:dyDescent="0.25">
      <c r="A133" s="1" t="s">
        <v>383</v>
      </c>
      <c r="B133" s="1">
        <v>1</v>
      </c>
      <c r="C133" s="1" t="s">
        <v>18</v>
      </c>
      <c r="D133" s="1">
        <v>1</v>
      </c>
      <c r="E133" s="7" t="s">
        <v>194</v>
      </c>
      <c r="F133" s="1">
        <v>15</v>
      </c>
      <c r="G133" s="1">
        <v>11</v>
      </c>
      <c r="H133" s="7" t="s">
        <v>147</v>
      </c>
      <c r="I133" s="1" t="s">
        <v>199</v>
      </c>
      <c r="J133" s="1" t="s">
        <v>152</v>
      </c>
      <c r="K133" s="1" t="s">
        <v>400</v>
      </c>
      <c r="L133" s="1" t="s">
        <v>355</v>
      </c>
      <c r="M133" t="str">
        <f t="shared" si="12"/>
        <v>Dean</v>
      </c>
      <c r="N133" t="str">
        <f t="shared" si="13"/>
        <v>Gagnon</v>
      </c>
      <c r="O133" t="str">
        <f t="shared" si="14"/>
        <v>Rimle</v>
      </c>
      <c r="P133" t="str">
        <f t="shared" si="15"/>
        <v>Peter</v>
      </c>
      <c r="Q133">
        <f t="shared" si="16"/>
        <v>1</v>
      </c>
      <c r="R133" t="str">
        <f t="shared" si="17"/>
        <v>Dean-Gagnon-Rimle-Peter</v>
      </c>
    </row>
    <row r="134" spans="1:18" x14ac:dyDescent="0.25">
      <c r="A134" s="1" t="s">
        <v>383</v>
      </c>
      <c r="B134" s="1">
        <v>1</v>
      </c>
      <c r="C134" s="1" t="s">
        <v>21</v>
      </c>
      <c r="D134" s="1">
        <v>1</v>
      </c>
      <c r="E134" s="7" t="s">
        <v>194</v>
      </c>
      <c r="F134" s="1">
        <v>15</v>
      </c>
      <c r="G134" s="1">
        <v>12</v>
      </c>
      <c r="H134" s="7" t="s">
        <v>147</v>
      </c>
      <c r="I134" s="1" t="s">
        <v>392</v>
      </c>
      <c r="J134" s="1" t="s">
        <v>154</v>
      </c>
      <c r="K134" s="1" t="s">
        <v>400</v>
      </c>
      <c r="L134" s="1" t="s">
        <v>355</v>
      </c>
      <c r="M134" t="str">
        <f t="shared" si="12"/>
        <v>Mathieu</v>
      </c>
      <c r="N134" t="str">
        <f t="shared" si="13"/>
        <v>E. Leung</v>
      </c>
      <c r="O134" t="str">
        <f t="shared" si="14"/>
        <v>Pasetti</v>
      </c>
      <c r="P134" t="str">
        <f t="shared" si="15"/>
        <v>Widin</v>
      </c>
      <c r="Q134">
        <f t="shared" si="16"/>
        <v>1</v>
      </c>
      <c r="R134" t="str">
        <f t="shared" si="17"/>
        <v>Mathieu-E. Leung-Pasetti-Widin</v>
      </c>
    </row>
    <row r="135" spans="1:18" x14ac:dyDescent="0.25">
      <c r="A135" s="1" t="s">
        <v>383</v>
      </c>
      <c r="B135" s="1">
        <v>1</v>
      </c>
      <c r="C135" s="1" t="s">
        <v>24</v>
      </c>
      <c r="D135" s="1">
        <v>1</v>
      </c>
      <c r="E135" s="7" t="s">
        <v>194</v>
      </c>
      <c r="F135" s="1">
        <v>15</v>
      </c>
      <c r="G135" s="1">
        <v>11</v>
      </c>
      <c r="H135" s="7" t="s">
        <v>147</v>
      </c>
      <c r="I135" s="1" t="s">
        <v>203</v>
      </c>
      <c r="J135" s="1" t="s">
        <v>385</v>
      </c>
      <c r="K135" s="1" t="s">
        <v>400</v>
      </c>
      <c r="L135" s="1" t="s">
        <v>355</v>
      </c>
      <c r="M135" t="str">
        <f t="shared" si="12"/>
        <v>Prince</v>
      </c>
      <c r="N135" t="str">
        <f t="shared" si="13"/>
        <v>Brown</v>
      </c>
      <c r="O135" t="str">
        <f t="shared" si="14"/>
        <v>J. Eigenmann</v>
      </c>
      <c r="P135" t="str">
        <f t="shared" si="15"/>
        <v>Tognini</v>
      </c>
      <c r="Q135">
        <f t="shared" si="16"/>
        <v>1</v>
      </c>
      <c r="R135" t="str">
        <f t="shared" si="17"/>
        <v>Prince-Brown-J. Eigenmann-Tognini</v>
      </c>
    </row>
    <row r="136" spans="1:18" x14ac:dyDescent="0.25">
      <c r="A136" s="1" t="s">
        <v>383</v>
      </c>
      <c r="B136" s="1">
        <v>1</v>
      </c>
      <c r="C136" s="1" t="s">
        <v>27</v>
      </c>
      <c r="D136" s="1">
        <v>1</v>
      </c>
      <c r="E136" s="7" t="s">
        <v>194</v>
      </c>
      <c r="F136" s="1">
        <v>15</v>
      </c>
      <c r="G136" s="1">
        <v>12</v>
      </c>
      <c r="H136" s="7" t="s">
        <v>147</v>
      </c>
      <c r="I136" s="1" t="s">
        <v>205</v>
      </c>
      <c r="J136" s="1" t="s">
        <v>212</v>
      </c>
      <c r="K136" s="1" t="s">
        <v>400</v>
      </c>
      <c r="L136" s="1" t="s">
        <v>355</v>
      </c>
      <c r="M136" t="str">
        <f t="shared" si="12"/>
        <v>Babin</v>
      </c>
      <c r="N136" t="str">
        <f t="shared" si="13"/>
        <v>Laurin</v>
      </c>
      <c r="O136" t="str">
        <f t="shared" si="14"/>
        <v>Rieser</v>
      </c>
      <c r="P136" t="str">
        <f t="shared" si="15"/>
        <v>Engel</v>
      </c>
      <c r="Q136">
        <f t="shared" si="16"/>
        <v>1</v>
      </c>
      <c r="R136" t="str">
        <f t="shared" si="17"/>
        <v>Babin-Laurin-Rieser-Engel</v>
      </c>
    </row>
    <row r="137" spans="1:18" x14ac:dyDescent="0.25">
      <c r="A137" s="1" t="s">
        <v>383</v>
      </c>
      <c r="B137" s="1">
        <v>1</v>
      </c>
      <c r="C137" s="1" t="s">
        <v>12</v>
      </c>
      <c r="D137" s="1">
        <v>1</v>
      </c>
      <c r="E137" s="7" t="s">
        <v>155</v>
      </c>
      <c r="F137" s="1">
        <v>15</v>
      </c>
      <c r="G137" s="1">
        <v>11</v>
      </c>
      <c r="H137" s="7" t="s">
        <v>14</v>
      </c>
      <c r="I137" s="1" t="s">
        <v>157</v>
      </c>
      <c r="J137" s="1" t="s">
        <v>16</v>
      </c>
      <c r="K137" s="1" t="s">
        <v>400</v>
      </c>
      <c r="L137" s="1" t="s">
        <v>355</v>
      </c>
      <c r="M137" t="str">
        <f t="shared" si="12"/>
        <v>Bazzani</v>
      </c>
      <c r="N137" t="str">
        <f t="shared" si="13"/>
        <v>Borsotti</v>
      </c>
      <c r="O137" t="str">
        <f t="shared" si="14"/>
        <v>Beeks</v>
      </c>
      <c r="P137" t="str">
        <f t="shared" si="15"/>
        <v>Elbourne</v>
      </c>
      <c r="Q137">
        <f t="shared" si="16"/>
        <v>1</v>
      </c>
      <c r="R137" t="str">
        <f t="shared" si="17"/>
        <v>Bazzani-Borsotti-Beeks-Elbourne</v>
      </c>
    </row>
    <row r="138" spans="1:18" x14ac:dyDescent="0.25">
      <c r="A138" s="1" t="s">
        <v>383</v>
      </c>
      <c r="B138" s="1">
        <v>1</v>
      </c>
      <c r="C138" s="1" t="s">
        <v>18</v>
      </c>
      <c r="D138" s="1">
        <v>1</v>
      </c>
      <c r="E138" s="7" t="s">
        <v>155</v>
      </c>
      <c r="F138" s="1">
        <v>9</v>
      </c>
      <c r="G138" s="1">
        <v>15</v>
      </c>
      <c r="H138" s="7" t="s">
        <v>14</v>
      </c>
      <c r="I138" s="1" t="s">
        <v>160</v>
      </c>
      <c r="J138" s="1" t="s">
        <v>20</v>
      </c>
      <c r="K138" s="1" t="s">
        <v>400</v>
      </c>
      <c r="L138" s="1" t="s">
        <v>355</v>
      </c>
      <c r="M138" t="str">
        <f t="shared" si="12"/>
        <v>Dudine</v>
      </c>
      <c r="N138" t="str">
        <f t="shared" si="13"/>
        <v>Zanellato</v>
      </c>
      <c r="O138" t="str">
        <f t="shared" si="14"/>
        <v>Rowlands</v>
      </c>
      <c r="P138" t="str">
        <f t="shared" si="15"/>
        <v>Hutko</v>
      </c>
      <c r="Q138">
        <f t="shared" si="16"/>
        <v>0</v>
      </c>
      <c r="R138" t="str">
        <f t="shared" si="17"/>
        <v>Dudine-Zanellato-Rowlands-Hutko</v>
      </c>
    </row>
    <row r="139" spans="1:18" x14ac:dyDescent="0.25">
      <c r="A139" s="1" t="s">
        <v>383</v>
      </c>
      <c r="B139" s="1">
        <v>1</v>
      </c>
      <c r="C139" s="1" t="s">
        <v>21</v>
      </c>
      <c r="D139" s="1">
        <v>1</v>
      </c>
      <c r="E139" s="7" t="s">
        <v>155</v>
      </c>
      <c r="F139" s="1">
        <v>13</v>
      </c>
      <c r="G139" s="1">
        <v>15</v>
      </c>
      <c r="H139" s="7" t="s">
        <v>14</v>
      </c>
      <c r="I139" s="1" t="s">
        <v>364</v>
      </c>
      <c r="J139" s="1" t="s">
        <v>23</v>
      </c>
      <c r="K139" s="1" t="s">
        <v>400</v>
      </c>
      <c r="L139" s="1" t="s">
        <v>355</v>
      </c>
      <c r="M139" t="str">
        <f t="shared" si="12"/>
        <v>mercadini</v>
      </c>
      <c r="N139" t="str">
        <f t="shared" si="13"/>
        <v>Sacchini</v>
      </c>
      <c r="O139" t="str">
        <f t="shared" si="14"/>
        <v>Cook</v>
      </c>
      <c r="P139" t="str">
        <f t="shared" si="15"/>
        <v>Kerridge</v>
      </c>
      <c r="Q139">
        <f t="shared" si="16"/>
        <v>0</v>
      </c>
      <c r="R139" t="str">
        <f t="shared" si="17"/>
        <v>mercadini-Sacchini-Cook-Kerridge</v>
      </c>
    </row>
    <row r="140" spans="1:18" x14ac:dyDescent="0.25">
      <c r="A140" s="1" t="s">
        <v>383</v>
      </c>
      <c r="B140" s="1">
        <v>1</v>
      </c>
      <c r="C140" s="1" t="s">
        <v>24</v>
      </c>
      <c r="D140" s="1">
        <v>1</v>
      </c>
      <c r="E140" s="7" t="s">
        <v>155</v>
      </c>
      <c r="F140" s="1">
        <v>15</v>
      </c>
      <c r="G140" s="1">
        <v>12</v>
      </c>
      <c r="H140" s="7" t="s">
        <v>14</v>
      </c>
      <c r="I140" s="1" t="s">
        <v>164</v>
      </c>
      <c r="J140" s="1" t="s">
        <v>26</v>
      </c>
      <c r="K140" s="1" t="s">
        <v>400</v>
      </c>
      <c r="L140" s="1" t="s">
        <v>355</v>
      </c>
      <c r="M140" t="str">
        <f t="shared" si="12"/>
        <v>Grazi</v>
      </c>
      <c r="N140" t="str">
        <f t="shared" si="13"/>
        <v>Pareschi</v>
      </c>
      <c r="O140" t="str">
        <f t="shared" si="14"/>
        <v>Jackson</v>
      </c>
      <c r="P140" t="str">
        <f t="shared" si="15"/>
        <v>Douglas</v>
      </c>
      <c r="Q140">
        <f t="shared" si="16"/>
        <v>1</v>
      </c>
      <c r="R140" t="str">
        <f t="shared" si="17"/>
        <v>Grazi-Pareschi-Jackson-Douglas</v>
      </c>
    </row>
    <row r="141" spans="1:18" x14ac:dyDescent="0.25">
      <c r="A141" s="1" t="s">
        <v>383</v>
      </c>
      <c r="B141" s="1">
        <v>1</v>
      </c>
      <c r="C141" s="1" t="s">
        <v>27</v>
      </c>
      <c r="D141" s="1">
        <v>1</v>
      </c>
      <c r="E141" s="7" t="s">
        <v>155</v>
      </c>
      <c r="F141" s="1">
        <v>15</v>
      </c>
      <c r="G141" s="1">
        <v>6</v>
      </c>
      <c r="H141" s="7" t="s">
        <v>14</v>
      </c>
      <c r="I141" s="1" t="s">
        <v>166</v>
      </c>
      <c r="J141" s="1" t="s">
        <v>29</v>
      </c>
      <c r="K141" s="1" t="s">
        <v>400</v>
      </c>
      <c r="L141" s="1" t="s">
        <v>355</v>
      </c>
      <c r="M141" t="str">
        <f t="shared" si="12"/>
        <v>Merlin</v>
      </c>
      <c r="N141" t="str">
        <f t="shared" si="13"/>
        <v>Molli</v>
      </c>
      <c r="O141" t="str">
        <f t="shared" si="14"/>
        <v>Sayyed</v>
      </c>
      <c r="P141" t="str">
        <f t="shared" si="15"/>
        <v>Powell</v>
      </c>
      <c r="Q141">
        <f t="shared" si="16"/>
        <v>1</v>
      </c>
      <c r="R141" t="str">
        <f t="shared" si="17"/>
        <v>Merlin-Molli-Sayyed-Powell</v>
      </c>
    </row>
    <row r="142" spans="1:18" x14ac:dyDescent="0.25">
      <c r="A142" s="1" t="s">
        <v>383</v>
      </c>
      <c r="B142" s="1">
        <v>1</v>
      </c>
      <c r="C142" s="1" t="s">
        <v>12</v>
      </c>
      <c r="D142" s="1">
        <v>1</v>
      </c>
      <c r="E142" s="7" t="s">
        <v>146</v>
      </c>
      <c r="F142" s="1">
        <v>15</v>
      </c>
      <c r="G142" s="1">
        <v>13</v>
      </c>
      <c r="H142" s="7" t="s">
        <v>195</v>
      </c>
      <c r="I142" s="1" t="s">
        <v>148</v>
      </c>
      <c r="J142" s="1" t="s">
        <v>197</v>
      </c>
      <c r="K142" s="1" t="s">
        <v>400</v>
      </c>
      <c r="L142" s="1" t="s">
        <v>355</v>
      </c>
      <c r="M142" t="str">
        <f t="shared" si="12"/>
        <v>Eisenträger</v>
      </c>
      <c r="N142" t="str">
        <f t="shared" si="13"/>
        <v>Siemer</v>
      </c>
      <c r="O142" t="str">
        <f t="shared" si="14"/>
        <v>Cole</v>
      </c>
      <c r="P142" t="str">
        <f t="shared" si="15"/>
        <v>Klapwijk</v>
      </c>
      <c r="Q142">
        <f t="shared" si="16"/>
        <v>1</v>
      </c>
      <c r="R142" t="str">
        <f t="shared" si="17"/>
        <v>Eisenträger-Siemer-Cole-Klapwijk</v>
      </c>
    </row>
    <row r="143" spans="1:18" x14ac:dyDescent="0.25">
      <c r="A143" s="1" t="s">
        <v>383</v>
      </c>
      <c r="B143" s="1">
        <v>1</v>
      </c>
      <c r="C143" s="1" t="s">
        <v>18</v>
      </c>
      <c r="D143" s="1">
        <v>1</v>
      </c>
      <c r="E143" s="7" t="s">
        <v>146</v>
      </c>
      <c r="F143" s="1">
        <v>12</v>
      </c>
      <c r="G143" s="1">
        <v>15</v>
      </c>
      <c r="H143" s="7" t="s">
        <v>195</v>
      </c>
      <c r="I143" s="1" t="s">
        <v>151</v>
      </c>
      <c r="J143" s="1" t="s">
        <v>200</v>
      </c>
      <c r="K143" s="1" t="s">
        <v>400</v>
      </c>
      <c r="L143" s="1" t="s">
        <v>355</v>
      </c>
      <c r="M143" t="str">
        <f t="shared" si="12"/>
        <v>Grönebaum</v>
      </c>
      <c r="N143" t="str">
        <f t="shared" si="13"/>
        <v>Prüfer</v>
      </c>
      <c r="O143" t="str">
        <f t="shared" si="14"/>
        <v>Finocchi</v>
      </c>
      <c r="P143" t="str">
        <f t="shared" si="15"/>
        <v>Picone</v>
      </c>
      <c r="Q143">
        <f t="shared" si="16"/>
        <v>0</v>
      </c>
      <c r="R143" t="str">
        <f t="shared" si="17"/>
        <v>Grönebaum-Prüfer-Finocchi-Picone</v>
      </c>
    </row>
    <row r="144" spans="1:18" x14ac:dyDescent="0.25">
      <c r="A144" s="1" t="s">
        <v>383</v>
      </c>
      <c r="B144" s="1">
        <v>1</v>
      </c>
      <c r="C144" s="1" t="s">
        <v>21</v>
      </c>
      <c r="D144" s="1">
        <v>1</v>
      </c>
      <c r="E144" s="7" t="s">
        <v>146</v>
      </c>
      <c r="F144" s="1">
        <v>13</v>
      </c>
      <c r="G144" s="1">
        <v>15</v>
      </c>
      <c r="H144" s="7" t="s">
        <v>195</v>
      </c>
      <c r="I144" s="1" t="s">
        <v>153</v>
      </c>
      <c r="J144" s="1" t="s">
        <v>202</v>
      </c>
      <c r="K144" s="1" t="s">
        <v>400</v>
      </c>
      <c r="L144" s="1" t="s">
        <v>355</v>
      </c>
      <c r="M144" t="str">
        <f t="shared" si="12"/>
        <v>Claus</v>
      </c>
      <c r="N144" t="str">
        <f t="shared" si="13"/>
        <v>Lauterbach</v>
      </c>
      <c r="O144" t="str">
        <f t="shared" si="14"/>
        <v>Bondi</v>
      </c>
      <c r="P144" t="str">
        <f t="shared" si="15"/>
        <v>Gross</v>
      </c>
      <c r="Q144">
        <f t="shared" si="16"/>
        <v>0</v>
      </c>
      <c r="R144" t="str">
        <f t="shared" si="17"/>
        <v>Claus-Lauterbach-Bondi-Gross</v>
      </c>
    </row>
    <row r="145" spans="1:18" x14ac:dyDescent="0.25">
      <c r="A145" s="1" t="s">
        <v>383</v>
      </c>
      <c r="B145" s="1">
        <v>1</v>
      </c>
      <c r="C145" s="1" t="s">
        <v>24</v>
      </c>
      <c r="D145" s="1">
        <v>1</v>
      </c>
      <c r="E145" s="7" t="s">
        <v>146</v>
      </c>
      <c r="F145" s="1">
        <v>12</v>
      </c>
      <c r="G145" s="1">
        <v>15</v>
      </c>
      <c r="H145" s="7" t="s">
        <v>195</v>
      </c>
      <c r="I145" s="1" t="s">
        <v>209</v>
      </c>
      <c r="J145" s="1" t="s">
        <v>204</v>
      </c>
      <c r="K145" s="1" t="s">
        <v>400</v>
      </c>
      <c r="L145" s="1" t="s">
        <v>355</v>
      </c>
      <c r="M145" t="str">
        <f t="shared" si="12"/>
        <v>Christiani</v>
      </c>
      <c r="N145" t="str">
        <f t="shared" si="13"/>
        <v>Harder</v>
      </c>
      <c r="O145" t="str">
        <f t="shared" si="14"/>
        <v>Hamilton</v>
      </c>
      <c r="P145" t="str">
        <f t="shared" si="15"/>
        <v>Marino</v>
      </c>
      <c r="Q145">
        <f t="shared" si="16"/>
        <v>0</v>
      </c>
      <c r="R145" t="str">
        <f t="shared" si="17"/>
        <v>Christiani-Harder-Hamilton-Marino</v>
      </c>
    </row>
    <row r="146" spans="1:18" x14ac:dyDescent="0.25">
      <c r="A146" s="1" t="s">
        <v>383</v>
      </c>
      <c r="B146" s="1">
        <v>1</v>
      </c>
      <c r="C146" s="1" t="s">
        <v>27</v>
      </c>
      <c r="D146" s="1">
        <v>1</v>
      </c>
      <c r="E146" s="7" t="s">
        <v>146</v>
      </c>
      <c r="F146" s="1">
        <v>14</v>
      </c>
      <c r="G146" s="1">
        <v>16</v>
      </c>
      <c r="H146" s="7" t="s">
        <v>195</v>
      </c>
      <c r="I146" s="1" t="s">
        <v>210</v>
      </c>
      <c r="J146" s="1" t="s">
        <v>206</v>
      </c>
      <c r="K146" s="1" t="s">
        <v>400</v>
      </c>
      <c r="L146" s="1" t="s">
        <v>355</v>
      </c>
      <c r="M146" t="str">
        <f t="shared" si="12"/>
        <v>Klement</v>
      </c>
      <c r="N146" t="str">
        <f t="shared" si="13"/>
        <v>Krehle</v>
      </c>
      <c r="O146" t="str">
        <f t="shared" si="14"/>
        <v>Nelson</v>
      </c>
      <c r="P146" t="str">
        <f t="shared" si="15"/>
        <v>Rose</v>
      </c>
      <c r="Q146">
        <f t="shared" si="16"/>
        <v>0</v>
      </c>
      <c r="R146" t="str">
        <f t="shared" si="17"/>
        <v>Klement-Krehle-Nelson-Rose</v>
      </c>
    </row>
    <row r="147" spans="1:18" x14ac:dyDescent="0.25">
      <c r="A147" s="1" t="s">
        <v>383</v>
      </c>
      <c r="B147" s="1">
        <v>1</v>
      </c>
      <c r="C147" s="1" t="s">
        <v>12</v>
      </c>
      <c r="D147" s="1">
        <v>1</v>
      </c>
      <c r="E147" s="7" t="s">
        <v>156</v>
      </c>
      <c r="F147" s="1">
        <v>15</v>
      </c>
      <c r="G147" s="1">
        <v>8</v>
      </c>
      <c r="H147" s="7" t="s">
        <v>168</v>
      </c>
      <c r="I147" s="1" t="s">
        <v>158</v>
      </c>
      <c r="J147" s="1" t="s">
        <v>170</v>
      </c>
      <c r="K147" s="1" t="s">
        <v>400</v>
      </c>
      <c r="L147" s="1" t="s">
        <v>355</v>
      </c>
      <c r="M147" t="str">
        <f t="shared" si="12"/>
        <v>Bachler</v>
      </c>
      <c r="N147" t="str">
        <f t="shared" si="13"/>
        <v>Dziruni</v>
      </c>
      <c r="O147" t="str">
        <f t="shared" si="14"/>
        <v>Clark</v>
      </c>
      <c r="P147" t="str">
        <f t="shared" si="15"/>
        <v>Florinda</v>
      </c>
      <c r="Q147">
        <f t="shared" si="16"/>
        <v>1</v>
      </c>
      <c r="R147" t="str">
        <f t="shared" si="17"/>
        <v>Bachler-Dziruni-Clark-Florinda</v>
      </c>
    </row>
    <row r="148" spans="1:18" x14ac:dyDescent="0.25">
      <c r="A148" s="1" t="s">
        <v>383</v>
      </c>
      <c r="B148" s="1">
        <v>1</v>
      </c>
      <c r="C148" s="1" t="s">
        <v>18</v>
      </c>
      <c r="D148" s="1">
        <v>1</v>
      </c>
      <c r="E148" s="7" t="s">
        <v>156</v>
      </c>
      <c r="F148" s="1">
        <v>10</v>
      </c>
      <c r="G148" s="1">
        <v>15</v>
      </c>
      <c r="H148" s="7" t="s">
        <v>168</v>
      </c>
      <c r="I148" s="1" t="s">
        <v>161</v>
      </c>
      <c r="J148" s="1" t="s">
        <v>173</v>
      </c>
      <c r="K148" s="1" t="s">
        <v>400</v>
      </c>
      <c r="L148" s="1" t="s">
        <v>355</v>
      </c>
      <c r="M148" t="str">
        <f t="shared" si="12"/>
        <v>Handschmann</v>
      </c>
      <c r="N148" t="str">
        <f t="shared" si="13"/>
        <v>Jindra</v>
      </c>
      <c r="O148" t="str">
        <f t="shared" si="14"/>
        <v>Améziane</v>
      </c>
      <c r="P148" t="str">
        <f t="shared" si="15"/>
        <v>Mareschal</v>
      </c>
      <c r="Q148">
        <f t="shared" si="16"/>
        <v>0</v>
      </c>
      <c r="R148" t="str">
        <f t="shared" si="17"/>
        <v>Handschmann-Jindra-Améziane-Mareschal</v>
      </c>
    </row>
    <row r="149" spans="1:18" x14ac:dyDescent="0.25">
      <c r="A149" s="1" t="s">
        <v>383</v>
      </c>
      <c r="B149" s="1">
        <v>1</v>
      </c>
      <c r="C149" s="1" t="s">
        <v>21</v>
      </c>
      <c r="D149" s="1">
        <v>1</v>
      </c>
      <c r="E149" s="7" t="s">
        <v>156</v>
      </c>
      <c r="F149" s="1">
        <v>15</v>
      </c>
      <c r="G149" s="1">
        <v>11</v>
      </c>
      <c r="H149" s="7" t="s">
        <v>168</v>
      </c>
      <c r="I149" s="1" t="s">
        <v>163</v>
      </c>
      <c r="J149" s="1" t="s">
        <v>175</v>
      </c>
      <c r="K149" s="1" t="s">
        <v>400</v>
      </c>
      <c r="L149" s="1" t="s">
        <v>355</v>
      </c>
      <c r="M149" t="str">
        <f t="shared" si="12"/>
        <v>Eynard</v>
      </c>
      <c r="N149" t="str">
        <f t="shared" si="13"/>
        <v>Stoisser</v>
      </c>
      <c r="O149" t="str">
        <f t="shared" si="14"/>
        <v>Caux-Ramon</v>
      </c>
      <c r="P149" t="str">
        <f t="shared" si="15"/>
        <v>Lacombe</v>
      </c>
      <c r="Q149">
        <f t="shared" si="16"/>
        <v>1</v>
      </c>
      <c r="R149" t="str">
        <f t="shared" si="17"/>
        <v>Eynard-Stoisser-Caux-Ramon-Lacombe</v>
      </c>
    </row>
    <row r="150" spans="1:18" x14ac:dyDescent="0.25">
      <c r="A150" s="1" t="s">
        <v>383</v>
      </c>
      <c r="B150" s="1">
        <v>1</v>
      </c>
      <c r="C150" s="1" t="s">
        <v>24</v>
      </c>
      <c r="D150" s="1">
        <v>1</v>
      </c>
      <c r="E150" s="7" t="s">
        <v>156</v>
      </c>
      <c r="F150" s="1">
        <v>13</v>
      </c>
      <c r="G150" s="1">
        <v>15</v>
      </c>
      <c r="H150" s="7" t="s">
        <v>168</v>
      </c>
      <c r="I150" s="1" t="s">
        <v>165</v>
      </c>
      <c r="J150" s="1" t="s">
        <v>177</v>
      </c>
      <c r="K150" s="1" t="s">
        <v>400</v>
      </c>
      <c r="L150" s="1" t="s">
        <v>355</v>
      </c>
      <c r="M150" t="str">
        <f t="shared" si="12"/>
        <v>Gangkofner</v>
      </c>
      <c r="N150" t="str">
        <f t="shared" si="13"/>
        <v>Mitterwald</v>
      </c>
      <c r="O150" t="str">
        <f t="shared" si="14"/>
        <v>Danekas</v>
      </c>
      <c r="P150" t="str">
        <f t="shared" si="15"/>
        <v>Lecrosnier</v>
      </c>
      <c r="Q150">
        <f t="shared" si="16"/>
        <v>0</v>
      </c>
      <c r="R150" t="str">
        <f t="shared" si="17"/>
        <v>Gangkofner-Mitterwald-Danekas-Lecrosnier</v>
      </c>
    </row>
    <row r="151" spans="1:18" x14ac:dyDescent="0.25">
      <c r="A151" s="1" t="s">
        <v>383</v>
      </c>
      <c r="B151" s="1">
        <v>1</v>
      </c>
      <c r="C151" s="1" t="s">
        <v>27</v>
      </c>
      <c r="D151" s="1">
        <v>1</v>
      </c>
      <c r="E151" s="7" t="s">
        <v>156</v>
      </c>
      <c r="F151" s="1">
        <v>15</v>
      </c>
      <c r="G151" s="1">
        <v>13</v>
      </c>
      <c r="H151" s="7" t="s">
        <v>168</v>
      </c>
      <c r="I151" s="1" t="s">
        <v>167</v>
      </c>
      <c r="J151" s="1" t="s">
        <v>179</v>
      </c>
      <c r="K151" s="1" t="s">
        <v>400</v>
      </c>
      <c r="L151" s="1" t="s">
        <v>355</v>
      </c>
      <c r="M151" t="str">
        <f t="shared" si="12"/>
        <v>Anderle</v>
      </c>
      <c r="N151" t="str">
        <f t="shared" si="13"/>
        <v>Leidenfrost</v>
      </c>
      <c r="O151" t="str">
        <f t="shared" si="14"/>
        <v>Renimel</v>
      </c>
      <c r="P151" t="str">
        <f t="shared" si="15"/>
        <v>Sandoz</v>
      </c>
      <c r="Q151">
        <f t="shared" si="16"/>
        <v>1</v>
      </c>
      <c r="R151" t="str">
        <f t="shared" si="17"/>
        <v>Anderle-Leidenfrost-Renimel-Sandoz</v>
      </c>
    </row>
    <row r="152" spans="1:18" x14ac:dyDescent="0.25">
      <c r="A152" s="1" t="s">
        <v>213</v>
      </c>
      <c r="B152" s="1">
        <v>39</v>
      </c>
      <c r="C152" s="1" t="s">
        <v>12</v>
      </c>
      <c r="D152" s="1">
        <v>1</v>
      </c>
      <c r="E152" s="1" t="s">
        <v>146</v>
      </c>
      <c r="F152" s="1">
        <v>15</v>
      </c>
      <c r="G152" s="1">
        <v>8</v>
      </c>
      <c r="H152" s="1" t="s">
        <v>135</v>
      </c>
      <c r="I152" s="1" t="s">
        <v>148</v>
      </c>
      <c r="J152" s="1" t="s">
        <v>137</v>
      </c>
      <c r="K152" s="1" t="s">
        <v>214</v>
      </c>
      <c r="L152" s="1" t="s">
        <v>355</v>
      </c>
      <c r="M152" t="str">
        <f t="shared" si="12"/>
        <v>Eisenträger</v>
      </c>
      <c r="N152" t="str">
        <f t="shared" si="13"/>
        <v>Siemer</v>
      </c>
      <c r="O152" t="str">
        <f t="shared" si="14"/>
        <v>El-Gendy</v>
      </c>
      <c r="P152" t="str">
        <f t="shared" si="15"/>
        <v>Seddik</v>
      </c>
      <c r="Q152">
        <f t="shared" si="16"/>
        <v>1</v>
      </c>
      <c r="R152" t="str">
        <f t="shared" si="17"/>
        <v>Eisenträger-Siemer-El-Gendy-Seddik</v>
      </c>
    </row>
    <row r="153" spans="1:18" x14ac:dyDescent="0.25">
      <c r="A153" s="1" t="s">
        <v>213</v>
      </c>
      <c r="B153" s="1">
        <v>40</v>
      </c>
      <c r="C153" s="1" t="s">
        <v>12</v>
      </c>
      <c r="D153" s="1">
        <v>2</v>
      </c>
      <c r="E153" s="1" t="s">
        <v>146</v>
      </c>
      <c r="F153" s="1">
        <v>15</v>
      </c>
      <c r="G153" s="1">
        <v>7</v>
      </c>
      <c r="H153" s="1" t="s">
        <v>135</v>
      </c>
      <c r="I153" s="1" t="s">
        <v>148</v>
      </c>
      <c r="J153" s="1" t="s">
        <v>137</v>
      </c>
      <c r="K153" s="1" t="s">
        <v>214</v>
      </c>
      <c r="L153" s="1" t="s">
        <v>355</v>
      </c>
      <c r="M153" t="str">
        <f t="shared" si="12"/>
        <v>Eisenträger</v>
      </c>
      <c r="N153" t="str">
        <f t="shared" si="13"/>
        <v>Siemer</v>
      </c>
      <c r="O153" t="str">
        <f t="shared" si="14"/>
        <v>El-Gendy</v>
      </c>
      <c r="P153" t="str">
        <f t="shared" si="15"/>
        <v>Seddik</v>
      </c>
      <c r="Q153">
        <f t="shared" si="16"/>
        <v>1</v>
      </c>
      <c r="R153" t="str">
        <f t="shared" si="17"/>
        <v>Eisenträger-Siemer-El-Gendy-Seddik</v>
      </c>
    </row>
    <row r="154" spans="1:18" x14ac:dyDescent="0.25">
      <c r="A154" s="1" t="s">
        <v>213</v>
      </c>
      <c r="B154" s="1">
        <v>42</v>
      </c>
      <c r="C154" s="1" t="s">
        <v>18</v>
      </c>
      <c r="D154" s="1">
        <v>1</v>
      </c>
      <c r="E154" s="1" t="s">
        <v>146</v>
      </c>
      <c r="F154" s="1">
        <v>15</v>
      </c>
      <c r="G154" s="1">
        <v>4</v>
      </c>
      <c r="H154" s="1" t="s">
        <v>135</v>
      </c>
      <c r="I154" s="1" t="s">
        <v>151</v>
      </c>
      <c r="J154" s="1" t="s">
        <v>140</v>
      </c>
      <c r="K154" s="1" t="s">
        <v>214</v>
      </c>
      <c r="L154" s="1" t="s">
        <v>355</v>
      </c>
      <c r="M154" t="str">
        <f t="shared" si="12"/>
        <v>Grönebaum</v>
      </c>
      <c r="N154" t="str">
        <f t="shared" si="13"/>
        <v>Prüfer</v>
      </c>
      <c r="O154" t="str">
        <f t="shared" si="14"/>
        <v>Nader</v>
      </c>
      <c r="P154" t="str">
        <f t="shared" si="15"/>
        <v>Naim</v>
      </c>
      <c r="Q154">
        <f t="shared" si="16"/>
        <v>1</v>
      </c>
      <c r="R154" t="str">
        <f t="shared" si="17"/>
        <v>Grönebaum-Prüfer-Nader-Naim</v>
      </c>
    </row>
    <row r="155" spans="1:18" x14ac:dyDescent="0.25">
      <c r="A155" s="1" t="s">
        <v>213</v>
      </c>
      <c r="B155" s="1">
        <v>43</v>
      </c>
      <c r="C155" s="1" t="s">
        <v>18</v>
      </c>
      <c r="D155" s="1">
        <v>2</v>
      </c>
      <c r="E155" s="1" t="s">
        <v>146</v>
      </c>
      <c r="F155" s="1">
        <v>15</v>
      </c>
      <c r="G155" s="1">
        <v>7</v>
      </c>
      <c r="H155" s="1" t="s">
        <v>135</v>
      </c>
      <c r="I155" s="1" t="s">
        <v>151</v>
      </c>
      <c r="J155" s="1" t="s">
        <v>140</v>
      </c>
      <c r="K155" s="1" t="s">
        <v>214</v>
      </c>
      <c r="L155" s="1" t="s">
        <v>355</v>
      </c>
      <c r="M155" t="str">
        <f t="shared" si="12"/>
        <v>Grönebaum</v>
      </c>
      <c r="N155" t="str">
        <f t="shared" si="13"/>
        <v>Prüfer</v>
      </c>
      <c r="O155" t="str">
        <f t="shared" si="14"/>
        <v>Nader</v>
      </c>
      <c r="P155" t="str">
        <f t="shared" si="15"/>
        <v>Naim</v>
      </c>
      <c r="Q155">
        <f t="shared" si="16"/>
        <v>1</v>
      </c>
      <c r="R155" t="str">
        <f t="shared" si="17"/>
        <v>Grönebaum-Prüfer-Nader-Naim</v>
      </c>
    </row>
    <row r="156" spans="1:18" x14ac:dyDescent="0.25">
      <c r="A156" s="1" t="s">
        <v>213</v>
      </c>
      <c r="B156" s="1">
        <v>45</v>
      </c>
      <c r="C156" s="1" t="s">
        <v>21</v>
      </c>
      <c r="D156" s="1">
        <v>1</v>
      </c>
      <c r="E156" s="1" t="s">
        <v>146</v>
      </c>
      <c r="F156" s="1">
        <v>15</v>
      </c>
      <c r="G156" s="1">
        <v>12</v>
      </c>
      <c r="H156" s="1" t="s">
        <v>135</v>
      </c>
      <c r="I156" s="1" t="s">
        <v>153</v>
      </c>
      <c r="J156" s="1" t="s">
        <v>142</v>
      </c>
      <c r="K156" s="1" t="s">
        <v>214</v>
      </c>
      <c r="L156" s="1" t="s">
        <v>355</v>
      </c>
      <c r="M156" t="str">
        <f t="shared" si="12"/>
        <v>Claus</v>
      </c>
      <c r="N156" t="str">
        <f t="shared" si="13"/>
        <v>Lauterbach</v>
      </c>
      <c r="O156" t="str">
        <f t="shared" si="14"/>
        <v>Saafan</v>
      </c>
      <c r="P156" t="str">
        <f t="shared" si="15"/>
        <v>Atwan</v>
      </c>
      <c r="Q156">
        <f t="shared" si="16"/>
        <v>1</v>
      </c>
      <c r="R156" t="str">
        <f t="shared" si="17"/>
        <v>Claus-Lauterbach-Saafan-Atwan</v>
      </c>
    </row>
    <row r="157" spans="1:18" x14ac:dyDescent="0.25">
      <c r="A157" s="1" t="s">
        <v>213</v>
      </c>
      <c r="B157" s="1">
        <v>46</v>
      </c>
      <c r="C157" s="1" t="s">
        <v>21</v>
      </c>
      <c r="D157" s="1">
        <v>2</v>
      </c>
      <c r="E157" s="1" t="s">
        <v>146</v>
      </c>
      <c r="F157" s="1">
        <v>15</v>
      </c>
      <c r="G157" s="1">
        <v>7</v>
      </c>
      <c r="H157" s="1" t="s">
        <v>135</v>
      </c>
      <c r="I157" s="1" t="s">
        <v>153</v>
      </c>
      <c r="J157" s="1" t="s">
        <v>142</v>
      </c>
      <c r="K157" s="1" t="s">
        <v>214</v>
      </c>
      <c r="L157" s="1" t="s">
        <v>355</v>
      </c>
      <c r="M157" t="str">
        <f t="shared" si="12"/>
        <v>Claus</v>
      </c>
      <c r="N157" t="str">
        <f t="shared" si="13"/>
        <v>Lauterbach</v>
      </c>
      <c r="O157" t="str">
        <f t="shared" si="14"/>
        <v>Saafan</v>
      </c>
      <c r="P157" t="str">
        <f t="shared" si="15"/>
        <v>Atwan</v>
      </c>
      <c r="Q157">
        <f t="shared" si="16"/>
        <v>1</v>
      </c>
      <c r="R157" t="str">
        <f t="shared" si="17"/>
        <v>Claus-Lauterbach-Saafan-Atwan</v>
      </c>
    </row>
    <row r="158" spans="1:18" x14ac:dyDescent="0.25">
      <c r="A158" s="1" t="s">
        <v>213</v>
      </c>
      <c r="B158" s="1">
        <v>48</v>
      </c>
      <c r="C158" s="1" t="s">
        <v>24</v>
      </c>
      <c r="D158" s="1">
        <v>1</v>
      </c>
      <c r="E158" s="1" t="s">
        <v>146</v>
      </c>
      <c r="F158" s="1">
        <v>15</v>
      </c>
      <c r="G158" s="1">
        <v>2</v>
      </c>
      <c r="H158" s="1" t="s">
        <v>135</v>
      </c>
      <c r="I158" s="1" t="s">
        <v>209</v>
      </c>
      <c r="J158" s="1" t="s">
        <v>144</v>
      </c>
      <c r="K158" s="1" t="s">
        <v>214</v>
      </c>
      <c r="L158" s="1" t="s">
        <v>355</v>
      </c>
      <c r="M158" t="str">
        <f t="shared" si="12"/>
        <v>Christiani</v>
      </c>
      <c r="N158" t="str">
        <f t="shared" si="13"/>
        <v>Harder</v>
      </c>
      <c r="O158" t="str">
        <f t="shared" si="14"/>
        <v>Abdelmalek</v>
      </c>
      <c r="P158" t="str">
        <f t="shared" si="15"/>
        <v>Alabed</v>
      </c>
      <c r="Q158">
        <f t="shared" si="16"/>
        <v>1</v>
      </c>
      <c r="R158" t="str">
        <f t="shared" si="17"/>
        <v>Christiani-Harder-Abdelmalek-Alabed</v>
      </c>
    </row>
    <row r="159" spans="1:18" x14ac:dyDescent="0.25">
      <c r="A159" s="1" t="s">
        <v>213</v>
      </c>
      <c r="B159" s="1">
        <v>49</v>
      </c>
      <c r="C159" s="1" t="s">
        <v>24</v>
      </c>
      <c r="D159" s="1">
        <v>2</v>
      </c>
      <c r="E159" s="1" t="s">
        <v>146</v>
      </c>
      <c r="F159" s="1">
        <v>15</v>
      </c>
      <c r="G159" s="1">
        <v>1</v>
      </c>
      <c r="H159" s="1" t="s">
        <v>135</v>
      </c>
      <c r="I159" s="1" t="s">
        <v>209</v>
      </c>
      <c r="J159" s="1" t="s">
        <v>144</v>
      </c>
      <c r="K159" s="1" t="s">
        <v>214</v>
      </c>
      <c r="L159" s="1" t="s">
        <v>355</v>
      </c>
      <c r="M159" t="str">
        <f t="shared" si="12"/>
        <v>Christiani</v>
      </c>
      <c r="N159" t="str">
        <f t="shared" si="13"/>
        <v>Harder</v>
      </c>
      <c r="O159" t="str">
        <f t="shared" si="14"/>
        <v>Abdelmalek</v>
      </c>
      <c r="P159" t="str">
        <f t="shared" si="15"/>
        <v>Alabed</v>
      </c>
      <c r="Q159">
        <f t="shared" si="16"/>
        <v>1</v>
      </c>
      <c r="R159" t="str">
        <f t="shared" si="17"/>
        <v>Christiani-Harder-Abdelmalek-Alabed</v>
      </c>
    </row>
    <row r="160" spans="1:18" x14ac:dyDescent="0.25">
      <c r="A160" s="1" t="s">
        <v>213</v>
      </c>
      <c r="B160" s="1">
        <v>57</v>
      </c>
      <c r="C160" s="1" t="s">
        <v>12</v>
      </c>
      <c r="D160" s="1">
        <v>1</v>
      </c>
      <c r="E160" s="1" t="s">
        <v>147</v>
      </c>
      <c r="F160" s="1">
        <v>15</v>
      </c>
      <c r="G160" s="1">
        <v>4</v>
      </c>
      <c r="H160" s="1" t="s">
        <v>134</v>
      </c>
      <c r="I160" s="1" t="s">
        <v>149</v>
      </c>
      <c r="J160" s="1" t="s">
        <v>136</v>
      </c>
      <c r="K160" s="1" t="s">
        <v>214</v>
      </c>
      <c r="L160" s="1" t="s">
        <v>355</v>
      </c>
      <c r="M160" t="str">
        <f t="shared" si="12"/>
        <v>Felix</v>
      </c>
      <c r="N160" t="str">
        <f t="shared" si="13"/>
        <v>Baumeler</v>
      </c>
      <c r="O160" t="str">
        <f t="shared" si="14"/>
        <v>Lam</v>
      </c>
      <c r="P160" t="str">
        <f t="shared" si="15"/>
        <v>Choi</v>
      </c>
      <c r="Q160">
        <f t="shared" si="16"/>
        <v>1</v>
      </c>
      <c r="R160" t="str">
        <f t="shared" si="17"/>
        <v>Felix-Baumeler-Lam-Choi</v>
      </c>
    </row>
    <row r="161" spans="1:18" x14ac:dyDescent="0.25">
      <c r="A161" s="1" t="s">
        <v>213</v>
      </c>
      <c r="B161" s="1">
        <v>58</v>
      </c>
      <c r="C161" s="1" t="s">
        <v>12</v>
      </c>
      <c r="D161" s="1">
        <v>2</v>
      </c>
      <c r="E161" s="1" t="s">
        <v>147</v>
      </c>
      <c r="F161" s="1">
        <v>15</v>
      </c>
      <c r="G161" s="1">
        <v>5</v>
      </c>
      <c r="H161" s="1" t="s">
        <v>134</v>
      </c>
      <c r="I161" s="1" t="s">
        <v>149</v>
      </c>
      <c r="J161" s="1" t="s">
        <v>136</v>
      </c>
      <c r="K161" s="1" t="s">
        <v>214</v>
      </c>
      <c r="L161" s="1" t="s">
        <v>355</v>
      </c>
      <c r="M161" t="str">
        <f t="shared" si="12"/>
        <v>Felix</v>
      </c>
      <c r="N161" t="str">
        <f t="shared" si="13"/>
        <v>Baumeler</v>
      </c>
      <c r="O161" t="str">
        <f t="shared" si="14"/>
        <v>Lam</v>
      </c>
      <c r="P161" t="str">
        <f t="shared" si="15"/>
        <v>Choi</v>
      </c>
      <c r="Q161">
        <f t="shared" si="16"/>
        <v>1</v>
      </c>
      <c r="R161" t="str">
        <f t="shared" si="17"/>
        <v>Felix-Baumeler-Lam-Choi</v>
      </c>
    </row>
    <row r="162" spans="1:18" x14ac:dyDescent="0.25">
      <c r="A162" s="1" t="s">
        <v>213</v>
      </c>
      <c r="B162" s="1">
        <v>66</v>
      </c>
      <c r="C162" s="1" t="s">
        <v>24</v>
      </c>
      <c r="D162" s="1">
        <v>1</v>
      </c>
      <c r="E162" s="1" t="s">
        <v>147</v>
      </c>
      <c r="F162" s="1">
        <v>15</v>
      </c>
      <c r="G162" s="1">
        <v>6</v>
      </c>
      <c r="H162" s="1" t="s">
        <v>134</v>
      </c>
      <c r="I162" s="1" t="s">
        <v>385</v>
      </c>
      <c r="J162" s="1" t="s">
        <v>143</v>
      </c>
      <c r="K162" s="1" t="s">
        <v>214</v>
      </c>
      <c r="L162" s="1" t="s">
        <v>355</v>
      </c>
      <c r="M162" t="str">
        <f t="shared" si="12"/>
        <v>J. Eigenmann</v>
      </c>
      <c r="N162" t="str">
        <f t="shared" si="13"/>
        <v>Tognini</v>
      </c>
      <c r="O162" t="str">
        <f t="shared" si="14"/>
        <v>Lui</v>
      </c>
      <c r="P162" t="str">
        <f t="shared" si="15"/>
        <v>Yan</v>
      </c>
      <c r="Q162">
        <f t="shared" si="16"/>
        <v>1</v>
      </c>
      <c r="R162" t="str">
        <f t="shared" si="17"/>
        <v>J. Eigenmann-Tognini-Lui-Yan</v>
      </c>
    </row>
    <row r="163" spans="1:18" x14ac:dyDescent="0.25">
      <c r="A163" s="1" t="s">
        <v>213</v>
      </c>
      <c r="B163" s="1">
        <v>67</v>
      </c>
      <c r="C163" s="1" t="s">
        <v>24</v>
      </c>
      <c r="D163" s="1">
        <v>2</v>
      </c>
      <c r="E163" s="1" t="s">
        <v>147</v>
      </c>
      <c r="F163" s="1">
        <v>15</v>
      </c>
      <c r="G163" s="1">
        <v>3</v>
      </c>
      <c r="H163" s="1" t="s">
        <v>134</v>
      </c>
      <c r="I163" s="1" t="s">
        <v>385</v>
      </c>
      <c r="J163" s="1" t="s">
        <v>143</v>
      </c>
      <c r="K163" s="1" t="s">
        <v>214</v>
      </c>
      <c r="L163" s="1" t="s">
        <v>355</v>
      </c>
      <c r="M163" t="str">
        <f t="shared" si="12"/>
        <v>J. Eigenmann</v>
      </c>
      <c r="N163" t="str">
        <f t="shared" si="13"/>
        <v>Tognini</v>
      </c>
      <c r="O163" t="str">
        <f t="shared" si="14"/>
        <v>Lui</v>
      </c>
      <c r="P163" t="str">
        <f t="shared" si="15"/>
        <v>Yan</v>
      </c>
      <c r="Q163">
        <f t="shared" si="16"/>
        <v>1</v>
      </c>
      <c r="R163" t="str">
        <f t="shared" si="17"/>
        <v>J. Eigenmann-Tognini-Lui-Yan</v>
      </c>
    </row>
    <row r="164" spans="1:18" x14ac:dyDescent="0.25">
      <c r="A164" s="1" t="s">
        <v>213</v>
      </c>
      <c r="B164" s="1">
        <v>69</v>
      </c>
      <c r="C164" s="1" t="s">
        <v>27</v>
      </c>
      <c r="D164" s="1">
        <v>1</v>
      </c>
      <c r="E164" s="1" t="s">
        <v>147</v>
      </c>
      <c r="F164" s="1">
        <v>15</v>
      </c>
      <c r="G164" s="1">
        <v>7</v>
      </c>
      <c r="H164" s="1" t="s">
        <v>134</v>
      </c>
      <c r="I164" s="1" t="s">
        <v>212</v>
      </c>
      <c r="J164" s="1" t="s">
        <v>403</v>
      </c>
      <c r="K164" s="1" t="s">
        <v>214</v>
      </c>
      <c r="L164" s="1" t="s">
        <v>355</v>
      </c>
      <c r="M164" t="str">
        <f t="shared" si="12"/>
        <v>Rieser</v>
      </c>
      <c r="N164" t="str">
        <f t="shared" si="13"/>
        <v>Engel</v>
      </c>
      <c r="O164" t="str">
        <f t="shared" si="14"/>
        <v>Y. Cheung</v>
      </c>
      <c r="P164" t="str">
        <f t="shared" si="15"/>
        <v>Yin Ching</v>
      </c>
      <c r="Q164">
        <f t="shared" si="16"/>
        <v>1</v>
      </c>
      <c r="R164" t="str">
        <f t="shared" si="17"/>
        <v>Rieser-Engel-Y. Cheung-Yin Ching</v>
      </c>
    </row>
    <row r="165" spans="1:18" x14ac:dyDescent="0.25">
      <c r="A165" s="1" t="s">
        <v>213</v>
      </c>
      <c r="B165" s="1">
        <v>70</v>
      </c>
      <c r="C165" s="1" t="s">
        <v>27</v>
      </c>
      <c r="D165" s="1">
        <v>2</v>
      </c>
      <c r="E165" s="1" t="s">
        <v>147</v>
      </c>
      <c r="F165" s="1">
        <v>15</v>
      </c>
      <c r="G165" s="1">
        <v>5</v>
      </c>
      <c r="H165" s="1" t="s">
        <v>134</v>
      </c>
      <c r="I165" s="1" t="s">
        <v>212</v>
      </c>
      <c r="J165" s="1" t="s">
        <v>403</v>
      </c>
      <c r="K165" s="1" t="s">
        <v>214</v>
      </c>
      <c r="L165" s="1" t="s">
        <v>355</v>
      </c>
      <c r="M165" t="str">
        <f t="shared" si="12"/>
        <v>Rieser</v>
      </c>
      <c r="N165" t="str">
        <f t="shared" si="13"/>
        <v>Engel</v>
      </c>
      <c r="O165" t="str">
        <f t="shared" si="14"/>
        <v>Y. Cheung</v>
      </c>
      <c r="P165" t="str">
        <f t="shared" si="15"/>
        <v>Yin Ching</v>
      </c>
      <c r="Q165">
        <f t="shared" si="16"/>
        <v>1</v>
      </c>
      <c r="R165" t="str">
        <f t="shared" si="17"/>
        <v>Rieser-Engel-Y. Cheung-Yin Ching</v>
      </c>
    </row>
    <row r="166" spans="1:18" x14ac:dyDescent="0.25">
      <c r="A166" s="1" t="s">
        <v>213</v>
      </c>
      <c r="B166" s="1">
        <v>75</v>
      </c>
      <c r="C166" s="1" t="s">
        <v>12</v>
      </c>
      <c r="D166" s="1">
        <v>1</v>
      </c>
      <c r="E166" s="1" t="s">
        <v>155</v>
      </c>
      <c r="F166" s="1">
        <v>15</v>
      </c>
      <c r="G166" s="1">
        <v>6</v>
      </c>
      <c r="H166" s="1" t="s">
        <v>122</v>
      </c>
      <c r="I166" s="1" t="s">
        <v>157</v>
      </c>
      <c r="J166" s="1" t="s">
        <v>124</v>
      </c>
      <c r="K166" s="1" t="s">
        <v>214</v>
      </c>
      <c r="L166" s="1" t="s">
        <v>355</v>
      </c>
      <c r="M166" t="str">
        <f t="shared" si="12"/>
        <v>Bazzani</v>
      </c>
      <c r="N166" t="str">
        <f t="shared" si="13"/>
        <v>Borsotti</v>
      </c>
      <c r="O166" t="str">
        <f t="shared" si="14"/>
        <v>Brach</v>
      </c>
      <c r="P166" t="str">
        <f t="shared" si="15"/>
        <v>Castin</v>
      </c>
      <c r="Q166">
        <f t="shared" si="16"/>
        <v>1</v>
      </c>
      <c r="R166" t="str">
        <f t="shared" si="17"/>
        <v>Bazzani-Borsotti-Brach-Castin</v>
      </c>
    </row>
    <row r="167" spans="1:18" x14ac:dyDescent="0.25">
      <c r="A167" s="1" t="s">
        <v>213</v>
      </c>
      <c r="B167" s="1">
        <v>76</v>
      </c>
      <c r="C167" s="1" t="s">
        <v>12</v>
      </c>
      <c r="D167" s="1">
        <v>2</v>
      </c>
      <c r="E167" s="1" t="s">
        <v>155</v>
      </c>
      <c r="F167" s="1">
        <v>15</v>
      </c>
      <c r="G167" s="1">
        <v>6</v>
      </c>
      <c r="H167" s="1" t="s">
        <v>122</v>
      </c>
      <c r="I167" s="1" t="s">
        <v>157</v>
      </c>
      <c r="J167" s="1" t="s">
        <v>124</v>
      </c>
      <c r="K167" s="1" t="s">
        <v>214</v>
      </c>
      <c r="L167" s="1" t="s">
        <v>355</v>
      </c>
      <c r="M167" t="str">
        <f t="shared" si="12"/>
        <v>Bazzani</v>
      </c>
      <c r="N167" t="str">
        <f t="shared" si="13"/>
        <v>Borsotti</v>
      </c>
      <c r="O167" t="str">
        <f t="shared" si="14"/>
        <v>Brach</v>
      </c>
      <c r="P167" t="str">
        <f t="shared" si="15"/>
        <v>Castin</v>
      </c>
      <c r="Q167">
        <f t="shared" si="16"/>
        <v>1</v>
      </c>
      <c r="R167" t="str">
        <f t="shared" si="17"/>
        <v>Bazzani-Borsotti-Brach-Castin</v>
      </c>
    </row>
    <row r="168" spans="1:18" x14ac:dyDescent="0.25">
      <c r="A168" s="1" t="s">
        <v>213</v>
      </c>
      <c r="B168" s="1">
        <v>78</v>
      </c>
      <c r="C168" s="1" t="s">
        <v>18</v>
      </c>
      <c r="D168" s="1">
        <v>1</v>
      </c>
      <c r="E168" s="1" t="s">
        <v>155</v>
      </c>
      <c r="F168" s="1">
        <v>15</v>
      </c>
      <c r="G168" s="1">
        <v>10</v>
      </c>
      <c r="H168" s="1" t="s">
        <v>122</v>
      </c>
      <c r="I168" s="1" t="s">
        <v>160</v>
      </c>
      <c r="J168" s="1" t="s">
        <v>127</v>
      </c>
      <c r="K168" s="1" t="s">
        <v>214</v>
      </c>
      <c r="L168" s="1" t="s">
        <v>355</v>
      </c>
      <c r="M168" t="str">
        <f t="shared" si="12"/>
        <v>Dudine</v>
      </c>
      <c r="N168" t="str">
        <f t="shared" si="13"/>
        <v>Zanellato</v>
      </c>
      <c r="O168" t="str">
        <f t="shared" si="14"/>
        <v>Bermes</v>
      </c>
      <c r="P168" t="str">
        <f t="shared" si="15"/>
        <v>Ries</v>
      </c>
      <c r="Q168">
        <f t="shared" si="16"/>
        <v>1</v>
      </c>
      <c r="R168" t="str">
        <f t="shared" si="17"/>
        <v>Dudine-Zanellato-Bermes-Ries</v>
      </c>
    </row>
    <row r="169" spans="1:18" x14ac:dyDescent="0.25">
      <c r="A169" s="1" t="s">
        <v>213</v>
      </c>
      <c r="B169" s="1">
        <v>81</v>
      </c>
      <c r="C169" s="1" t="s">
        <v>21</v>
      </c>
      <c r="D169" s="1">
        <v>1</v>
      </c>
      <c r="E169" s="1" t="s">
        <v>155</v>
      </c>
      <c r="F169" s="1">
        <v>15</v>
      </c>
      <c r="G169" s="1">
        <v>6</v>
      </c>
      <c r="H169" s="1" t="s">
        <v>122</v>
      </c>
      <c r="I169" s="1" t="s">
        <v>364</v>
      </c>
      <c r="J169" s="1" t="s">
        <v>412</v>
      </c>
      <c r="K169" s="1" t="s">
        <v>214</v>
      </c>
      <c r="L169" s="1" t="s">
        <v>355</v>
      </c>
      <c r="M169" t="str">
        <f t="shared" si="12"/>
        <v>mercadini</v>
      </c>
      <c r="N169" t="str">
        <f t="shared" si="13"/>
        <v>Sacchini</v>
      </c>
      <c r="O169" t="str">
        <f t="shared" si="14"/>
        <v>Mertens</v>
      </c>
      <c r="P169" t="str">
        <f t="shared" si="15"/>
        <v>M. Thomé</v>
      </c>
      <c r="Q169">
        <f t="shared" si="16"/>
        <v>1</v>
      </c>
      <c r="R169" t="str">
        <f t="shared" si="17"/>
        <v>mercadini-Sacchini-Mertens-M. Thomé</v>
      </c>
    </row>
    <row r="170" spans="1:18" x14ac:dyDescent="0.25">
      <c r="A170" s="1" t="s">
        <v>213</v>
      </c>
      <c r="B170" s="1">
        <v>84</v>
      </c>
      <c r="C170" s="1" t="s">
        <v>24</v>
      </c>
      <c r="D170" s="1">
        <v>1</v>
      </c>
      <c r="E170" s="1" t="s">
        <v>155</v>
      </c>
      <c r="F170" s="1">
        <v>15</v>
      </c>
      <c r="G170" s="1">
        <v>5</v>
      </c>
      <c r="H170" s="1" t="s">
        <v>122</v>
      </c>
      <c r="I170" s="1" t="s">
        <v>164</v>
      </c>
      <c r="J170" s="1" t="s">
        <v>413</v>
      </c>
      <c r="K170" s="1" t="s">
        <v>214</v>
      </c>
      <c r="L170" s="1" t="s">
        <v>355</v>
      </c>
      <c r="M170" t="str">
        <f t="shared" si="12"/>
        <v>Grazi</v>
      </c>
      <c r="N170" t="str">
        <f t="shared" si="13"/>
        <v>Pareschi</v>
      </c>
      <c r="O170" t="str">
        <f t="shared" si="14"/>
        <v>N. Thomé</v>
      </c>
      <c r="P170" t="str">
        <f t="shared" si="15"/>
        <v>Klein</v>
      </c>
      <c r="Q170">
        <f t="shared" si="16"/>
        <v>1</v>
      </c>
      <c r="R170" t="str">
        <f t="shared" si="17"/>
        <v>Grazi-Pareschi-N. Thomé-Klein</v>
      </c>
    </row>
    <row r="171" spans="1:18" x14ac:dyDescent="0.25">
      <c r="A171" s="1" t="s">
        <v>213</v>
      </c>
      <c r="B171" s="1">
        <v>85</v>
      </c>
      <c r="C171" s="1" t="s">
        <v>24</v>
      </c>
      <c r="D171" s="1">
        <v>2</v>
      </c>
      <c r="E171" s="1" t="s">
        <v>155</v>
      </c>
      <c r="F171" s="1">
        <v>15</v>
      </c>
      <c r="G171" s="1">
        <v>4</v>
      </c>
      <c r="H171" s="1" t="s">
        <v>122</v>
      </c>
      <c r="I171" s="1" t="s">
        <v>164</v>
      </c>
      <c r="J171" s="1" t="s">
        <v>413</v>
      </c>
      <c r="K171" s="1" t="s">
        <v>214</v>
      </c>
      <c r="L171" s="1" t="s">
        <v>355</v>
      </c>
      <c r="M171" t="str">
        <f t="shared" si="12"/>
        <v>Grazi</v>
      </c>
      <c r="N171" t="str">
        <f t="shared" si="13"/>
        <v>Pareschi</v>
      </c>
      <c r="O171" t="str">
        <f t="shared" si="14"/>
        <v>N. Thomé</v>
      </c>
      <c r="P171" t="str">
        <f t="shared" si="15"/>
        <v>Klein</v>
      </c>
      <c r="Q171">
        <f t="shared" si="16"/>
        <v>1</v>
      </c>
      <c r="R171" t="str">
        <f t="shared" si="17"/>
        <v>Grazi-Pareschi-N. Thomé-Klein</v>
      </c>
    </row>
    <row r="172" spans="1:18" x14ac:dyDescent="0.25">
      <c r="A172" s="1" t="s">
        <v>213</v>
      </c>
      <c r="B172" s="1">
        <v>87</v>
      </c>
      <c r="C172" s="1" t="s">
        <v>27</v>
      </c>
      <c r="D172" s="1">
        <v>1</v>
      </c>
      <c r="E172" s="1" t="s">
        <v>155</v>
      </c>
      <c r="F172" s="1">
        <v>15</v>
      </c>
      <c r="G172" s="1">
        <v>6</v>
      </c>
      <c r="H172" s="1" t="s">
        <v>122</v>
      </c>
      <c r="I172" s="1" t="s">
        <v>166</v>
      </c>
      <c r="J172" s="1" t="s">
        <v>133</v>
      </c>
      <c r="K172" s="1" t="s">
        <v>214</v>
      </c>
      <c r="L172" s="1" t="s">
        <v>355</v>
      </c>
      <c r="M172" t="str">
        <f t="shared" si="12"/>
        <v>Merlin</v>
      </c>
      <c r="N172" t="str">
        <f t="shared" si="13"/>
        <v>Molli</v>
      </c>
      <c r="O172" t="str">
        <f t="shared" si="14"/>
        <v>Clees</v>
      </c>
      <c r="P172" t="str">
        <f t="shared" si="15"/>
        <v>Urbany</v>
      </c>
      <c r="Q172">
        <f t="shared" si="16"/>
        <v>1</v>
      </c>
      <c r="R172" t="str">
        <f t="shared" si="17"/>
        <v>Merlin-Molli-Clees-Urbany</v>
      </c>
    </row>
    <row r="173" spans="1:18" x14ac:dyDescent="0.25">
      <c r="A173" s="1" t="s">
        <v>213</v>
      </c>
      <c r="B173" s="1">
        <v>88</v>
      </c>
      <c r="C173" s="1" t="s">
        <v>27</v>
      </c>
      <c r="D173" s="1">
        <v>2</v>
      </c>
      <c r="E173" s="1" t="s">
        <v>155</v>
      </c>
      <c r="F173" s="1">
        <v>15</v>
      </c>
      <c r="G173" s="1">
        <v>8</v>
      </c>
      <c r="H173" s="1" t="s">
        <v>122</v>
      </c>
      <c r="I173" s="1" t="s">
        <v>166</v>
      </c>
      <c r="J173" s="1" t="s">
        <v>133</v>
      </c>
      <c r="K173" s="1" t="s">
        <v>214</v>
      </c>
      <c r="L173" s="1" t="s">
        <v>355</v>
      </c>
      <c r="M173" t="str">
        <f t="shared" si="12"/>
        <v>Merlin</v>
      </c>
      <c r="N173" t="str">
        <f t="shared" si="13"/>
        <v>Molli</v>
      </c>
      <c r="O173" t="str">
        <f t="shared" si="14"/>
        <v>Clees</v>
      </c>
      <c r="P173" t="str">
        <f t="shared" si="15"/>
        <v>Urbany</v>
      </c>
      <c r="Q173">
        <f t="shared" si="16"/>
        <v>1</v>
      </c>
      <c r="R173" t="str">
        <f t="shared" si="17"/>
        <v>Merlin-Molli-Clees-Urbany</v>
      </c>
    </row>
    <row r="174" spans="1:18" x14ac:dyDescent="0.25">
      <c r="A174" s="1" t="s">
        <v>213</v>
      </c>
      <c r="B174" s="1">
        <v>93</v>
      </c>
      <c r="C174" s="1" t="s">
        <v>12</v>
      </c>
      <c r="D174" s="1">
        <v>1</v>
      </c>
      <c r="E174" s="1" t="s">
        <v>156</v>
      </c>
      <c r="F174" s="1">
        <v>15</v>
      </c>
      <c r="G174" s="1">
        <v>9</v>
      </c>
      <c r="H174" s="1" t="s">
        <v>109</v>
      </c>
      <c r="I174" s="1" t="s">
        <v>158</v>
      </c>
      <c r="J174" s="1" t="s">
        <v>111</v>
      </c>
      <c r="K174" s="1" t="s">
        <v>214</v>
      </c>
      <c r="L174" s="1" t="s">
        <v>355</v>
      </c>
      <c r="M174" t="str">
        <f t="shared" si="12"/>
        <v>Bachler</v>
      </c>
      <c r="N174" t="str">
        <f t="shared" si="13"/>
        <v>Dziruni</v>
      </c>
      <c r="O174" t="str">
        <f t="shared" si="14"/>
        <v>Ko. Kyläinpää</v>
      </c>
      <c r="P174" t="str">
        <f t="shared" si="15"/>
        <v>Ka. Kyläinpää</v>
      </c>
      <c r="Q174">
        <f t="shared" si="16"/>
        <v>1</v>
      </c>
      <c r="R174" t="str">
        <f t="shared" si="17"/>
        <v>Bachler-Dziruni-Ko. Kyläinpää-Ka. Kyläinpää</v>
      </c>
    </row>
    <row r="175" spans="1:18" x14ac:dyDescent="0.25">
      <c r="A175" s="1" t="s">
        <v>213</v>
      </c>
      <c r="B175" s="1">
        <v>94</v>
      </c>
      <c r="C175" s="1" t="s">
        <v>12</v>
      </c>
      <c r="D175" s="1">
        <v>2</v>
      </c>
      <c r="E175" s="1" t="s">
        <v>156</v>
      </c>
      <c r="F175" s="1">
        <v>15</v>
      </c>
      <c r="G175" s="1">
        <v>8</v>
      </c>
      <c r="H175" s="1" t="s">
        <v>109</v>
      </c>
      <c r="I175" s="1" t="s">
        <v>158</v>
      </c>
      <c r="J175" s="1" t="s">
        <v>111</v>
      </c>
      <c r="K175" s="1" t="s">
        <v>214</v>
      </c>
      <c r="L175" s="1" t="s">
        <v>355</v>
      </c>
      <c r="M175" t="str">
        <f t="shared" si="12"/>
        <v>Bachler</v>
      </c>
      <c r="N175" t="str">
        <f t="shared" si="13"/>
        <v>Dziruni</v>
      </c>
      <c r="O175" t="str">
        <f t="shared" si="14"/>
        <v>Ko. Kyläinpää</v>
      </c>
      <c r="P175" t="str">
        <f t="shared" si="15"/>
        <v>Ka. Kyläinpää</v>
      </c>
      <c r="Q175">
        <f t="shared" si="16"/>
        <v>1</v>
      </c>
      <c r="R175" t="str">
        <f t="shared" si="17"/>
        <v>Bachler-Dziruni-Ko. Kyläinpää-Ka. Kyläinpää</v>
      </c>
    </row>
    <row r="176" spans="1:18" x14ac:dyDescent="0.25">
      <c r="A176" s="1" t="s">
        <v>213</v>
      </c>
      <c r="B176" s="1">
        <v>96</v>
      </c>
      <c r="C176" s="1" t="s">
        <v>18</v>
      </c>
      <c r="D176" s="1">
        <v>1</v>
      </c>
      <c r="E176" s="1" t="s">
        <v>156</v>
      </c>
      <c r="F176" s="1">
        <v>19</v>
      </c>
      <c r="G176" s="1">
        <v>17</v>
      </c>
      <c r="H176" s="1" t="s">
        <v>109</v>
      </c>
      <c r="I176" s="1" t="s">
        <v>161</v>
      </c>
      <c r="J176" s="1" t="s">
        <v>114</v>
      </c>
      <c r="K176" s="1" t="s">
        <v>214</v>
      </c>
      <c r="L176" s="1" t="s">
        <v>355</v>
      </c>
      <c r="M176" t="str">
        <f t="shared" si="12"/>
        <v>Handschmann</v>
      </c>
      <c r="N176" t="str">
        <f t="shared" si="13"/>
        <v>Jindra</v>
      </c>
      <c r="O176" t="str">
        <f t="shared" si="14"/>
        <v>Youssef</v>
      </c>
      <c r="P176" t="str">
        <f t="shared" si="15"/>
        <v>Heikkinen</v>
      </c>
      <c r="Q176">
        <f t="shared" si="16"/>
        <v>1</v>
      </c>
      <c r="R176" t="str">
        <f t="shared" si="17"/>
        <v>Handschmann-Jindra-Youssef-Heikkinen</v>
      </c>
    </row>
    <row r="177" spans="1:18" x14ac:dyDescent="0.25">
      <c r="A177" s="1" t="s">
        <v>213</v>
      </c>
      <c r="B177" s="1">
        <v>97</v>
      </c>
      <c r="C177" s="1" t="s">
        <v>18</v>
      </c>
      <c r="D177" s="1">
        <v>2</v>
      </c>
      <c r="E177" s="1" t="s">
        <v>156</v>
      </c>
      <c r="F177" s="1">
        <v>9</v>
      </c>
      <c r="G177" s="1">
        <v>6</v>
      </c>
      <c r="H177" s="1" t="s">
        <v>109</v>
      </c>
      <c r="I177" s="1" t="s">
        <v>161</v>
      </c>
      <c r="J177" s="1" t="s">
        <v>114</v>
      </c>
      <c r="K177" s="1" t="s">
        <v>214</v>
      </c>
      <c r="L177" s="1" t="s">
        <v>355</v>
      </c>
      <c r="M177" t="str">
        <f t="shared" si="12"/>
        <v>Handschmann</v>
      </c>
      <c r="N177" t="str">
        <f t="shared" si="13"/>
        <v>Jindra</v>
      </c>
      <c r="O177" t="str">
        <f t="shared" si="14"/>
        <v>Youssef</v>
      </c>
      <c r="P177" t="str">
        <f t="shared" si="15"/>
        <v>Heikkinen</v>
      </c>
      <c r="Q177">
        <f t="shared" si="16"/>
        <v>1</v>
      </c>
      <c r="R177" t="str">
        <f t="shared" si="17"/>
        <v>Handschmann-Jindra-Youssef-Heikkinen</v>
      </c>
    </row>
    <row r="178" spans="1:18" x14ac:dyDescent="0.25">
      <c r="A178" s="1" t="s">
        <v>213</v>
      </c>
      <c r="B178" s="1">
        <v>99</v>
      </c>
      <c r="C178" s="1" t="s">
        <v>21</v>
      </c>
      <c r="D178" s="1">
        <v>1</v>
      </c>
      <c r="E178" s="1" t="s">
        <v>156</v>
      </c>
      <c r="F178" s="1">
        <v>15</v>
      </c>
      <c r="G178" s="1">
        <v>6</v>
      </c>
      <c r="H178" s="1" t="s">
        <v>109</v>
      </c>
      <c r="I178" s="1" t="s">
        <v>163</v>
      </c>
      <c r="J178" s="1" t="s">
        <v>116</v>
      </c>
      <c r="K178" s="1" t="s">
        <v>214</v>
      </c>
      <c r="L178" s="1" t="s">
        <v>355</v>
      </c>
      <c r="M178" t="str">
        <f t="shared" si="12"/>
        <v>Eynard</v>
      </c>
      <c r="N178" t="str">
        <f t="shared" si="13"/>
        <v>Stoisser</v>
      </c>
      <c r="O178" t="str">
        <f t="shared" si="14"/>
        <v>Peltonen</v>
      </c>
      <c r="P178" t="str">
        <f t="shared" si="15"/>
        <v>Seitz</v>
      </c>
      <c r="Q178">
        <f t="shared" si="16"/>
        <v>1</v>
      </c>
      <c r="R178" t="str">
        <f t="shared" si="17"/>
        <v>Eynard-Stoisser-Peltonen-Seitz</v>
      </c>
    </row>
    <row r="179" spans="1:18" x14ac:dyDescent="0.25">
      <c r="A179" s="1" t="s">
        <v>213</v>
      </c>
      <c r="B179" s="1">
        <v>100</v>
      </c>
      <c r="C179" s="1" t="s">
        <v>21</v>
      </c>
      <c r="D179" s="1">
        <v>2</v>
      </c>
      <c r="E179" s="1" t="s">
        <v>156</v>
      </c>
      <c r="F179" s="1">
        <v>15</v>
      </c>
      <c r="G179" s="1">
        <v>9</v>
      </c>
      <c r="H179" s="1" t="s">
        <v>109</v>
      </c>
      <c r="I179" s="1" t="s">
        <v>163</v>
      </c>
      <c r="J179" s="1" t="s">
        <v>116</v>
      </c>
      <c r="K179" s="1" t="s">
        <v>214</v>
      </c>
      <c r="L179" s="1" t="s">
        <v>355</v>
      </c>
      <c r="M179" t="str">
        <f t="shared" si="12"/>
        <v>Eynard</v>
      </c>
      <c r="N179" t="str">
        <f t="shared" si="13"/>
        <v>Stoisser</v>
      </c>
      <c r="O179" t="str">
        <f t="shared" si="14"/>
        <v>Peltonen</v>
      </c>
      <c r="P179" t="str">
        <f t="shared" si="15"/>
        <v>Seitz</v>
      </c>
      <c r="Q179">
        <f t="shared" si="16"/>
        <v>1</v>
      </c>
      <c r="R179" t="str">
        <f t="shared" si="17"/>
        <v>Eynard-Stoisser-Peltonen-Seitz</v>
      </c>
    </row>
    <row r="180" spans="1:18" x14ac:dyDescent="0.25">
      <c r="A180" s="1" t="s">
        <v>213</v>
      </c>
      <c r="B180" s="1">
        <v>102</v>
      </c>
      <c r="C180" s="1" t="s">
        <v>24</v>
      </c>
      <c r="D180" s="1">
        <v>1</v>
      </c>
      <c r="E180" s="1" t="s">
        <v>156</v>
      </c>
      <c r="F180" s="1">
        <v>15</v>
      </c>
      <c r="G180" s="1">
        <v>6</v>
      </c>
      <c r="H180" s="1" t="s">
        <v>109</v>
      </c>
      <c r="I180" s="1" t="s">
        <v>165</v>
      </c>
      <c r="J180" s="1" t="s">
        <v>118</v>
      </c>
      <c r="K180" s="1" t="s">
        <v>214</v>
      </c>
      <c r="L180" s="1" t="s">
        <v>355</v>
      </c>
      <c r="M180" t="str">
        <f t="shared" si="12"/>
        <v>Gangkofner</v>
      </c>
      <c r="N180" t="str">
        <f t="shared" si="13"/>
        <v>Mitterwald</v>
      </c>
      <c r="O180" t="str">
        <f t="shared" si="14"/>
        <v>Kauppinen</v>
      </c>
      <c r="P180" t="str">
        <f t="shared" si="15"/>
        <v>Modenius</v>
      </c>
      <c r="Q180">
        <f t="shared" si="16"/>
        <v>1</v>
      </c>
      <c r="R180" t="str">
        <f t="shared" si="17"/>
        <v>Gangkofner-Mitterwald-Kauppinen-Modenius</v>
      </c>
    </row>
    <row r="181" spans="1:18" x14ac:dyDescent="0.25">
      <c r="A181" s="1" t="s">
        <v>213</v>
      </c>
      <c r="B181" s="1">
        <v>103</v>
      </c>
      <c r="C181" s="1" t="s">
        <v>24</v>
      </c>
      <c r="D181" s="1">
        <v>2</v>
      </c>
      <c r="E181" s="1" t="s">
        <v>156</v>
      </c>
      <c r="F181" s="1">
        <v>15</v>
      </c>
      <c r="G181" s="1">
        <v>10</v>
      </c>
      <c r="H181" s="1" t="s">
        <v>109</v>
      </c>
      <c r="I181" s="1" t="s">
        <v>165</v>
      </c>
      <c r="J181" s="1" t="s">
        <v>118</v>
      </c>
      <c r="K181" s="1" t="s">
        <v>214</v>
      </c>
      <c r="L181" s="1" t="s">
        <v>355</v>
      </c>
      <c r="M181" t="str">
        <f t="shared" si="12"/>
        <v>Gangkofner</v>
      </c>
      <c r="N181" t="str">
        <f t="shared" si="13"/>
        <v>Mitterwald</v>
      </c>
      <c r="O181" t="str">
        <f t="shared" si="14"/>
        <v>Kauppinen</v>
      </c>
      <c r="P181" t="str">
        <f t="shared" si="15"/>
        <v>Modenius</v>
      </c>
      <c r="Q181">
        <f t="shared" si="16"/>
        <v>1</v>
      </c>
      <c r="R181" t="str">
        <f t="shared" si="17"/>
        <v>Gangkofner-Mitterwald-Kauppinen-Modenius</v>
      </c>
    </row>
    <row r="182" spans="1:18" x14ac:dyDescent="0.25">
      <c r="A182" s="1" t="s">
        <v>213</v>
      </c>
      <c r="B182" s="1">
        <v>105</v>
      </c>
      <c r="C182" s="1" t="s">
        <v>27</v>
      </c>
      <c r="D182" s="1">
        <v>1</v>
      </c>
      <c r="E182" s="1" t="s">
        <v>156</v>
      </c>
      <c r="F182" s="1">
        <v>15</v>
      </c>
      <c r="G182" s="1">
        <v>9</v>
      </c>
      <c r="H182" s="1" t="s">
        <v>109</v>
      </c>
      <c r="I182" s="1" t="s">
        <v>167</v>
      </c>
      <c r="J182" s="1" t="s">
        <v>120</v>
      </c>
      <c r="K182" s="1" t="s">
        <v>214</v>
      </c>
      <c r="L182" s="1" t="s">
        <v>355</v>
      </c>
      <c r="M182" t="str">
        <f t="shared" si="12"/>
        <v>Anderle</v>
      </c>
      <c r="N182" t="str">
        <f t="shared" si="13"/>
        <v>Leidenfrost</v>
      </c>
      <c r="O182" t="str">
        <f t="shared" si="14"/>
        <v>Zein</v>
      </c>
      <c r="P182" t="str">
        <f t="shared" si="15"/>
        <v>Orava</v>
      </c>
      <c r="Q182">
        <f t="shared" si="16"/>
        <v>1</v>
      </c>
      <c r="R182" t="str">
        <f t="shared" si="17"/>
        <v>Anderle-Leidenfrost-Zein-Orava</v>
      </c>
    </row>
    <row r="183" spans="1:18" x14ac:dyDescent="0.25">
      <c r="A183" s="1" t="s">
        <v>213</v>
      </c>
      <c r="B183" s="1">
        <v>106</v>
      </c>
      <c r="C183" s="1" t="s">
        <v>27</v>
      </c>
      <c r="D183" s="1">
        <v>2</v>
      </c>
      <c r="E183" s="1" t="s">
        <v>156</v>
      </c>
      <c r="F183" s="1">
        <v>9</v>
      </c>
      <c r="G183" s="1">
        <v>6</v>
      </c>
      <c r="H183" s="1" t="s">
        <v>109</v>
      </c>
      <c r="I183" s="1" t="s">
        <v>167</v>
      </c>
      <c r="J183" s="1" t="s">
        <v>120</v>
      </c>
      <c r="K183" s="1" t="s">
        <v>214</v>
      </c>
      <c r="L183" s="1" t="s">
        <v>355</v>
      </c>
      <c r="M183" t="str">
        <f t="shared" si="12"/>
        <v>Anderle</v>
      </c>
      <c r="N183" t="str">
        <f t="shared" si="13"/>
        <v>Leidenfrost</v>
      </c>
      <c r="O183" t="str">
        <f t="shared" si="14"/>
        <v>Zein</v>
      </c>
      <c r="P183" t="str">
        <f t="shared" si="15"/>
        <v>Orava</v>
      </c>
      <c r="Q183">
        <f t="shared" si="16"/>
        <v>1</v>
      </c>
      <c r="R183" t="str">
        <f t="shared" si="17"/>
        <v>Anderle-Leidenfrost-Zein-Orava</v>
      </c>
    </row>
    <row r="184" spans="1:18" x14ac:dyDescent="0.25">
      <c r="A184" s="1" t="s">
        <v>213</v>
      </c>
      <c r="B184" s="1">
        <v>111</v>
      </c>
      <c r="C184" s="1" t="s">
        <v>12</v>
      </c>
      <c r="D184" s="1">
        <v>1</v>
      </c>
      <c r="E184" s="1" t="s">
        <v>168</v>
      </c>
      <c r="F184" s="1">
        <v>1</v>
      </c>
      <c r="G184" s="1">
        <v>0</v>
      </c>
      <c r="H184" s="1" t="s">
        <v>121</v>
      </c>
      <c r="I184" s="1" t="s">
        <v>170</v>
      </c>
      <c r="J184" s="1" t="s">
        <v>123</v>
      </c>
      <c r="K184" s="1" t="s">
        <v>214</v>
      </c>
      <c r="L184" s="1" t="s">
        <v>355</v>
      </c>
      <c r="M184" t="str">
        <f t="shared" si="12"/>
        <v>Clark</v>
      </c>
      <c r="N184" t="str">
        <f t="shared" si="13"/>
        <v>Florinda</v>
      </c>
      <c r="O184" t="str">
        <f t="shared" si="14"/>
        <v>Prelich</v>
      </c>
      <c r="P184" t="str">
        <f t="shared" si="15"/>
        <v>Tomkin Clarke</v>
      </c>
      <c r="Q184">
        <f t="shared" si="16"/>
        <v>1</v>
      </c>
      <c r="R184" t="str">
        <f t="shared" si="17"/>
        <v>Clark-Florinda-Prelich-Tomkin Clarke</v>
      </c>
    </row>
    <row r="185" spans="1:18" x14ac:dyDescent="0.25">
      <c r="A185" s="1" t="s">
        <v>213</v>
      </c>
      <c r="B185" s="1">
        <v>112</v>
      </c>
      <c r="C185" s="1" t="s">
        <v>12</v>
      </c>
      <c r="D185" s="1">
        <v>2</v>
      </c>
      <c r="E185" s="1" t="s">
        <v>168</v>
      </c>
      <c r="F185" s="1">
        <v>1</v>
      </c>
      <c r="G185" s="1">
        <v>0</v>
      </c>
      <c r="H185" s="1" t="s">
        <v>121</v>
      </c>
      <c r="I185" s="1" t="s">
        <v>170</v>
      </c>
      <c r="J185" s="1" t="s">
        <v>123</v>
      </c>
      <c r="K185" s="1" t="s">
        <v>214</v>
      </c>
      <c r="L185" s="1" t="s">
        <v>355</v>
      </c>
      <c r="M185" t="str">
        <f t="shared" si="12"/>
        <v>Clark</v>
      </c>
      <c r="N185" t="str">
        <f t="shared" si="13"/>
        <v>Florinda</v>
      </c>
      <c r="O185" t="str">
        <f t="shared" si="14"/>
        <v>Prelich</v>
      </c>
      <c r="P185" t="str">
        <f t="shared" si="15"/>
        <v>Tomkin Clarke</v>
      </c>
      <c r="Q185">
        <f t="shared" si="16"/>
        <v>1</v>
      </c>
      <c r="R185" t="str">
        <f t="shared" si="17"/>
        <v>Clark-Florinda-Prelich-Tomkin Clarke</v>
      </c>
    </row>
    <row r="186" spans="1:18" x14ac:dyDescent="0.25">
      <c r="A186" s="1" t="s">
        <v>213</v>
      </c>
      <c r="B186" s="1">
        <v>114</v>
      </c>
      <c r="C186" s="1" t="s">
        <v>18</v>
      </c>
      <c r="D186" s="1">
        <v>1</v>
      </c>
      <c r="E186" s="1" t="s">
        <v>168</v>
      </c>
      <c r="F186" s="1">
        <v>1</v>
      </c>
      <c r="G186" s="1">
        <v>0</v>
      </c>
      <c r="H186" s="1" t="s">
        <v>121</v>
      </c>
      <c r="I186" s="1" t="s">
        <v>173</v>
      </c>
      <c r="J186" s="1" t="s">
        <v>126</v>
      </c>
      <c r="K186" s="1" t="s">
        <v>214</v>
      </c>
      <c r="L186" s="1" t="s">
        <v>355</v>
      </c>
      <c r="M186" t="str">
        <f t="shared" si="12"/>
        <v>Améziane</v>
      </c>
      <c r="N186" t="str">
        <f t="shared" si="13"/>
        <v>Mareschal</v>
      </c>
      <c r="O186" t="str">
        <f t="shared" si="14"/>
        <v>O'Gara</v>
      </c>
      <c r="P186" t="str">
        <f t="shared" si="15"/>
        <v>Mendez</v>
      </c>
      <c r="Q186">
        <f t="shared" si="16"/>
        <v>1</v>
      </c>
      <c r="R186" t="str">
        <f t="shared" si="17"/>
        <v>Améziane-Mareschal-O'Gara-Mendez</v>
      </c>
    </row>
    <row r="187" spans="1:18" x14ac:dyDescent="0.25">
      <c r="A187" s="1" t="s">
        <v>213</v>
      </c>
      <c r="B187" s="1">
        <v>115</v>
      </c>
      <c r="C187" s="1" t="s">
        <v>18</v>
      </c>
      <c r="D187" s="1">
        <v>2</v>
      </c>
      <c r="E187" s="1" t="s">
        <v>168</v>
      </c>
      <c r="F187" s="1">
        <v>1</v>
      </c>
      <c r="G187" s="1">
        <v>0</v>
      </c>
      <c r="H187" s="1" t="s">
        <v>121</v>
      </c>
      <c r="I187" s="1" t="s">
        <v>173</v>
      </c>
      <c r="J187" s="1" t="s">
        <v>126</v>
      </c>
      <c r="K187" s="1" t="s">
        <v>214</v>
      </c>
      <c r="L187" s="1" t="s">
        <v>355</v>
      </c>
      <c r="M187" t="str">
        <f t="shared" si="12"/>
        <v>Améziane</v>
      </c>
      <c r="N187" t="str">
        <f t="shared" si="13"/>
        <v>Mareschal</v>
      </c>
      <c r="O187" t="str">
        <f t="shared" si="14"/>
        <v>O'Gara</v>
      </c>
      <c r="P187" t="str">
        <f t="shared" si="15"/>
        <v>Mendez</v>
      </c>
      <c r="Q187">
        <f t="shared" si="16"/>
        <v>1</v>
      </c>
      <c r="R187" t="str">
        <f t="shared" si="17"/>
        <v>Améziane-Mareschal-O'Gara-Mendez</v>
      </c>
    </row>
    <row r="188" spans="1:18" x14ac:dyDescent="0.25">
      <c r="A188" s="1" t="s">
        <v>213</v>
      </c>
      <c r="B188" s="1">
        <v>117</v>
      </c>
      <c r="C188" s="1" t="s">
        <v>21</v>
      </c>
      <c r="D188" s="1">
        <v>1</v>
      </c>
      <c r="E188" s="1" t="s">
        <v>168</v>
      </c>
      <c r="F188" s="1">
        <v>1</v>
      </c>
      <c r="G188" s="1">
        <v>0</v>
      </c>
      <c r="H188" s="1" t="s">
        <v>121</v>
      </c>
      <c r="I188" s="1" t="s">
        <v>175</v>
      </c>
      <c r="J188" s="1" t="s">
        <v>128</v>
      </c>
      <c r="K188" s="1" t="s">
        <v>214</v>
      </c>
      <c r="L188" s="1" t="s">
        <v>355</v>
      </c>
      <c r="M188" t="str">
        <f t="shared" si="12"/>
        <v>Caux-Ramon</v>
      </c>
      <c r="N188" t="str">
        <f t="shared" si="13"/>
        <v>Lacombe</v>
      </c>
      <c r="O188" t="str">
        <f t="shared" si="14"/>
        <v>Duffy</v>
      </c>
      <c r="P188" t="str">
        <f t="shared" si="15"/>
        <v>Byrne</v>
      </c>
      <c r="Q188">
        <f t="shared" si="16"/>
        <v>1</v>
      </c>
      <c r="R188" t="str">
        <f t="shared" si="17"/>
        <v>Caux-Ramon-Lacombe-Duffy-Byrne</v>
      </c>
    </row>
    <row r="189" spans="1:18" x14ac:dyDescent="0.25">
      <c r="A189" s="1" t="s">
        <v>213</v>
      </c>
      <c r="B189" s="1">
        <v>118</v>
      </c>
      <c r="C189" s="1" t="s">
        <v>21</v>
      </c>
      <c r="D189" s="1">
        <v>2</v>
      </c>
      <c r="E189" s="1" t="s">
        <v>168</v>
      </c>
      <c r="F189" s="1">
        <v>1</v>
      </c>
      <c r="G189" s="1">
        <v>0</v>
      </c>
      <c r="H189" s="1" t="s">
        <v>121</v>
      </c>
      <c r="I189" s="1" t="s">
        <v>175</v>
      </c>
      <c r="J189" s="1" t="s">
        <v>128</v>
      </c>
      <c r="K189" s="1" t="s">
        <v>214</v>
      </c>
      <c r="L189" s="1" t="s">
        <v>355</v>
      </c>
      <c r="M189" t="str">
        <f t="shared" si="12"/>
        <v>Caux-Ramon</v>
      </c>
      <c r="N189" t="str">
        <f t="shared" si="13"/>
        <v>Lacombe</v>
      </c>
      <c r="O189" t="str">
        <f t="shared" si="14"/>
        <v>Duffy</v>
      </c>
      <c r="P189" t="str">
        <f t="shared" si="15"/>
        <v>Byrne</v>
      </c>
      <c r="Q189">
        <f t="shared" si="16"/>
        <v>1</v>
      </c>
      <c r="R189" t="str">
        <f t="shared" si="17"/>
        <v>Caux-Ramon-Lacombe-Duffy-Byrne</v>
      </c>
    </row>
    <row r="190" spans="1:18" x14ac:dyDescent="0.25">
      <c r="A190" s="1" t="s">
        <v>213</v>
      </c>
      <c r="B190" s="1">
        <v>120</v>
      </c>
      <c r="C190" s="1" t="s">
        <v>24</v>
      </c>
      <c r="D190" s="1">
        <v>1</v>
      </c>
      <c r="E190" s="1" t="s">
        <v>168</v>
      </c>
      <c r="F190" s="1">
        <v>1</v>
      </c>
      <c r="G190" s="1">
        <v>0</v>
      </c>
      <c r="H190" s="1" t="s">
        <v>121</v>
      </c>
      <c r="I190" s="1" t="s">
        <v>177</v>
      </c>
      <c r="J190" s="1" t="s">
        <v>130</v>
      </c>
      <c r="K190" s="1" t="s">
        <v>214</v>
      </c>
      <c r="L190" s="1" t="s">
        <v>355</v>
      </c>
      <c r="M190" t="str">
        <f t="shared" si="12"/>
        <v>Danekas</v>
      </c>
      <c r="N190" t="str">
        <f t="shared" si="13"/>
        <v>Lecrosnier</v>
      </c>
      <c r="O190" t="str">
        <f t="shared" si="14"/>
        <v>Leonard</v>
      </c>
      <c r="P190" t="str">
        <f t="shared" si="15"/>
        <v>Hodkinson</v>
      </c>
      <c r="Q190">
        <f t="shared" si="16"/>
        <v>1</v>
      </c>
      <c r="R190" t="str">
        <f t="shared" si="17"/>
        <v>Danekas-Lecrosnier-Leonard-Hodkinson</v>
      </c>
    </row>
    <row r="191" spans="1:18" x14ac:dyDescent="0.25">
      <c r="A191" s="1" t="s">
        <v>213</v>
      </c>
      <c r="B191" s="1">
        <v>121</v>
      </c>
      <c r="C191" s="1" t="s">
        <v>24</v>
      </c>
      <c r="D191" s="1">
        <v>2</v>
      </c>
      <c r="E191" s="1" t="s">
        <v>168</v>
      </c>
      <c r="F191" s="1">
        <v>1</v>
      </c>
      <c r="G191" s="1">
        <v>0</v>
      </c>
      <c r="H191" s="1" t="s">
        <v>121</v>
      </c>
      <c r="I191" s="1" t="s">
        <v>177</v>
      </c>
      <c r="J191" s="1" t="s">
        <v>130</v>
      </c>
      <c r="K191" s="1" t="s">
        <v>214</v>
      </c>
      <c r="L191" s="1" t="s">
        <v>355</v>
      </c>
      <c r="M191" t="str">
        <f t="shared" si="12"/>
        <v>Danekas</v>
      </c>
      <c r="N191" t="str">
        <f t="shared" si="13"/>
        <v>Lecrosnier</v>
      </c>
      <c r="O191" t="str">
        <f t="shared" si="14"/>
        <v>Leonard</v>
      </c>
      <c r="P191" t="str">
        <f t="shared" si="15"/>
        <v>Hodkinson</v>
      </c>
      <c r="Q191">
        <f t="shared" si="16"/>
        <v>1</v>
      </c>
      <c r="R191" t="str">
        <f t="shared" si="17"/>
        <v>Danekas-Lecrosnier-Leonard-Hodkinson</v>
      </c>
    </row>
    <row r="192" spans="1:18" x14ac:dyDescent="0.25">
      <c r="A192" s="1" t="s">
        <v>213</v>
      </c>
      <c r="B192" s="1">
        <v>123</v>
      </c>
      <c r="C192" s="1" t="s">
        <v>27</v>
      </c>
      <c r="D192" s="1">
        <v>1</v>
      </c>
      <c r="E192" s="1" t="s">
        <v>168</v>
      </c>
      <c r="F192" s="1">
        <v>1</v>
      </c>
      <c r="G192" s="1">
        <v>0</v>
      </c>
      <c r="H192" s="1" t="s">
        <v>121</v>
      </c>
      <c r="I192" s="1" t="s">
        <v>179</v>
      </c>
      <c r="J192" s="1" t="s">
        <v>132</v>
      </c>
      <c r="K192" s="1" t="s">
        <v>214</v>
      </c>
      <c r="L192" s="1" t="s">
        <v>355</v>
      </c>
      <c r="M192" t="str">
        <f t="shared" si="12"/>
        <v>Renimel</v>
      </c>
      <c r="N192" t="str">
        <f t="shared" si="13"/>
        <v>Sandoz</v>
      </c>
      <c r="O192" t="str">
        <f t="shared" si="14"/>
        <v>Costa</v>
      </c>
      <c r="P192" t="str">
        <f t="shared" si="15"/>
        <v>Urbi</v>
      </c>
      <c r="Q192">
        <f t="shared" si="16"/>
        <v>1</v>
      </c>
      <c r="R192" t="str">
        <f t="shared" si="17"/>
        <v>Renimel-Sandoz-Costa-Urbi</v>
      </c>
    </row>
    <row r="193" spans="1:18" x14ac:dyDescent="0.25">
      <c r="A193" s="1" t="s">
        <v>213</v>
      </c>
      <c r="B193" s="1">
        <v>124</v>
      </c>
      <c r="C193" s="1" t="s">
        <v>27</v>
      </c>
      <c r="D193" s="1">
        <v>2</v>
      </c>
      <c r="E193" s="1" t="s">
        <v>168</v>
      </c>
      <c r="F193" s="1">
        <v>1</v>
      </c>
      <c r="G193" s="1">
        <v>0</v>
      </c>
      <c r="H193" s="1" t="s">
        <v>121</v>
      </c>
      <c r="I193" s="1" t="s">
        <v>179</v>
      </c>
      <c r="J193" s="1" t="s">
        <v>132</v>
      </c>
      <c r="K193" s="1" t="s">
        <v>214</v>
      </c>
      <c r="L193" s="1" t="s">
        <v>355</v>
      </c>
      <c r="M193" t="str">
        <f t="shared" si="12"/>
        <v>Renimel</v>
      </c>
      <c r="N193" t="str">
        <f t="shared" si="13"/>
        <v>Sandoz</v>
      </c>
      <c r="O193" t="str">
        <f t="shared" si="14"/>
        <v>Costa</v>
      </c>
      <c r="P193" t="str">
        <f t="shared" si="15"/>
        <v>Urbi</v>
      </c>
      <c r="Q193">
        <f t="shared" si="16"/>
        <v>1</v>
      </c>
      <c r="R193" t="str">
        <f t="shared" si="17"/>
        <v>Renimel-Sandoz-Costa-Urbi</v>
      </c>
    </row>
    <row r="194" spans="1:18" x14ac:dyDescent="0.25">
      <c r="A194" s="1" t="s">
        <v>213</v>
      </c>
      <c r="B194" s="1">
        <v>129</v>
      </c>
      <c r="C194" s="1" t="s">
        <v>12</v>
      </c>
      <c r="D194" s="1">
        <v>1</v>
      </c>
      <c r="E194" s="1" t="s">
        <v>169</v>
      </c>
      <c r="F194" s="1">
        <v>1</v>
      </c>
      <c r="G194" s="1">
        <v>0</v>
      </c>
      <c r="H194" s="1" t="s">
        <v>96</v>
      </c>
      <c r="I194" s="1" t="s">
        <v>171</v>
      </c>
      <c r="J194" s="1" t="s">
        <v>397</v>
      </c>
      <c r="K194" s="1" t="s">
        <v>214</v>
      </c>
      <c r="L194" s="1" t="s">
        <v>355</v>
      </c>
      <c r="M194" t="str">
        <f t="shared" ref="M194:M257" si="18">_xlfn.TEXTBEFORE(I194,"/")</f>
        <v>Ekman</v>
      </c>
      <c r="N194" t="str">
        <f t="shared" ref="N194:N257" si="19">_xlfn.TEXTAFTER(I194,"/ ")</f>
        <v>Stenquist</v>
      </c>
      <c r="O194" t="str">
        <f t="shared" ref="O194:O257" si="20">_xlfn.TEXTBEFORE(J194,"/")</f>
        <v>Yañez</v>
      </c>
      <c r="P194" t="str">
        <f t="shared" ref="P194:P257" si="21">_xlfn.TEXTAFTER(J194,"/ ")</f>
        <v>F. Rivera</v>
      </c>
      <c r="Q194">
        <f t="shared" ref="Q194:Q257" si="22">IF(F194&gt;G194,1,0)</f>
        <v>1</v>
      </c>
      <c r="R194" t="str">
        <f t="shared" ref="R194:R257" si="23">_xlfn.TEXTJOIN("-",TRUE,M194,N194,O194,P194)</f>
        <v>Ekman-Stenquist-Yañez-F. Rivera</v>
      </c>
    </row>
    <row r="195" spans="1:18" x14ac:dyDescent="0.25">
      <c r="A195" s="1" t="s">
        <v>213</v>
      </c>
      <c r="B195" s="1">
        <v>130</v>
      </c>
      <c r="C195" s="1" t="s">
        <v>12</v>
      </c>
      <c r="D195" s="1">
        <v>2</v>
      </c>
      <c r="E195" s="1" t="s">
        <v>169</v>
      </c>
      <c r="F195" s="1">
        <v>1</v>
      </c>
      <c r="G195" s="1">
        <v>0</v>
      </c>
      <c r="H195" s="1" t="s">
        <v>96</v>
      </c>
      <c r="I195" s="1" t="s">
        <v>171</v>
      </c>
      <c r="J195" s="1" t="s">
        <v>397</v>
      </c>
      <c r="K195" s="1" t="s">
        <v>214</v>
      </c>
      <c r="L195" s="1" t="s">
        <v>355</v>
      </c>
      <c r="M195" t="str">
        <f t="shared" si="18"/>
        <v>Ekman</v>
      </c>
      <c r="N195" t="str">
        <f t="shared" si="19"/>
        <v>Stenquist</v>
      </c>
      <c r="O195" t="str">
        <f t="shared" si="20"/>
        <v>Yañez</v>
      </c>
      <c r="P195" t="str">
        <f t="shared" si="21"/>
        <v>F. Rivera</v>
      </c>
      <c r="Q195">
        <f t="shared" si="22"/>
        <v>1</v>
      </c>
      <c r="R195" t="str">
        <f t="shared" si="23"/>
        <v>Ekman-Stenquist-Yañez-F. Rivera</v>
      </c>
    </row>
    <row r="196" spans="1:18" x14ac:dyDescent="0.25">
      <c r="A196" s="1" t="s">
        <v>213</v>
      </c>
      <c r="B196" s="1">
        <v>132</v>
      </c>
      <c r="C196" s="1" t="s">
        <v>18</v>
      </c>
      <c r="D196" s="1">
        <v>1</v>
      </c>
      <c r="E196" s="1" t="s">
        <v>169</v>
      </c>
      <c r="F196" s="1">
        <v>1</v>
      </c>
      <c r="G196" s="1">
        <v>0</v>
      </c>
      <c r="H196" s="1" t="s">
        <v>96</v>
      </c>
      <c r="I196" s="1" t="s">
        <v>174</v>
      </c>
      <c r="J196" s="1" t="s">
        <v>101</v>
      </c>
      <c r="K196" s="1" t="s">
        <v>214</v>
      </c>
      <c r="L196" s="1" t="s">
        <v>355</v>
      </c>
      <c r="M196" t="str">
        <f t="shared" si="18"/>
        <v>Henström</v>
      </c>
      <c r="N196" t="str">
        <f t="shared" si="19"/>
        <v>Mjönes</v>
      </c>
      <c r="O196" t="str">
        <f t="shared" si="20"/>
        <v>O. Herrera</v>
      </c>
      <c r="P196" t="str">
        <f t="shared" si="21"/>
        <v>Larroza</v>
      </c>
      <c r="Q196">
        <f t="shared" si="22"/>
        <v>1</v>
      </c>
      <c r="R196" t="str">
        <f t="shared" si="23"/>
        <v>Henström-Mjönes-O. Herrera-Larroza</v>
      </c>
    </row>
    <row r="197" spans="1:18" x14ac:dyDescent="0.25">
      <c r="A197" s="1" t="s">
        <v>213</v>
      </c>
      <c r="B197" s="1">
        <v>133</v>
      </c>
      <c r="C197" s="1" t="s">
        <v>18</v>
      </c>
      <c r="D197" s="1">
        <v>2</v>
      </c>
      <c r="E197" s="1" t="s">
        <v>169</v>
      </c>
      <c r="F197" s="1">
        <v>1</v>
      </c>
      <c r="G197" s="1">
        <v>0</v>
      </c>
      <c r="H197" s="1" t="s">
        <v>96</v>
      </c>
      <c r="I197" s="1" t="s">
        <v>174</v>
      </c>
      <c r="J197" s="1" t="s">
        <v>101</v>
      </c>
      <c r="K197" s="1" t="s">
        <v>214</v>
      </c>
      <c r="L197" s="1" t="s">
        <v>355</v>
      </c>
      <c r="M197" t="str">
        <f t="shared" si="18"/>
        <v>Henström</v>
      </c>
      <c r="N197" t="str">
        <f t="shared" si="19"/>
        <v>Mjönes</v>
      </c>
      <c r="O197" t="str">
        <f t="shared" si="20"/>
        <v>O. Herrera</v>
      </c>
      <c r="P197" t="str">
        <f t="shared" si="21"/>
        <v>Larroza</v>
      </c>
      <c r="Q197">
        <f t="shared" si="22"/>
        <v>1</v>
      </c>
      <c r="R197" t="str">
        <f t="shared" si="23"/>
        <v>Henström-Mjönes-O. Herrera-Larroza</v>
      </c>
    </row>
    <row r="198" spans="1:18" x14ac:dyDescent="0.25">
      <c r="A198" s="1" t="s">
        <v>213</v>
      </c>
      <c r="B198" s="1">
        <v>135</v>
      </c>
      <c r="C198" s="1" t="s">
        <v>21</v>
      </c>
      <c r="D198" s="1">
        <v>1</v>
      </c>
      <c r="E198" s="1" t="s">
        <v>169</v>
      </c>
      <c r="F198" s="1">
        <v>1</v>
      </c>
      <c r="G198" s="1">
        <v>0</v>
      </c>
      <c r="H198" s="1" t="s">
        <v>96</v>
      </c>
      <c r="I198" s="1" t="s">
        <v>176</v>
      </c>
      <c r="J198" s="1" t="s">
        <v>399</v>
      </c>
      <c r="K198" s="1" t="s">
        <v>214</v>
      </c>
      <c r="L198" s="1" t="s">
        <v>355</v>
      </c>
      <c r="M198" t="str">
        <f t="shared" si="18"/>
        <v>Millton</v>
      </c>
      <c r="N198" t="str">
        <f t="shared" si="19"/>
        <v>Baggman</v>
      </c>
      <c r="O198" t="str">
        <f t="shared" si="20"/>
        <v>D. Rivera</v>
      </c>
      <c r="P198" t="str">
        <f t="shared" si="21"/>
        <v>Ortiz</v>
      </c>
      <c r="Q198">
        <f t="shared" si="22"/>
        <v>1</v>
      </c>
      <c r="R198" t="str">
        <f t="shared" si="23"/>
        <v>Millton-Baggman-D. Rivera-Ortiz</v>
      </c>
    </row>
    <row r="199" spans="1:18" x14ac:dyDescent="0.25">
      <c r="A199" s="1" t="s">
        <v>213</v>
      </c>
      <c r="B199" s="1">
        <v>136</v>
      </c>
      <c r="C199" s="1" t="s">
        <v>21</v>
      </c>
      <c r="D199" s="1">
        <v>2</v>
      </c>
      <c r="E199" s="1" t="s">
        <v>169</v>
      </c>
      <c r="F199" s="1">
        <v>0</v>
      </c>
      <c r="G199" s="1">
        <v>1</v>
      </c>
      <c r="H199" s="1" t="s">
        <v>96</v>
      </c>
      <c r="I199" s="1" t="s">
        <v>176</v>
      </c>
      <c r="J199" s="1" t="s">
        <v>399</v>
      </c>
      <c r="K199" s="1" t="s">
        <v>214</v>
      </c>
      <c r="L199" s="1" t="s">
        <v>355</v>
      </c>
      <c r="M199" t="str">
        <f t="shared" si="18"/>
        <v>Millton</v>
      </c>
      <c r="N199" t="str">
        <f t="shared" si="19"/>
        <v>Baggman</v>
      </c>
      <c r="O199" t="str">
        <f t="shared" si="20"/>
        <v>D. Rivera</v>
      </c>
      <c r="P199" t="str">
        <f t="shared" si="21"/>
        <v>Ortiz</v>
      </c>
      <c r="Q199">
        <f t="shared" si="22"/>
        <v>0</v>
      </c>
      <c r="R199" t="str">
        <f t="shared" si="23"/>
        <v>Millton-Baggman-D. Rivera-Ortiz</v>
      </c>
    </row>
    <row r="200" spans="1:18" x14ac:dyDescent="0.25">
      <c r="A200" s="1" t="s">
        <v>213</v>
      </c>
      <c r="B200" s="1">
        <v>137</v>
      </c>
      <c r="C200" s="1" t="s">
        <v>21</v>
      </c>
      <c r="D200" s="1">
        <v>3</v>
      </c>
      <c r="E200" s="1" t="s">
        <v>169</v>
      </c>
      <c r="F200" s="1">
        <v>1</v>
      </c>
      <c r="G200" s="1">
        <v>0</v>
      </c>
      <c r="H200" s="1" t="s">
        <v>96</v>
      </c>
      <c r="I200" s="1" t="s">
        <v>176</v>
      </c>
      <c r="J200" s="1" t="s">
        <v>399</v>
      </c>
      <c r="K200" s="1" t="s">
        <v>214</v>
      </c>
      <c r="L200" s="1" t="s">
        <v>355</v>
      </c>
      <c r="M200" t="str">
        <f t="shared" si="18"/>
        <v>Millton</v>
      </c>
      <c r="N200" t="str">
        <f t="shared" si="19"/>
        <v>Baggman</v>
      </c>
      <c r="O200" t="str">
        <f t="shared" si="20"/>
        <v>D. Rivera</v>
      </c>
      <c r="P200" t="str">
        <f t="shared" si="21"/>
        <v>Ortiz</v>
      </c>
      <c r="Q200">
        <f t="shared" si="22"/>
        <v>1</v>
      </c>
      <c r="R200" t="str">
        <f t="shared" si="23"/>
        <v>Millton-Baggman-D. Rivera-Ortiz</v>
      </c>
    </row>
    <row r="201" spans="1:18" x14ac:dyDescent="0.25">
      <c r="A201" s="1" t="s">
        <v>213</v>
      </c>
      <c r="B201" s="1">
        <v>147</v>
      </c>
      <c r="C201" s="1" t="s">
        <v>12</v>
      </c>
      <c r="D201" s="1">
        <v>1</v>
      </c>
      <c r="E201" s="1" t="s">
        <v>14</v>
      </c>
      <c r="F201" s="1">
        <v>15</v>
      </c>
      <c r="G201" s="1">
        <v>8</v>
      </c>
      <c r="H201" s="1" t="s">
        <v>108</v>
      </c>
      <c r="I201" s="1" t="s">
        <v>16</v>
      </c>
      <c r="J201" s="1" t="s">
        <v>110</v>
      </c>
      <c r="K201" s="1" t="s">
        <v>214</v>
      </c>
      <c r="L201" s="1" t="s">
        <v>355</v>
      </c>
      <c r="M201" t="str">
        <f t="shared" si="18"/>
        <v>Beeks</v>
      </c>
      <c r="N201" t="str">
        <f t="shared" si="19"/>
        <v>Elbourne</v>
      </c>
      <c r="O201" t="str">
        <f t="shared" si="20"/>
        <v>Goar</v>
      </c>
      <c r="P201" t="str">
        <f t="shared" si="21"/>
        <v>Canovas</v>
      </c>
      <c r="Q201">
        <f t="shared" si="22"/>
        <v>1</v>
      </c>
      <c r="R201" t="str">
        <f t="shared" si="23"/>
        <v>Beeks-Elbourne-Goar-Canovas</v>
      </c>
    </row>
    <row r="202" spans="1:18" x14ac:dyDescent="0.25">
      <c r="A202" s="1" t="s">
        <v>213</v>
      </c>
      <c r="B202" s="1">
        <v>148</v>
      </c>
      <c r="C202" s="1" t="s">
        <v>12</v>
      </c>
      <c r="D202" s="1">
        <v>2</v>
      </c>
      <c r="E202" s="1" t="s">
        <v>14</v>
      </c>
      <c r="F202" s="1">
        <v>15</v>
      </c>
      <c r="G202" s="1">
        <v>9</v>
      </c>
      <c r="H202" s="1" t="s">
        <v>108</v>
      </c>
      <c r="I202" s="1" t="s">
        <v>16</v>
      </c>
      <c r="J202" s="1" t="s">
        <v>110</v>
      </c>
      <c r="K202" s="1" t="s">
        <v>214</v>
      </c>
      <c r="L202" s="1" t="s">
        <v>355</v>
      </c>
      <c r="M202" t="str">
        <f t="shared" si="18"/>
        <v>Beeks</v>
      </c>
      <c r="N202" t="str">
        <f t="shared" si="19"/>
        <v>Elbourne</v>
      </c>
      <c r="O202" t="str">
        <f t="shared" si="20"/>
        <v>Goar</v>
      </c>
      <c r="P202" t="str">
        <f t="shared" si="21"/>
        <v>Canovas</v>
      </c>
      <c r="Q202">
        <f t="shared" si="22"/>
        <v>1</v>
      </c>
      <c r="R202" t="str">
        <f t="shared" si="23"/>
        <v>Beeks-Elbourne-Goar-Canovas</v>
      </c>
    </row>
    <row r="203" spans="1:18" x14ac:dyDescent="0.25">
      <c r="A203" s="1" t="s">
        <v>213</v>
      </c>
      <c r="B203" s="1">
        <v>150</v>
      </c>
      <c r="C203" s="1" t="s">
        <v>18</v>
      </c>
      <c r="D203" s="1">
        <v>1</v>
      </c>
      <c r="E203" s="1" t="s">
        <v>14</v>
      </c>
      <c r="F203" s="1">
        <v>15</v>
      </c>
      <c r="G203" s="1">
        <v>6</v>
      </c>
      <c r="H203" s="1" t="s">
        <v>108</v>
      </c>
      <c r="I203" s="1" t="s">
        <v>20</v>
      </c>
      <c r="J203" s="1" t="s">
        <v>398</v>
      </c>
      <c r="K203" s="1" t="s">
        <v>214</v>
      </c>
      <c r="L203" s="1" t="s">
        <v>355</v>
      </c>
      <c r="M203" t="str">
        <f t="shared" si="18"/>
        <v>Rowlands</v>
      </c>
      <c r="N203" t="str">
        <f t="shared" si="19"/>
        <v>Hutko</v>
      </c>
      <c r="O203" t="str">
        <f t="shared" si="20"/>
        <v>M. Rivera</v>
      </c>
      <c r="P203" t="str">
        <f t="shared" si="21"/>
        <v>Meave</v>
      </c>
      <c r="Q203">
        <f t="shared" si="22"/>
        <v>1</v>
      </c>
      <c r="R203" t="str">
        <f t="shared" si="23"/>
        <v>Rowlands-Hutko-M. Rivera-Meave</v>
      </c>
    </row>
    <row r="204" spans="1:18" x14ac:dyDescent="0.25">
      <c r="A204" s="1" t="s">
        <v>213</v>
      </c>
      <c r="B204" s="1">
        <v>151</v>
      </c>
      <c r="C204" s="1" t="s">
        <v>18</v>
      </c>
      <c r="D204" s="1">
        <v>2</v>
      </c>
      <c r="E204" s="1" t="s">
        <v>14</v>
      </c>
      <c r="F204" s="1">
        <v>15</v>
      </c>
      <c r="G204" s="1">
        <v>9</v>
      </c>
      <c r="H204" s="1" t="s">
        <v>108</v>
      </c>
      <c r="I204" s="1" t="s">
        <v>20</v>
      </c>
      <c r="J204" s="1" t="s">
        <v>398</v>
      </c>
      <c r="K204" s="1" t="s">
        <v>214</v>
      </c>
      <c r="L204" s="1" t="s">
        <v>355</v>
      </c>
      <c r="M204" t="str">
        <f t="shared" si="18"/>
        <v>Rowlands</v>
      </c>
      <c r="N204" t="str">
        <f t="shared" si="19"/>
        <v>Hutko</v>
      </c>
      <c r="O204" t="str">
        <f t="shared" si="20"/>
        <v>M. Rivera</v>
      </c>
      <c r="P204" t="str">
        <f t="shared" si="21"/>
        <v>Meave</v>
      </c>
      <c r="Q204">
        <f t="shared" si="22"/>
        <v>1</v>
      </c>
      <c r="R204" t="str">
        <f t="shared" si="23"/>
        <v>Rowlands-Hutko-M. Rivera-Meave</v>
      </c>
    </row>
    <row r="205" spans="1:18" x14ac:dyDescent="0.25">
      <c r="A205" s="1" t="s">
        <v>213</v>
      </c>
      <c r="B205" s="1">
        <v>153</v>
      </c>
      <c r="C205" s="1" t="s">
        <v>21</v>
      </c>
      <c r="D205" s="1">
        <v>1</v>
      </c>
      <c r="E205" s="1" t="s">
        <v>14</v>
      </c>
      <c r="F205" s="1">
        <v>15</v>
      </c>
      <c r="G205" s="1">
        <v>8</v>
      </c>
      <c r="H205" s="1" t="s">
        <v>108</v>
      </c>
      <c r="I205" s="1" t="s">
        <v>23</v>
      </c>
      <c r="J205" s="1" t="s">
        <v>115</v>
      </c>
      <c r="K205" s="1" t="s">
        <v>214</v>
      </c>
      <c r="L205" s="1" t="s">
        <v>355</v>
      </c>
      <c r="M205" t="str">
        <f t="shared" si="18"/>
        <v>Cook</v>
      </c>
      <c r="N205" t="str">
        <f t="shared" si="19"/>
        <v>Kerridge</v>
      </c>
      <c r="O205" t="str">
        <f t="shared" si="20"/>
        <v>Erick Diaz</v>
      </c>
      <c r="P205" t="str">
        <f t="shared" si="21"/>
        <v>Loïacono</v>
      </c>
      <c r="Q205">
        <f t="shared" si="22"/>
        <v>1</v>
      </c>
      <c r="R205" t="str">
        <f t="shared" si="23"/>
        <v>Cook-Kerridge-Erick Diaz-Loïacono</v>
      </c>
    </row>
    <row r="206" spans="1:18" x14ac:dyDescent="0.25">
      <c r="A206" s="1" t="s">
        <v>213</v>
      </c>
      <c r="B206" s="1">
        <v>154</v>
      </c>
      <c r="C206" s="1" t="s">
        <v>21</v>
      </c>
      <c r="D206" s="1">
        <v>2</v>
      </c>
      <c r="E206" s="1" t="s">
        <v>14</v>
      </c>
      <c r="F206" s="1">
        <v>15</v>
      </c>
      <c r="G206" s="1">
        <v>9</v>
      </c>
      <c r="H206" s="1" t="s">
        <v>108</v>
      </c>
      <c r="I206" s="1" t="s">
        <v>23</v>
      </c>
      <c r="J206" s="1" t="s">
        <v>115</v>
      </c>
      <c r="K206" s="1" t="s">
        <v>214</v>
      </c>
      <c r="L206" s="1" t="s">
        <v>355</v>
      </c>
      <c r="M206" t="str">
        <f t="shared" si="18"/>
        <v>Cook</v>
      </c>
      <c r="N206" t="str">
        <f t="shared" si="19"/>
        <v>Kerridge</v>
      </c>
      <c r="O206" t="str">
        <f t="shared" si="20"/>
        <v>Erick Diaz</v>
      </c>
      <c r="P206" t="str">
        <f t="shared" si="21"/>
        <v>Loïacono</v>
      </c>
      <c r="Q206">
        <f t="shared" si="22"/>
        <v>1</v>
      </c>
      <c r="R206" t="str">
        <f t="shared" si="23"/>
        <v>Cook-Kerridge-Erick Diaz-Loïacono</v>
      </c>
    </row>
    <row r="207" spans="1:18" x14ac:dyDescent="0.25">
      <c r="A207" s="1" t="s">
        <v>213</v>
      </c>
      <c r="B207" s="1">
        <v>156</v>
      </c>
      <c r="C207" s="1" t="s">
        <v>24</v>
      </c>
      <c r="D207" s="1">
        <v>1</v>
      </c>
      <c r="E207" s="1" t="s">
        <v>14</v>
      </c>
      <c r="F207" s="1">
        <v>15</v>
      </c>
      <c r="G207" s="1">
        <v>12</v>
      </c>
      <c r="H207" s="1" t="s">
        <v>108</v>
      </c>
      <c r="I207" s="1" t="s">
        <v>26</v>
      </c>
      <c r="J207" s="1" t="s">
        <v>117</v>
      </c>
      <c r="K207" s="1" t="s">
        <v>214</v>
      </c>
      <c r="L207" s="1" t="s">
        <v>355</v>
      </c>
      <c r="M207" t="str">
        <f t="shared" si="18"/>
        <v>Jackson</v>
      </c>
      <c r="N207" t="str">
        <f t="shared" si="19"/>
        <v>Douglas</v>
      </c>
      <c r="O207" t="str">
        <f t="shared" si="20"/>
        <v>Islas</v>
      </c>
      <c r="P207" t="str">
        <f t="shared" si="21"/>
        <v>Rueda</v>
      </c>
      <c r="Q207">
        <f t="shared" si="22"/>
        <v>1</v>
      </c>
      <c r="R207" t="str">
        <f t="shared" si="23"/>
        <v>Jackson-Douglas-Islas-Rueda</v>
      </c>
    </row>
    <row r="208" spans="1:18" x14ac:dyDescent="0.25">
      <c r="A208" s="1" t="s">
        <v>213</v>
      </c>
      <c r="B208" s="1">
        <v>157</v>
      </c>
      <c r="C208" s="1" t="s">
        <v>24</v>
      </c>
      <c r="D208" s="1">
        <v>2</v>
      </c>
      <c r="E208" s="1" t="s">
        <v>14</v>
      </c>
      <c r="F208" s="1">
        <v>15</v>
      </c>
      <c r="G208" s="1">
        <v>12</v>
      </c>
      <c r="H208" s="1" t="s">
        <v>108</v>
      </c>
      <c r="I208" s="1" t="s">
        <v>26</v>
      </c>
      <c r="J208" s="1" t="s">
        <v>117</v>
      </c>
      <c r="K208" s="1" t="s">
        <v>214</v>
      </c>
      <c r="L208" s="1" t="s">
        <v>355</v>
      </c>
      <c r="M208" t="str">
        <f t="shared" si="18"/>
        <v>Jackson</v>
      </c>
      <c r="N208" t="str">
        <f t="shared" si="19"/>
        <v>Douglas</v>
      </c>
      <c r="O208" t="str">
        <f t="shared" si="20"/>
        <v>Islas</v>
      </c>
      <c r="P208" t="str">
        <f t="shared" si="21"/>
        <v>Rueda</v>
      </c>
      <c r="Q208">
        <f t="shared" si="22"/>
        <v>1</v>
      </c>
      <c r="R208" t="str">
        <f t="shared" si="23"/>
        <v>Jackson-Douglas-Islas-Rueda</v>
      </c>
    </row>
    <row r="209" spans="1:18" x14ac:dyDescent="0.25">
      <c r="A209" s="1" t="s">
        <v>213</v>
      </c>
      <c r="B209" s="1">
        <v>159</v>
      </c>
      <c r="C209" s="1" t="s">
        <v>27</v>
      </c>
      <c r="D209" s="1">
        <v>1</v>
      </c>
      <c r="E209" s="1" t="s">
        <v>14</v>
      </c>
      <c r="F209" s="1">
        <v>15</v>
      </c>
      <c r="G209" s="1">
        <v>10</v>
      </c>
      <c r="H209" s="1" t="s">
        <v>108</v>
      </c>
      <c r="I209" s="1" t="s">
        <v>29</v>
      </c>
      <c r="J209" s="1" t="s">
        <v>119</v>
      </c>
      <c r="K209" s="1" t="s">
        <v>214</v>
      </c>
      <c r="L209" s="1" t="s">
        <v>355</v>
      </c>
      <c r="M209" t="str">
        <f t="shared" si="18"/>
        <v>Sayyed</v>
      </c>
      <c r="N209" t="str">
        <f t="shared" si="19"/>
        <v>Powell</v>
      </c>
      <c r="O209" t="str">
        <f t="shared" si="20"/>
        <v>Durazo</v>
      </c>
      <c r="P209" t="str">
        <f t="shared" si="21"/>
        <v>Einar Diaz</v>
      </c>
      <c r="Q209">
        <f t="shared" si="22"/>
        <v>1</v>
      </c>
      <c r="R209" t="str">
        <f t="shared" si="23"/>
        <v>Sayyed-Powell-Durazo-Einar Diaz</v>
      </c>
    </row>
    <row r="210" spans="1:18" x14ac:dyDescent="0.25">
      <c r="A210" s="1" t="s">
        <v>213</v>
      </c>
      <c r="B210" s="1">
        <v>160</v>
      </c>
      <c r="C210" s="1" t="s">
        <v>27</v>
      </c>
      <c r="D210" s="1">
        <v>2</v>
      </c>
      <c r="E210" s="1" t="s">
        <v>14</v>
      </c>
      <c r="F210" s="1">
        <v>15</v>
      </c>
      <c r="G210" s="1">
        <v>10</v>
      </c>
      <c r="H210" s="1" t="s">
        <v>108</v>
      </c>
      <c r="I210" s="1" t="s">
        <v>29</v>
      </c>
      <c r="J210" s="1" t="s">
        <v>119</v>
      </c>
      <c r="K210" s="1" t="s">
        <v>214</v>
      </c>
      <c r="L210" s="1" t="s">
        <v>355</v>
      </c>
      <c r="M210" t="str">
        <f t="shared" si="18"/>
        <v>Sayyed</v>
      </c>
      <c r="N210" t="str">
        <f t="shared" si="19"/>
        <v>Powell</v>
      </c>
      <c r="O210" t="str">
        <f t="shared" si="20"/>
        <v>Durazo</v>
      </c>
      <c r="P210" t="str">
        <f t="shared" si="21"/>
        <v>Einar Diaz</v>
      </c>
      <c r="Q210">
        <f t="shared" si="22"/>
        <v>1</v>
      </c>
      <c r="R210" t="str">
        <f t="shared" si="23"/>
        <v>Sayyed-Powell-Durazo-Einar Diaz</v>
      </c>
    </row>
    <row r="211" spans="1:18" x14ac:dyDescent="0.25">
      <c r="A211" s="1" t="s">
        <v>213</v>
      </c>
      <c r="B211" s="1">
        <v>165</v>
      </c>
      <c r="C211" s="1" t="s">
        <v>12</v>
      </c>
      <c r="D211" s="1">
        <v>1</v>
      </c>
      <c r="E211" s="1" t="s">
        <v>182</v>
      </c>
      <c r="F211" s="1">
        <v>17</v>
      </c>
      <c r="G211" s="1">
        <v>15</v>
      </c>
      <c r="H211" s="1" t="s">
        <v>83</v>
      </c>
      <c r="I211" s="1" t="s">
        <v>184</v>
      </c>
      <c r="J211" s="1" t="s">
        <v>85</v>
      </c>
      <c r="K211" s="1" t="s">
        <v>214</v>
      </c>
      <c r="L211" s="1" t="s">
        <v>355</v>
      </c>
      <c r="M211" t="str">
        <f t="shared" si="18"/>
        <v>Campos</v>
      </c>
      <c r="N211" t="str">
        <f t="shared" si="19"/>
        <v>Forschner</v>
      </c>
      <c r="O211" t="str">
        <f t="shared" si="20"/>
        <v>Hanisch</v>
      </c>
      <c r="P211" t="str">
        <f t="shared" si="21"/>
        <v>Aasen</v>
      </c>
      <c r="Q211">
        <f t="shared" si="22"/>
        <v>1</v>
      </c>
      <c r="R211" t="str">
        <f t="shared" si="23"/>
        <v>Campos-Forschner-Hanisch-Aasen</v>
      </c>
    </row>
    <row r="212" spans="1:18" x14ac:dyDescent="0.25">
      <c r="A212" s="1" t="s">
        <v>213</v>
      </c>
      <c r="B212" s="1">
        <v>166</v>
      </c>
      <c r="C212" s="1" t="s">
        <v>12</v>
      </c>
      <c r="D212" s="1">
        <v>2</v>
      </c>
      <c r="E212" s="1" t="s">
        <v>182</v>
      </c>
      <c r="F212" s="1">
        <v>15</v>
      </c>
      <c r="G212" s="1">
        <v>12</v>
      </c>
      <c r="H212" s="1" t="s">
        <v>83</v>
      </c>
      <c r="I212" s="1" t="s">
        <v>184</v>
      </c>
      <c r="J212" s="1" t="s">
        <v>85</v>
      </c>
      <c r="K212" s="1" t="s">
        <v>214</v>
      </c>
      <c r="L212" s="1" t="s">
        <v>355</v>
      </c>
      <c r="M212" t="str">
        <f t="shared" si="18"/>
        <v>Campos</v>
      </c>
      <c r="N212" t="str">
        <f t="shared" si="19"/>
        <v>Forschner</v>
      </c>
      <c r="O212" t="str">
        <f t="shared" si="20"/>
        <v>Hanisch</v>
      </c>
      <c r="P212" t="str">
        <f t="shared" si="21"/>
        <v>Aasen</v>
      </c>
      <c r="Q212">
        <f t="shared" si="22"/>
        <v>1</v>
      </c>
      <c r="R212" t="str">
        <f t="shared" si="23"/>
        <v>Campos-Forschner-Hanisch-Aasen</v>
      </c>
    </row>
    <row r="213" spans="1:18" x14ac:dyDescent="0.25">
      <c r="A213" s="1" t="s">
        <v>213</v>
      </c>
      <c r="B213" s="1">
        <v>168</v>
      </c>
      <c r="C213" s="1" t="s">
        <v>18</v>
      </c>
      <c r="D213" s="1">
        <v>1</v>
      </c>
      <c r="E213" s="1" t="s">
        <v>182</v>
      </c>
      <c r="F213" s="1">
        <v>20</v>
      </c>
      <c r="G213" s="1">
        <v>21</v>
      </c>
      <c r="H213" s="1" t="s">
        <v>83</v>
      </c>
      <c r="I213" s="1" t="s">
        <v>187</v>
      </c>
      <c r="J213" s="1" t="s">
        <v>88</v>
      </c>
      <c r="K213" s="1" t="s">
        <v>214</v>
      </c>
      <c r="L213" s="1" t="s">
        <v>355</v>
      </c>
      <c r="M213" t="str">
        <f t="shared" si="18"/>
        <v>E. Cuesta</v>
      </c>
      <c r="N213" t="str">
        <f t="shared" si="19"/>
        <v>G. Cuesta</v>
      </c>
      <c r="O213" t="str">
        <f t="shared" si="20"/>
        <v>Steinsholt</v>
      </c>
      <c r="P213" t="str">
        <f t="shared" si="21"/>
        <v>Kuehl</v>
      </c>
      <c r="Q213">
        <f t="shared" si="22"/>
        <v>0</v>
      </c>
      <c r="R213" t="str">
        <f t="shared" si="23"/>
        <v>E. Cuesta-G. Cuesta-Steinsholt-Kuehl</v>
      </c>
    </row>
    <row r="214" spans="1:18" x14ac:dyDescent="0.25">
      <c r="A214" s="1" t="s">
        <v>213</v>
      </c>
      <c r="B214" s="1">
        <v>169</v>
      </c>
      <c r="C214" s="1" t="s">
        <v>18</v>
      </c>
      <c r="D214" s="1">
        <v>2</v>
      </c>
      <c r="E214" s="1" t="s">
        <v>182</v>
      </c>
      <c r="F214" s="1">
        <v>9</v>
      </c>
      <c r="G214" s="1">
        <v>9</v>
      </c>
      <c r="H214" s="1" t="s">
        <v>83</v>
      </c>
      <c r="I214" s="1" t="s">
        <v>187</v>
      </c>
      <c r="J214" s="1" t="s">
        <v>88</v>
      </c>
      <c r="K214" s="1" t="s">
        <v>214</v>
      </c>
      <c r="L214" s="1" t="s">
        <v>355</v>
      </c>
      <c r="M214" t="str">
        <f t="shared" si="18"/>
        <v>E. Cuesta</v>
      </c>
      <c r="N214" t="str">
        <f t="shared" si="19"/>
        <v>G. Cuesta</v>
      </c>
      <c r="O214" t="str">
        <f t="shared" si="20"/>
        <v>Steinsholt</v>
      </c>
      <c r="P214" t="str">
        <f t="shared" si="21"/>
        <v>Kuehl</v>
      </c>
      <c r="Q214">
        <f t="shared" si="22"/>
        <v>0</v>
      </c>
      <c r="R214" t="str">
        <f t="shared" si="23"/>
        <v>E. Cuesta-G. Cuesta-Steinsholt-Kuehl</v>
      </c>
    </row>
    <row r="215" spans="1:18" x14ac:dyDescent="0.25">
      <c r="A215" s="1" t="s">
        <v>213</v>
      </c>
      <c r="B215" s="1">
        <v>171</v>
      </c>
      <c r="C215" s="1" t="s">
        <v>21</v>
      </c>
      <c r="D215" s="1">
        <v>1</v>
      </c>
      <c r="E215" s="1" t="s">
        <v>182</v>
      </c>
      <c r="F215" s="1">
        <v>15</v>
      </c>
      <c r="G215" s="1">
        <v>8</v>
      </c>
      <c r="H215" s="1" t="s">
        <v>83</v>
      </c>
      <c r="I215" s="1" t="s">
        <v>379</v>
      </c>
      <c r="J215" s="1" t="s">
        <v>90</v>
      </c>
      <c r="K215" s="1" t="s">
        <v>214</v>
      </c>
      <c r="L215" s="1" t="s">
        <v>355</v>
      </c>
      <c r="M215" t="str">
        <f t="shared" si="18"/>
        <v>Navio</v>
      </c>
      <c r="N215" t="str">
        <f t="shared" si="19"/>
        <v>M. Egea</v>
      </c>
      <c r="O215" t="str">
        <f t="shared" si="20"/>
        <v>Sund-Olsen</v>
      </c>
      <c r="P215" t="str">
        <f t="shared" si="21"/>
        <v>Strandin</v>
      </c>
      <c r="Q215">
        <f t="shared" si="22"/>
        <v>1</v>
      </c>
      <c r="R215" t="str">
        <f t="shared" si="23"/>
        <v>Navio-M. Egea-Sund-Olsen-Strandin</v>
      </c>
    </row>
    <row r="216" spans="1:18" x14ac:dyDescent="0.25">
      <c r="A216" s="1" t="s">
        <v>213</v>
      </c>
      <c r="B216" s="1">
        <v>172</v>
      </c>
      <c r="C216" s="1" t="s">
        <v>21</v>
      </c>
      <c r="D216" s="1">
        <v>2</v>
      </c>
      <c r="E216" s="1" t="s">
        <v>182</v>
      </c>
      <c r="F216" s="1">
        <v>10</v>
      </c>
      <c r="G216" s="1">
        <v>10</v>
      </c>
      <c r="H216" s="1" t="s">
        <v>83</v>
      </c>
      <c r="I216" s="1" t="s">
        <v>379</v>
      </c>
      <c r="J216" s="1" t="s">
        <v>90</v>
      </c>
      <c r="K216" s="1" t="s">
        <v>214</v>
      </c>
      <c r="L216" s="1" t="s">
        <v>355</v>
      </c>
      <c r="M216" t="str">
        <f t="shared" si="18"/>
        <v>Navio</v>
      </c>
      <c r="N216" t="str">
        <f t="shared" si="19"/>
        <v>M. Egea</v>
      </c>
      <c r="O216" t="str">
        <f t="shared" si="20"/>
        <v>Sund-Olsen</v>
      </c>
      <c r="P216" t="str">
        <f t="shared" si="21"/>
        <v>Strandin</v>
      </c>
      <c r="Q216">
        <f t="shared" si="22"/>
        <v>0</v>
      </c>
      <c r="R216" t="str">
        <f t="shared" si="23"/>
        <v>Navio-M. Egea-Sund-Olsen-Strandin</v>
      </c>
    </row>
    <row r="217" spans="1:18" x14ac:dyDescent="0.25">
      <c r="A217" s="1" t="s">
        <v>213</v>
      </c>
      <c r="B217" s="1">
        <v>173</v>
      </c>
      <c r="C217" s="1" t="s">
        <v>21</v>
      </c>
      <c r="D217" s="1">
        <v>3</v>
      </c>
      <c r="E217" s="1" t="s">
        <v>182</v>
      </c>
      <c r="F217" s="1">
        <v>11</v>
      </c>
      <c r="G217" s="1">
        <v>11</v>
      </c>
      <c r="H217" s="1" t="s">
        <v>83</v>
      </c>
      <c r="I217" s="1" t="s">
        <v>379</v>
      </c>
      <c r="J217" s="1" t="s">
        <v>90</v>
      </c>
      <c r="K217" s="1" t="s">
        <v>214</v>
      </c>
      <c r="L217" s="1" t="s">
        <v>355</v>
      </c>
      <c r="M217" t="str">
        <f t="shared" si="18"/>
        <v>Navio</v>
      </c>
      <c r="N217" t="str">
        <f t="shared" si="19"/>
        <v>M. Egea</v>
      </c>
      <c r="O217" t="str">
        <f t="shared" si="20"/>
        <v>Sund-Olsen</v>
      </c>
      <c r="P217" t="str">
        <f t="shared" si="21"/>
        <v>Strandin</v>
      </c>
      <c r="Q217">
        <f t="shared" si="22"/>
        <v>0</v>
      </c>
      <c r="R217" t="str">
        <f t="shared" si="23"/>
        <v>Navio-M. Egea-Sund-Olsen-Strandin</v>
      </c>
    </row>
    <row r="218" spans="1:18" x14ac:dyDescent="0.25">
      <c r="A218" s="1" t="s">
        <v>213</v>
      </c>
      <c r="B218" s="1">
        <v>174</v>
      </c>
      <c r="C218" s="1" t="s">
        <v>24</v>
      </c>
      <c r="D218" s="1">
        <v>1</v>
      </c>
      <c r="E218" s="1" t="s">
        <v>182</v>
      </c>
      <c r="F218" s="1">
        <v>15</v>
      </c>
      <c r="G218" s="1">
        <v>11</v>
      </c>
      <c r="H218" s="1" t="s">
        <v>83</v>
      </c>
      <c r="I218" s="1" t="s">
        <v>380</v>
      </c>
      <c r="J218" s="1" t="s">
        <v>92</v>
      </c>
      <c r="K218" s="1" t="s">
        <v>214</v>
      </c>
      <c r="L218" s="1" t="s">
        <v>355</v>
      </c>
      <c r="M218" t="str">
        <f t="shared" si="18"/>
        <v>Luna</v>
      </c>
      <c r="N218" t="str">
        <f t="shared" si="19"/>
        <v>D. Egea</v>
      </c>
      <c r="O218" t="str">
        <f t="shared" si="20"/>
        <v>Helland</v>
      </c>
      <c r="P218" t="str">
        <f t="shared" si="21"/>
        <v>Abrahamsen</v>
      </c>
      <c r="Q218">
        <f t="shared" si="22"/>
        <v>1</v>
      </c>
      <c r="R218" t="str">
        <f t="shared" si="23"/>
        <v>Luna-D. Egea-Helland-Abrahamsen</v>
      </c>
    </row>
    <row r="219" spans="1:18" x14ac:dyDescent="0.25">
      <c r="A219" s="1" t="s">
        <v>213</v>
      </c>
      <c r="B219" s="1">
        <v>175</v>
      </c>
      <c r="C219" s="1" t="s">
        <v>24</v>
      </c>
      <c r="D219" s="1">
        <v>2</v>
      </c>
      <c r="E219" s="1" t="s">
        <v>182</v>
      </c>
      <c r="F219" s="1">
        <v>15</v>
      </c>
      <c r="G219" s="1">
        <v>12</v>
      </c>
      <c r="H219" s="1" t="s">
        <v>83</v>
      </c>
      <c r="I219" s="1" t="s">
        <v>380</v>
      </c>
      <c r="J219" s="1" t="s">
        <v>92</v>
      </c>
      <c r="K219" s="1" t="s">
        <v>214</v>
      </c>
      <c r="L219" s="1" t="s">
        <v>355</v>
      </c>
      <c r="M219" t="str">
        <f t="shared" si="18"/>
        <v>Luna</v>
      </c>
      <c r="N219" t="str">
        <f t="shared" si="19"/>
        <v>D. Egea</v>
      </c>
      <c r="O219" t="str">
        <f t="shared" si="20"/>
        <v>Helland</v>
      </c>
      <c r="P219" t="str">
        <f t="shared" si="21"/>
        <v>Abrahamsen</v>
      </c>
      <c r="Q219">
        <f t="shared" si="22"/>
        <v>1</v>
      </c>
      <c r="R219" t="str">
        <f t="shared" si="23"/>
        <v>Luna-D. Egea-Helland-Abrahamsen</v>
      </c>
    </row>
    <row r="220" spans="1:18" x14ac:dyDescent="0.25">
      <c r="A220" s="1" t="s">
        <v>213</v>
      </c>
      <c r="B220" s="1">
        <v>177</v>
      </c>
      <c r="C220" s="1" t="s">
        <v>27</v>
      </c>
      <c r="D220" s="1">
        <v>1</v>
      </c>
      <c r="E220" s="1" t="s">
        <v>182</v>
      </c>
      <c r="F220" s="1">
        <v>15</v>
      </c>
      <c r="G220" s="1">
        <v>8</v>
      </c>
      <c r="H220" s="1" t="s">
        <v>83</v>
      </c>
      <c r="I220" s="1" t="s">
        <v>193</v>
      </c>
      <c r="J220" s="1" t="s">
        <v>419</v>
      </c>
      <c r="K220" s="1" t="s">
        <v>214</v>
      </c>
      <c r="L220" s="1" t="s">
        <v>355</v>
      </c>
      <c r="M220" t="str">
        <f t="shared" si="18"/>
        <v>Muratel</v>
      </c>
      <c r="N220" t="str">
        <f t="shared" si="19"/>
        <v>Gonzalez</v>
      </c>
      <c r="O220" t="str">
        <f t="shared" si="20"/>
        <v>J. Modalsli</v>
      </c>
      <c r="P220" t="str">
        <f t="shared" si="21"/>
        <v>Tønne-Johansen</v>
      </c>
      <c r="Q220">
        <f t="shared" si="22"/>
        <v>1</v>
      </c>
      <c r="R220" t="str">
        <f t="shared" si="23"/>
        <v>Muratel-Gonzalez-J. Modalsli-Tønne-Johansen</v>
      </c>
    </row>
    <row r="221" spans="1:18" x14ac:dyDescent="0.25">
      <c r="A221" s="1" t="s">
        <v>213</v>
      </c>
      <c r="B221" s="1">
        <v>178</v>
      </c>
      <c r="C221" s="1" t="s">
        <v>27</v>
      </c>
      <c r="D221" s="1">
        <v>2</v>
      </c>
      <c r="E221" s="1" t="s">
        <v>182</v>
      </c>
      <c r="F221" s="1">
        <v>15</v>
      </c>
      <c r="G221" s="1">
        <v>9</v>
      </c>
      <c r="H221" s="1" t="s">
        <v>83</v>
      </c>
      <c r="I221" s="1" t="s">
        <v>193</v>
      </c>
      <c r="J221" s="1" t="s">
        <v>419</v>
      </c>
      <c r="K221" s="1" t="s">
        <v>214</v>
      </c>
      <c r="L221" s="1" t="s">
        <v>355</v>
      </c>
      <c r="M221" t="str">
        <f t="shared" si="18"/>
        <v>Muratel</v>
      </c>
      <c r="N221" t="str">
        <f t="shared" si="19"/>
        <v>Gonzalez</v>
      </c>
      <c r="O221" t="str">
        <f t="shared" si="20"/>
        <v>J. Modalsli</v>
      </c>
      <c r="P221" t="str">
        <f t="shared" si="21"/>
        <v>Tønne-Johansen</v>
      </c>
      <c r="Q221">
        <f t="shared" si="22"/>
        <v>1</v>
      </c>
      <c r="R221" t="str">
        <f t="shared" si="23"/>
        <v>Muratel-Gonzalez-J. Modalsli-Tønne-Johansen</v>
      </c>
    </row>
    <row r="222" spans="1:18" x14ac:dyDescent="0.25">
      <c r="A222" s="1" t="s">
        <v>213</v>
      </c>
      <c r="B222" s="1">
        <v>183</v>
      </c>
      <c r="C222" s="1" t="s">
        <v>12</v>
      </c>
      <c r="D222" s="1">
        <v>1</v>
      </c>
      <c r="E222" s="1" t="s">
        <v>13</v>
      </c>
      <c r="F222" s="1">
        <v>15</v>
      </c>
      <c r="G222" s="1">
        <v>12</v>
      </c>
      <c r="H222" s="1" t="s">
        <v>69</v>
      </c>
      <c r="I222" s="1" t="s">
        <v>408</v>
      </c>
      <c r="J222" s="1" t="s">
        <v>425</v>
      </c>
      <c r="K222" s="1" t="s">
        <v>214</v>
      </c>
      <c r="L222" s="1" t="s">
        <v>355</v>
      </c>
      <c r="M222" t="str">
        <f t="shared" si="18"/>
        <v>Kaldor</v>
      </c>
      <c r="N222" t="str">
        <f t="shared" si="19"/>
        <v>J. Read</v>
      </c>
      <c r="O222" t="str">
        <f t="shared" si="20"/>
        <v>Mi. Jaunpetrovičs</v>
      </c>
      <c r="P222" t="str">
        <f t="shared" si="21"/>
        <v>Repels</v>
      </c>
      <c r="Q222">
        <f t="shared" si="22"/>
        <v>1</v>
      </c>
      <c r="R222" t="str">
        <f t="shared" si="23"/>
        <v>Kaldor-J. Read-Mi. Jaunpetrovičs-Repels</v>
      </c>
    </row>
    <row r="223" spans="1:18" x14ac:dyDescent="0.25">
      <c r="A223" s="1" t="s">
        <v>213</v>
      </c>
      <c r="B223" s="1">
        <v>184</v>
      </c>
      <c r="C223" s="1" t="s">
        <v>12</v>
      </c>
      <c r="D223" s="1">
        <v>2</v>
      </c>
      <c r="E223" s="1" t="s">
        <v>13</v>
      </c>
      <c r="F223" s="1">
        <v>5</v>
      </c>
      <c r="G223" s="1">
        <v>6</v>
      </c>
      <c r="H223" s="1" t="s">
        <v>69</v>
      </c>
      <c r="I223" s="1" t="s">
        <v>408</v>
      </c>
      <c r="J223" s="1" t="s">
        <v>425</v>
      </c>
      <c r="K223" s="1" t="s">
        <v>214</v>
      </c>
      <c r="L223" s="1" t="s">
        <v>355</v>
      </c>
      <c r="M223" t="str">
        <f t="shared" si="18"/>
        <v>Kaldor</v>
      </c>
      <c r="N223" t="str">
        <f t="shared" si="19"/>
        <v>J. Read</v>
      </c>
      <c r="O223" t="str">
        <f t="shared" si="20"/>
        <v>Mi. Jaunpetrovičs</v>
      </c>
      <c r="P223" t="str">
        <f t="shared" si="21"/>
        <v>Repels</v>
      </c>
      <c r="Q223">
        <f t="shared" si="22"/>
        <v>0</v>
      </c>
      <c r="R223" t="str">
        <f t="shared" si="23"/>
        <v>Kaldor-J. Read-Mi. Jaunpetrovičs-Repels</v>
      </c>
    </row>
    <row r="224" spans="1:18" x14ac:dyDescent="0.25">
      <c r="A224" s="1" t="s">
        <v>213</v>
      </c>
      <c r="B224" s="1">
        <v>186</v>
      </c>
      <c r="C224" s="1" t="s">
        <v>18</v>
      </c>
      <c r="D224" s="1">
        <v>1</v>
      </c>
      <c r="E224" s="1" t="s">
        <v>13</v>
      </c>
      <c r="F224" s="1">
        <v>15</v>
      </c>
      <c r="G224" s="1">
        <v>5</v>
      </c>
      <c r="H224" s="1" t="s">
        <v>69</v>
      </c>
      <c r="I224" s="1" t="s">
        <v>19</v>
      </c>
      <c r="J224" s="1" t="s">
        <v>74</v>
      </c>
      <c r="K224" s="1" t="s">
        <v>214</v>
      </c>
      <c r="L224" s="1" t="s">
        <v>355</v>
      </c>
      <c r="M224" t="str">
        <f t="shared" si="18"/>
        <v>Geyer</v>
      </c>
      <c r="N224" t="str">
        <f t="shared" si="19"/>
        <v>Noble</v>
      </c>
      <c r="O224" t="str">
        <f t="shared" si="20"/>
        <v>Juška</v>
      </c>
      <c r="P224" t="str">
        <f t="shared" si="21"/>
        <v>Vanags</v>
      </c>
      <c r="Q224">
        <f t="shared" si="22"/>
        <v>1</v>
      </c>
      <c r="R224" t="str">
        <f t="shared" si="23"/>
        <v>Geyer-Noble-Juška-Vanags</v>
      </c>
    </row>
    <row r="225" spans="1:18" x14ac:dyDescent="0.25">
      <c r="A225" s="1" t="s">
        <v>213</v>
      </c>
      <c r="B225" s="1">
        <v>187</v>
      </c>
      <c r="C225" s="1" t="s">
        <v>18</v>
      </c>
      <c r="D225" s="1">
        <v>2</v>
      </c>
      <c r="E225" s="1" t="s">
        <v>13</v>
      </c>
      <c r="F225" s="1">
        <v>15</v>
      </c>
      <c r="G225" s="1">
        <v>11</v>
      </c>
      <c r="H225" s="1" t="s">
        <v>69</v>
      </c>
      <c r="I225" s="1" t="s">
        <v>19</v>
      </c>
      <c r="J225" s="1" t="s">
        <v>74</v>
      </c>
      <c r="K225" s="1" t="s">
        <v>214</v>
      </c>
      <c r="L225" s="1" t="s">
        <v>355</v>
      </c>
      <c r="M225" t="str">
        <f t="shared" si="18"/>
        <v>Geyer</v>
      </c>
      <c r="N225" t="str">
        <f t="shared" si="19"/>
        <v>Noble</v>
      </c>
      <c r="O225" t="str">
        <f t="shared" si="20"/>
        <v>Juška</v>
      </c>
      <c r="P225" t="str">
        <f t="shared" si="21"/>
        <v>Vanags</v>
      </c>
      <c r="Q225">
        <f t="shared" si="22"/>
        <v>1</v>
      </c>
      <c r="R225" t="str">
        <f t="shared" si="23"/>
        <v>Geyer-Noble-Juška-Vanags</v>
      </c>
    </row>
    <row r="226" spans="1:18" x14ac:dyDescent="0.25">
      <c r="A226" s="1" t="s">
        <v>213</v>
      </c>
      <c r="B226" s="1">
        <v>189</v>
      </c>
      <c r="C226" s="1" t="s">
        <v>21</v>
      </c>
      <c r="D226" s="1">
        <v>1</v>
      </c>
      <c r="E226" s="1" t="s">
        <v>13</v>
      </c>
      <c r="F226" s="1">
        <v>15</v>
      </c>
      <c r="G226" s="1">
        <v>10</v>
      </c>
      <c r="H226" s="1" t="s">
        <v>69</v>
      </c>
      <c r="I226" s="1" t="s">
        <v>427</v>
      </c>
      <c r="J226" s="1" t="s">
        <v>426</v>
      </c>
      <c r="K226" s="1" t="s">
        <v>214</v>
      </c>
      <c r="L226" s="1" t="s">
        <v>355</v>
      </c>
      <c r="M226" t="str">
        <f t="shared" si="18"/>
        <v>Briant</v>
      </c>
      <c r="N226" t="str">
        <f t="shared" si="19"/>
        <v>N. Wong</v>
      </c>
      <c r="O226" t="str">
        <f t="shared" si="20"/>
        <v>Ma. Jaunpetrovičs</v>
      </c>
      <c r="P226" t="str">
        <f t="shared" si="21"/>
        <v>Kaupers</v>
      </c>
      <c r="Q226">
        <f t="shared" si="22"/>
        <v>1</v>
      </c>
      <c r="R226" t="str">
        <f t="shared" si="23"/>
        <v>Briant-N. Wong-Ma. Jaunpetrovičs-Kaupers</v>
      </c>
    </row>
    <row r="227" spans="1:18" x14ac:dyDescent="0.25">
      <c r="A227" s="1" t="s">
        <v>213</v>
      </c>
      <c r="B227" s="1">
        <v>190</v>
      </c>
      <c r="C227" s="1" t="s">
        <v>21</v>
      </c>
      <c r="D227" s="1">
        <v>2</v>
      </c>
      <c r="E227" s="1" t="s">
        <v>13</v>
      </c>
      <c r="F227" s="1">
        <v>12</v>
      </c>
      <c r="G227" s="1">
        <v>7</v>
      </c>
      <c r="H227" s="1" t="s">
        <v>69</v>
      </c>
      <c r="I227" s="1" t="s">
        <v>427</v>
      </c>
      <c r="J227" s="1" t="s">
        <v>426</v>
      </c>
      <c r="K227" s="1" t="s">
        <v>214</v>
      </c>
      <c r="L227" s="1" t="s">
        <v>355</v>
      </c>
      <c r="M227" t="str">
        <f t="shared" si="18"/>
        <v>Briant</v>
      </c>
      <c r="N227" t="str">
        <f t="shared" si="19"/>
        <v>N. Wong</v>
      </c>
      <c r="O227" t="str">
        <f t="shared" si="20"/>
        <v>Ma. Jaunpetrovičs</v>
      </c>
      <c r="P227" t="str">
        <f t="shared" si="21"/>
        <v>Kaupers</v>
      </c>
      <c r="Q227">
        <f t="shared" si="22"/>
        <v>1</v>
      </c>
      <c r="R227" t="str">
        <f t="shared" si="23"/>
        <v>Briant-N. Wong-Ma. Jaunpetrovičs-Kaupers</v>
      </c>
    </row>
    <row r="228" spans="1:18" x14ac:dyDescent="0.25">
      <c r="A228" s="1" t="s">
        <v>213</v>
      </c>
      <c r="B228" s="1">
        <v>192</v>
      </c>
      <c r="C228" s="1" t="s">
        <v>24</v>
      </c>
      <c r="D228" s="1">
        <v>1</v>
      </c>
      <c r="E228" s="1" t="s">
        <v>13</v>
      </c>
      <c r="F228" s="1">
        <v>15</v>
      </c>
      <c r="G228" s="1">
        <v>6</v>
      </c>
      <c r="H228" s="1" t="s">
        <v>69</v>
      </c>
      <c r="I228" s="1" t="s">
        <v>387</v>
      </c>
      <c r="J228" s="1" t="s">
        <v>78</v>
      </c>
      <c r="K228" s="1" t="s">
        <v>214</v>
      </c>
      <c r="L228" s="1" t="s">
        <v>355</v>
      </c>
      <c r="M228" t="str">
        <f t="shared" si="18"/>
        <v>Al. Capp</v>
      </c>
      <c r="N228" t="str">
        <f t="shared" si="19"/>
        <v>Ragg</v>
      </c>
      <c r="O228" t="str">
        <f t="shared" si="20"/>
        <v>Ernestsons</v>
      </c>
      <c r="P228" t="str">
        <f t="shared" si="21"/>
        <v>Matulis</v>
      </c>
      <c r="Q228">
        <f t="shared" si="22"/>
        <v>1</v>
      </c>
      <c r="R228" t="str">
        <f t="shared" si="23"/>
        <v>Al. Capp-Ragg-Ernestsons-Matulis</v>
      </c>
    </row>
    <row r="229" spans="1:18" x14ac:dyDescent="0.25">
      <c r="A229" s="1" t="s">
        <v>213</v>
      </c>
      <c r="B229" s="1">
        <v>193</v>
      </c>
      <c r="C229" s="1" t="s">
        <v>24</v>
      </c>
      <c r="D229" s="1">
        <v>2</v>
      </c>
      <c r="E229" s="1" t="s">
        <v>13</v>
      </c>
      <c r="F229" s="1">
        <v>15</v>
      </c>
      <c r="G229" s="1">
        <v>7</v>
      </c>
      <c r="H229" s="1" t="s">
        <v>69</v>
      </c>
      <c r="I229" s="1" t="s">
        <v>387</v>
      </c>
      <c r="J229" s="1" t="s">
        <v>78</v>
      </c>
      <c r="K229" s="1" t="s">
        <v>214</v>
      </c>
      <c r="L229" s="1" t="s">
        <v>355</v>
      </c>
      <c r="M229" t="str">
        <f t="shared" si="18"/>
        <v>Al. Capp</v>
      </c>
      <c r="N229" t="str">
        <f t="shared" si="19"/>
        <v>Ragg</v>
      </c>
      <c r="O229" t="str">
        <f t="shared" si="20"/>
        <v>Ernestsons</v>
      </c>
      <c r="P229" t="str">
        <f t="shared" si="21"/>
        <v>Matulis</v>
      </c>
      <c r="Q229">
        <f t="shared" si="22"/>
        <v>1</v>
      </c>
      <c r="R229" t="str">
        <f t="shared" si="23"/>
        <v>Al. Capp-Ragg-Ernestsons-Matulis</v>
      </c>
    </row>
    <row r="230" spans="1:18" x14ac:dyDescent="0.25">
      <c r="A230" s="1" t="s">
        <v>213</v>
      </c>
      <c r="B230" s="1">
        <v>195</v>
      </c>
      <c r="C230" s="1" t="s">
        <v>27</v>
      </c>
      <c r="D230" s="1">
        <v>1</v>
      </c>
      <c r="E230" s="1" t="s">
        <v>13</v>
      </c>
      <c r="F230" s="1">
        <v>15</v>
      </c>
      <c r="G230" s="1">
        <v>9</v>
      </c>
      <c r="H230" s="1" t="s">
        <v>69</v>
      </c>
      <c r="I230" s="1" t="s">
        <v>28</v>
      </c>
      <c r="J230" s="1" t="s">
        <v>80</v>
      </c>
      <c r="K230" s="1" t="s">
        <v>214</v>
      </c>
      <c r="L230" s="1" t="s">
        <v>355</v>
      </c>
      <c r="M230" t="str">
        <f t="shared" si="18"/>
        <v>Nirens</v>
      </c>
      <c r="N230" t="str">
        <f t="shared" si="19"/>
        <v>Wise</v>
      </c>
      <c r="O230" t="str">
        <f t="shared" si="20"/>
        <v>Beļajevs</v>
      </c>
      <c r="P230" t="str">
        <f t="shared" si="21"/>
        <v>Briedis</v>
      </c>
      <c r="Q230">
        <f t="shared" si="22"/>
        <v>1</v>
      </c>
      <c r="R230" t="str">
        <f t="shared" si="23"/>
        <v>Nirens-Wise-Beļajevs-Briedis</v>
      </c>
    </row>
    <row r="231" spans="1:18" x14ac:dyDescent="0.25">
      <c r="A231" s="1" t="s">
        <v>213</v>
      </c>
      <c r="B231" s="1">
        <v>196</v>
      </c>
      <c r="C231" s="1" t="s">
        <v>27</v>
      </c>
      <c r="D231" s="1">
        <v>2</v>
      </c>
      <c r="E231" s="1" t="s">
        <v>13</v>
      </c>
      <c r="F231" s="1">
        <v>15</v>
      </c>
      <c r="G231" s="1">
        <v>6</v>
      </c>
      <c r="H231" s="1" t="s">
        <v>69</v>
      </c>
      <c r="I231" s="1" t="s">
        <v>28</v>
      </c>
      <c r="J231" s="1" t="s">
        <v>80</v>
      </c>
      <c r="K231" s="1" t="s">
        <v>214</v>
      </c>
      <c r="L231" s="1" t="s">
        <v>355</v>
      </c>
      <c r="M231" t="str">
        <f t="shared" si="18"/>
        <v>Nirens</v>
      </c>
      <c r="N231" t="str">
        <f t="shared" si="19"/>
        <v>Wise</v>
      </c>
      <c r="O231" t="str">
        <f t="shared" si="20"/>
        <v>Beļajevs</v>
      </c>
      <c r="P231" t="str">
        <f t="shared" si="21"/>
        <v>Briedis</v>
      </c>
      <c r="Q231">
        <f t="shared" si="22"/>
        <v>1</v>
      </c>
      <c r="R231" t="str">
        <f t="shared" si="23"/>
        <v>Nirens-Wise-Beļajevs-Briedis</v>
      </c>
    </row>
    <row r="232" spans="1:18" x14ac:dyDescent="0.25">
      <c r="A232" s="1" t="s">
        <v>213</v>
      </c>
      <c r="B232" s="1">
        <v>201</v>
      </c>
      <c r="C232" s="1" t="s">
        <v>12</v>
      </c>
      <c r="D232" s="1">
        <v>1</v>
      </c>
      <c r="E232" s="1" t="s">
        <v>30</v>
      </c>
      <c r="F232" s="1">
        <v>15</v>
      </c>
      <c r="G232" s="1">
        <v>10</v>
      </c>
      <c r="H232" s="1" t="s">
        <v>56</v>
      </c>
      <c r="I232" s="1" t="s">
        <v>32</v>
      </c>
      <c r="J232" s="1" t="s">
        <v>58</v>
      </c>
      <c r="K232" s="1" t="s">
        <v>214</v>
      </c>
      <c r="L232" s="1" t="s">
        <v>355</v>
      </c>
      <c r="M232" t="str">
        <f t="shared" si="18"/>
        <v>Vandaele</v>
      </c>
      <c r="N232" t="str">
        <f t="shared" si="19"/>
        <v>Van den Bergh</v>
      </c>
      <c r="O232" t="str">
        <f t="shared" si="20"/>
        <v>Ishii</v>
      </c>
      <c r="P232" t="str">
        <f t="shared" si="21"/>
        <v>Shimizu</v>
      </c>
      <c r="Q232">
        <f t="shared" si="22"/>
        <v>1</v>
      </c>
      <c r="R232" t="str">
        <f t="shared" si="23"/>
        <v>Vandaele-Van den Bergh-Ishii-Shimizu</v>
      </c>
    </row>
    <row r="233" spans="1:18" x14ac:dyDescent="0.25">
      <c r="A233" s="1" t="s">
        <v>213</v>
      </c>
      <c r="B233" s="1">
        <v>202</v>
      </c>
      <c r="C233" s="1" t="s">
        <v>12</v>
      </c>
      <c r="D233" s="1">
        <v>2</v>
      </c>
      <c r="E233" s="1" t="s">
        <v>30</v>
      </c>
      <c r="F233" s="1">
        <v>15</v>
      </c>
      <c r="G233" s="1">
        <v>8</v>
      </c>
      <c r="H233" s="1" t="s">
        <v>56</v>
      </c>
      <c r="I233" s="1" t="s">
        <v>32</v>
      </c>
      <c r="J233" s="1" t="s">
        <v>58</v>
      </c>
      <c r="K233" s="1" t="s">
        <v>214</v>
      </c>
      <c r="L233" s="1" t="s">
        <v>355</v>
      </c>
      <c r="M233" t="str">
        <f t="shared" si="18"/>
        <v>Vandaele</v>
      </c>
      <c r="N233" t="str">
        <f t="shared" si="19"/>
        <v>Van den Bergh</v>
      </c>
      <c r="O233" t="str">
        <f t="shared" si="20"/>
        <v>Ishii</v>
      </c>
      <c r="P233" t="str">
        <f t="shared" si="21"/>
        <v>Shimizu</v>
      </c>
      <c r="Q233">
        <f t="shared" si="22"/>
        <v>1</v>
      </c>
      <c r="R233" t="str">
        <f t="shared" si="23"/>
        <v>Vandaele-Van den Bergh-Ishii-Shimizu</v>
      </c>
    </row>
    <row r="234" spans="1:18" x14ac:dyDescent="0.25">
      <c r="A234" s="1" t="s">
        <v>213</v>
      </c>
      <c r="B234" s="1">
        <v>204</v>
      </c>
      <c r="C234" s="1" t="s">
        <v>18</v>
      </c>
      <c r="D234" s="1">
        <v>1</v>
      </c>
      <c r="E234" s="1" t="s">
        <v>30</v>
      </c>
      <c r="F234" s="1">
        <v>15</v>
      </c>
      <c r="G234" s="1">
        <v>11</v>
      </c>
      <c r="H234" s="1" t="s">
        <v>56</v>
      </c>
      <c r="I234" s="1" t="s">
        <v>35</v>
      </c>
      <c r="J234" s="1" t="s">
        <v>61</v>
      </c>
      <c r="K234" s="1" t="s">
        <v>214</v>
      </c>
      <c r="L234" s="1" t="s">
        <v>355</v>
      </c>
      <c r="M234" t="str">
        <f t="shared" si="18"/>
        <v>Theunis</v>
      </c>
      <c r="N234" t="str">
        <f t="shared" si="19"/>
        <v>Declercq</v>
      </c>
      <c r="O234" t="str">
        <f t="shared" si="20"/>
        <v>Nakamura</v>
      </c>
      <c r="P234" t="str">
        <f t="shared" si="21"/>
        <v>Takei</v>
      </c>
      <c r="Q234">
        <f t="shared" si="22"/>
        <v>1</v>
      </c>
      <c r="R234" t="str">
        <f t="shared" si="23"/>
        <v>Theunis-Declercq-Nakamura-Takei</v>
      </c>
    </row>
    <row r="235" spans="1:18" x14ac:dyDescent="0.25">
      <c r="A235" s="1" t="s">
        <v>213</v>
      </c>
      <c r="B235" s="1">
        <v>205</v>
      </c>
      <c r="C235" s="1" t="s">
        <v>18</v>
      </c>
      <c r="D235" s="1">
        <v>2</v>
      </c>
      <c r="E235" s="1" t="s">
        <v>30</v>
      </c>
      <c r="F235" s="1">
        <v>15</v>
      </c>
      <c r="G235" s="1">
        <v>12</v>
      </c>
      <c r="H235" s="1" t="s">
        <v>56</v>
      </c>
      <c r="I235" s="1" t="s">
        <v>35</v>
      </c>
      <c r="J235" s="1" t="s">
        <v>61</v>
      </c>
      <c r="K235" s="1" t="s">
        <v>214</v>
      </c>
      <c r="L235" s="1" t="s">
        <v>355</v>
      </c>
      <c r="M235" t="str">
        <f t="shared" si="18"/>
        <v>Theunis</v>
      </c>
      <c r="N235" t="str">
        <f t="shared" si="19"/>
        <v>Declercq</v>
      </c>
      <c r="O235" t="str">
        <f t="shared" si="20"/>
        <v>Nakamura</v>
      </c>
      <c r="P235" t="str">
        <f t="shared" si="21"/>
        <v>Takei</v>
      </c>
      <c r="Q235">
        <f t="shared" si="22"/>
        <v>1</v>
      </c>
      <c r="R235" t="str">
        <f t="shared" si="23"/>
        <v>Theunis-Declercq-Nakamura-Takei</v>
      </c>
    </row>
    <row r="236" spans="1:18" x14ac:dyDescent="0.25">
      <c r="A236" s="1" t="s">
        <v>213</v>
      </c>
      <c r="B236" s="1">
        <v>207</v>
      </c>
      <c r="C236" s="1" t="s">
        <v>21</v>
      </c>
      <c r="D236" s="1">
        <v>1</v>
      </c>
      <c r="E236" s="1" t="s">
        <v>30</v>
      </c>
      <c r="F236" s="1">
        <v>13</v>
      </c>
      <c r="G236" s="1">
        <v>15</v>
      </c>
      <c r="H236" s="1" t="s">
        <v>56</v>
      </c>
      <c r="I236" s="1" t="s">
        <v>409</v>
      </c>
      <c r="J236" s="1" t="s">
        <v>63</v>
      </c>
      <c r="K236" s="1" t="s">
        <v>214</v>
      </c>
      <c r="L236" s="1" t="s">
        <v>355</v>
      </c>
      <c r="M236" t="str">
        <f t="shared" si="18"/>
        <v>Jor. Neyens</v>
      </c>
      <c r="N236" t="str">
        <f t="shared" si="19"/>
        <v>Vlassaks</v>
      </c>
      <c r="O236" t="str">
        <f t="shared" si="20"/>
        <v>Tamaki</v>
      </c>
      <c r="P236" t="str">
        <f t="shared" si="21"/>
        <v>Pflaum</v>
      </c>
      <c r="Q236">
        <f t="shared" si="22"/>
        <v>0</v>
      </c>
      <c r="R236" t="str">
        <f t="shared" si="23"/>
        <v>Jor. Neyens-Vlassaks-Tamaki-Pflaum</v>
      </c>
    </row>
    <row r="237" spans="1:18" x14ac:dyDescent="0.25">
      <c r="A237" s="1" t="s">
        <v>213</v>
      </c>
      <c r="B237" s="1">
        <v>208</v>
      </c>
      <c r="C237" s="1" t="s">
        <v>21</v>
      </c>
      <c r="D237" s="1">
        <v>2</v>
      </c>
      <c r="E237" s="1" t="s">
        <v>30</v>
      </c>
      <c r="F237" s="1">
        <v>15</v>
      </c>
      <c r="G237" s="1">
        <v>9</v>
      </c>
      <c r="H237" s="1" t="s">
        <v>56</v>
      </c>
      <c r="I237" s="1" t="s">
        <v>409</v>
      </c>
      <c r="J237" s="1" t="s">
        <v>63</v>
      </c>
      <c r="K237" s="1" t="s">
        <v>214</v>
      </c>
      <c r="L237" s="1" t="s">
        <v>355</v>
      </c>
      <c r="M237" t="str">
        <f t="shared" si="18"/>
        <v>Jor. Neyens</v>
      </c>
      <c r="N237" t="str">
        <f t="shared" si="19"/>
        <v>Vlassaks</v>
      </c>
      <c r="O237" t="str">
        <f t="shared" si="20"/>
        <v>Tamaki</v>
      </c>
      <c r="P237" t="str">
        <f t="shared" si="21"/>
        <v>Pflaum</v>
      </c>
      <c r="Q237">
        <f t="shared" si="22"/>
        <v>1</v>
      </c>
      <c r="R237" t="str">
        <f t="shared" si="23"/>
        <v>Jor. Neyens-Vlassaks-Tamaki-Pflaum</v>
      </c>
    </row>
    <row r="238" spans="1:18" x14ac:dyDescent="0.25">
      <c r="A238" s="1" t="s">
        <v>213</v>
      </c>
      <c r="B238" s="1">
        <v>210</v>
      </c>
      <c r="C238" s="1" t="s">
        <v>24</v>
      </c>
      <c r="D238" s="1">
        <v>1</v>
      </c>
      <c r="E238" s="1" t="s">
        <v>30</v>
      </c>
      <c r="F238" s="1">
        <v>15</v>
      </c>
      <c r="G238" s="1">
        <v>8</v>
      </c>
      <c r="H238" s="1" t="s">
        <v>56</v>
      </c>
      <c r="I238" s="1" t="s">
        <v>39</v>
      </c>
      <c r="J238" s="1" t="s">
        <v>65</v>
      </c>
      <c r="K238" s="1" t="s">
        <v>214</v>
      </c>
      <c r="L238" s="1" t="s">
        <v>355</v>
      </c>
      <c r="M238" t="str">
        <f t="shared" si="18"/>
        <v>Vandamme</v>
      </c>
      <c r="N238" t="str">
        <f t="shared" si="19"/>
        <v>Hublet</v>
      </c>
      <c r="O238" t="str">
        <f t="shared" si="20"/>
        <v>Y. Sato</v>
      </c>
      <c r="P238" t="str">
        <f t="shared" si="21"/>
        <v>K. Sato</v>
      </c>
      <c r="Q238">
        <f t="shared" si="22"/>
        <v>1</v>
      </c>
      <c r="R238" t="str">
        <f t="shared" si="23"/>
        <v>Vandamme-Hublet-Y. Sato-K. Sato</v>
      </c>
    </row>
    <row r="239" spans="1:18" x14ac:dyDescent="0.25">
      <c r="A239" s="1" t="s">
        <v>213</v>
      </c>
      <c r="B239" s="1">
        <v>211</v>
      </c>
      <c r="C239" s="1" t="s">
        <v>24</v>
      </c>
      <c r="D239" s="1">
        <v>2</v>
      </c>
      <c r="E239" s="1" t="s">
        <v>30</v>
      </c>
      <c r="F239" s="1">
        <v>15</v>
      </c>
      <c r="G239" s="1">
        <v>13</v>
      </c>
      <c r="H239" s="1" t="s">
        <v>56</v>
      </c>
      <c r="I239" s="1" t="s">
        <v>39</v>
      </c>
      <c r="J239" s="1" t="s">
        <v>65</v>
      </c>
      <c r="K239" s="1" t="s">
        <v>214</v>
      </c>
      <c r="L239" s="1" t="s">
        <v>355</v>
      </c>
      <c r="M239" t="str">
        <f t="shared" si="18"/>
        <v>Vandamme</v>
      </c>
      <c r="N239" t="str">
        <f t="shared" si="19"/>
        <v>Hublet</v>
      </c>
      <c r="O239" t="str">
        <f t="shared" si="20"/>
        <v>Y. Sato</v>
      </c>
      <c r="P239" t="str">
        <f t="shared" si="21"/>
        <v>K. Sato</v>
      </c>
      <c r="Q239">
        <f t="shared" si="22"/>
        <v>1</v>
      </c>
      <c r="R239" t="str">
        <f t="shared" si="23"/>
        <v>Vandamme-Hublet-Y. Sato-K. Sato</v>
      </c>
    </row>
    <row r="240" spans="1:18" x14ac:dyDescent="0.25">
      <c r="A240" s="1" t="s">
        <v>213</v>
      </c>
      <c r="B240" s="1">
        <v>213</v>
      </c>
      <c r="C240" s="1" t="s">
        <v>27</v>
      </c>
      <c r="D240" s="1">
        <v>1</v>
      </c>
      <c r="E240" s="1" t="s">
        <v>30</v>
      </c>
      <c r="F240" s="1">
        <v>15</v>
      </c>
      <c r="G240" s="1">
        <v>5</v>
      </c>
      <c r="H240" s="1" t="s">
        <v>56</v>
      </c>
      <c r="I240" s="1" t="s">
        <v>41</v>
      </c>
      <c r="J240" s="1" t="s">
        <v>416</v>
      </c>
      <c r="K240" s="1" t="s">
        <v>214</v>
      </c>
      <c r="L240" s="1" t="s">
        <v>355</v>
      </c>
      <c r="M240" t="str">
        <f t="shared" si="18"/>
        <v>M. Paes</v>
      </c>
      <c r="N240" t="str">
        <f t="shared" si="19"/>
        <v>D. Paes</v>
      </c>
      <c r="O240" t="str">
        <f t="shared" si="20"/>
        <v>S. Imamura</v>
      </c>
      <c r="P240" t="str">
        <f t="shared" si="21"/>
        <v>T. Sato</v>
      </c>
      <c r="Q240">
        <f t="shared" si="22"/>
        <v>1</v>
      </c>
      <c r="R240" t="str">
        <f t="shared" si="23"/>
        <v>M. Paes-D. Paes-S. Imamura-T. Sato</v>
      </c>
    </row>
    <row r="241" spans="1:18" x14ac:dyDescent="0.25">
      <c r="A241" s="1" t="s">
        <v>213</v>
      </c>
      <c r="B241" s="1">
        <v>214</v>
      </c>
      <c r="C241" s="1" t="s">
        <v>27</v>
      </c>
      <c r="D241" s="1">
        <v>2</v>
      </c>
      <c r="E241" s="1" t="s">
        <v>30</v>
      </c>
      <c r="F241" s="1">
        <v>15</v>
      </c>
      <c r="G241" s="1">
        <v>11</v>
      </c>
      <c r="H241" s="1" t="s">
        <v>56</v>
      </c>
      <c r="I241" s="1" t="s">
        <v>41</v>
      </c>
      <c r="J241" s="1" t="s">
        <v>416</v>
      </c>
      <c r="K241" s="1" t="s">
        <v>214</v>
      </c>
      <c r="L241" s="1" t="s">
        <v>355</v>
      </c>
      <c r="M241" t="str">
        <f t="shared" si="18"/>
        <v>M. Paes</v>
      </c>
      <c r="N241" t="str">
        <f t="shared" si="19"/>
        <v>D. Paes</v>
      </c>
      <c r="O241" t="str">
        <f t="shared" si="20"/>
        <v>S. Imamura</v>
      </c>
      <c r="P241" t="str">
        <f t="shared" si="21"/>
        <v>T. Sato</v>
      </c>
      <c r="Q241">
        <f t="shared" si="22"/>
        <v>1</v>
      </c>
      <c r="R241" t="str">
        <f t="shared" si="23"/>
        <v>M. Paes-D. Paes-S. Imamura-T. Sato</v>
      </c>
    </row>
    <row r="242" spans="1:18" x14ac:dyDescent="0.25">
      <c r="A242" s="1" t="s">
        <v>213</v>
      </c>
      <c r="B242" s="1">
        <v>219</v>
      </c>
      <c r="C242" s="1" t="s">
        <v>12</v>
      </c>
      <c r="D242" s="1">
        <v>1</v>
      </c>
      <c r="E242" s="1" t="s">
        <v>181</v>
      </c>
      <c r="F242" s="1">
        <v>15</v>
      </c>
      <c r="G242" s="1">
        <v>8</v>
      </c>
      <c r="H242" s="1" t="s">
        <v>82</v>
      </c>
      <c r="I242" s="1" t="s">
        <v>183</v>
      </c>
      <c r="J242" s="1" t="s">
        <v>84</v>
      </c>
      <c r="K242" s="1" t="s">
        <v>214</v>
      </c>
      <c r="L242" s="1" t="s">
        <v>355</v>
      </c>
      <c r="M242" t="str">
        <f t="shared" si="18"/>
        <v>Christensen</v>
      </c>
      <c r="N242" t="str">
        <f t="shared" si="19"/>
        <v>Søvndal</v>
      </c>
      <c r="O242" t="str">
        <f t="shared" si="20"/>
        <v>Huang</v>
      </c>
      <c r="P242" t="str">
        <f t="shared" si="21"/>
        <v>Hirata</v>
      </c>
      <c r="Q242">
        <f t="shared" si="22"/>
        <v>1</v>
      </c>
      <c r="R242" t="str">
        <f t="shared" si="23"/>
        <v>Christensen-Søvndal-Huang-Hirata</v>
      </c>
    </row>
    <row r="243" spans="1:18" x14ac:dyDescent="0.25">
      <c r="A243" s="1" t="s">
        <v>213</v>
      </c>
      <c r="B243" s="1">
        <v>220</v>
      </c>
      <c r="C243" s="1" t="s">
        <v>12</v>
      </c>
      <c r="D243" s="1">
        <v>2</v>
      </c>
      <c r="E243" s="1" t="s">
        <v>181</v>
      </c>
      <c r="F243" s="1">
        <v>15</v>
      </c>
      <c r="G243" s="1">
        <v>13</v>
      </c>
      <c r="H243" s="1" t="s">
        <v>82</v>
      </c>
      <c r="I243" s="1" t="s">
        <v>183</v>
      </c>
      <c r="J243" s="1" t="s">
        <v>84</v>
      </c>
      <c r="K243" s="1" t="s">
        <v>214</v>
      </c>
      <c r="L243" s="1" t="s">
        <v>355</v>
      </c>
      <c r="M243" t="str">
        <f t="shared" si="18"/>
        <v>Christensen</v>
      </c>
      <c r="N243" t="str">
        <f t="shared" si="19"/>
        <v>Søvndal</v>
      </c>
      <c r="O243" t="str">
        <f t="shared" si="20"/>
        <v>Huang</v>
      </c>
      <c r="P243" t="str">
        <f t="shared" si="21"/>
        <v>Hirata</v>
      </c>
      <c r="Q243">
        <f t="shared" si="22"/>
        <v>1</v>
      </c>
      <c r="R243" t="str">
        <f t="shared" si="23"/>
        <v>Christensen-Søvndal-Huang-Hirata</v>
      </c>
    </row>
    <row r="244" spans="1:18" x14ac:dyDescent="0.25">
      <c r="A244" s="1" t="s">
        <v>213</v>
      </c>
      <c r="B244" s="1">
        <v>222</v>
      </c>
      <c r="C244" s="1" t="s">
        <v>18</v>
      </c>
      <c r="D244" s="1">
        <v>1</v>
      </c>
      <c r="E244" s="1" t="s">
        <v>181</v>
      </c>
      <c r="F244" s="1">
        <v>17</v>
      </c>
      <c r="G244" s="1">
        <v>15</v>
      </c>
      <c r="H244" s="1" t="s">
        <v>82</v>
      </c>
      <c r="I244" s="1" t="s">
        <v>186</v>
      </c>
      <c r="J244" s="1" t="s">
        <v>87</v>
      </c>
      <c r="K244" s="1" t="s">
        <v>214</v>
      </c>
      <c r="L244" s="1" t="s">
        <v>355</v>
      </c>
      <c r="M244" t="str">
        <f t="shared" si="18"/>
        <v>Norlyk</v>
      </c>
      <c r="N244" t="str">
        <f t="shared" si="19"/>
        <v>Linnet</v>
      </c>
      <c r="O244" t="str">
        <f t="shared" si="20"/>
        <v>M. Rohrbach</v>
      </c>
      <c r="P244" t="str">
        <f t="shared" si="21"/>
        <v>L. Rohrbach</v>
      </c>
      <c r="Q244">
        <f t="shared" si="22"/>
        <v>1</v>
      </c>
      <c r="R244" t="str">
        <f t="shared" si="23"/>
        <v>Norlyk-Linnet-M. Rohrbach-L. Rohrbach</v>
      </c>
    </row>
    <row r="245" spans="1:18" x14ac:dyDescent="0.25">
      <c r="A245" s="1" t="s">
        <v>213</v>
      </c>
      <c r="B245" s="1">
        <v>223</v>
      </c>
      <c r="C245" s="1" t="s">
        <v>18</v>
      </c>
      <c r="D245" s="1">
        <v>2</v>
      </c>
      <c r="E245" s="1" t="s">
        <v>181</v>
      </c>
      <c r="F245" s="1">
        <v>8</v>
      </c>
      <c r="G245" s="1">
        <v>5</v>
      </c>
      <c r="H245" s="1" t="s">
        <v>82</v>
      </c>
      <c r="I245" s="1" t="s">
        <v>186</v>
      </c>
      <c r="J245" s="1" t="s">
        <v>87</v>
      </c>
      <c r="K245" s="1" t="s">
        <v>214</v>
      </c>
      <c r="L245" s="1" t="s">
        <v>355</v>
      </c>
      <c r="M245" t="str">
        <f t="shared" si="18"/>
        <v>Norlyk</v>
      </c>
      <c r="N245" t="str">
        <f t="shared" si="19"/>
        <v>Linnet</v>
      </c>
      <c r="O245" t="str">
        <f t="shared" si="20"/>
        <v>M. Rohrbach</v>
      </c>
      <c r="P245" t="str">
        <f t="shared" si="21"/>
        <v>L. Rohrbach</v>
      </c>
      <c r="Q245">
        <f t="shared" si="22"/>
        <v>1</v>
      </c>
      <c r="R245" t="str">
        <f t="shared" si="23"/>
        <v>Norlyk-Linnet-M. Rohrbach-L. Rohrbach</v>
      </c>
    </row>
    <row r="246" spans="1:18" x14ac:dyDescent="0.25">
      <c r="A246" s="1" t="s">
        <v>213</v>
      </c>
      <c r="B246" s="1">
        <v>225</v>
      </c>
      <c r="C246" s="1" t="s">
        <v>21</v>
      </c>
      <c r="D246" s="1">
        <v>1</v>
      </c>
      <c r="E246" s="1" t="s">
        <v>181</v>
      </c>
      <c r="F246" s="1">
        <v>19</v>
      </c>
      <c r="G246" s="1">
        <v>17</v>
      </c>
      <c r="H246" s="1" t="s">
        <v>82</v>
      </c>
      <c r="I246" s="1" t="s">
        <v>188</v>
      </c>
      <c r="J246" s="1" t="s">
        <v>89</v>
      </c>
      <c r="K246" s="1" t="s">
        <v>214</v>
      </c>
      <c r="L246" s="1" t="s">
        <v>355</v>
      </c>
      <c r="M246" t="str">
        <f t="shared" si="18"/>
        <v>Klinkby</v>
      </c>
      <c r="N246" t="str">
        <f t="shared" si="19"/>
        <v>Hammar</v>
      </c>
      <c r="O246" t="str">
        <f t="shared" si="20"/>
        <v>Teixeira</v>
      </c>
      <c r="P246" t="str">
        <f t="shared" si="21"/>
        <v>Santos</v>
      </c>
      <c r="Q246">
        <f t="shared" si="22"/>
        <v>1</v>
      </c>
      <c r="R246" t="str">
        <f t="shared" si="23"/>
        <v>Klinkby-Hammar-Teixeira-Santos</v>
      </c>
    </row>
    <row r="247" spans="1:18" x14ac:dyDescent="0.25">
      <c r="A247" s="1" t="s">
        <v>213</v>
      </c>
      <c r="B247" s="1">
        <v>226</v>
      </c>
      <c r="C247" s="1" t="s">
        <v>21</v>
      </c>
      <c r="D247" s="1">
        <v>2</v>
      </c>
      <c r="E247" s="1" t="s">
        <v>181</v>
      </c>
      <c r="F247" s="1">
        <v>5</v>
      </c>
      <c r="G247" s="1">
        <v>3</v>
      </c>
      <c r="H247" s="1" t="s">
        <v>82</v>
      </c>
      <c r="I247" s="1" t="s">
        <v>188</v>
      </c>
      <c r="J247" s="1" t="s">
        <v>89</v>
      </c>
      <c r="K247" s="1" t="s">
        <v>214</v>
      </c>
      <c r="L247" s="1" t="s">
        <v>355</v>
      </c>
      <c r="M247" t="str">
        <f t="shared" si="18"/>
        <v>Klinkby</v>
      </c>
      <c r="N247" t="str">
        <f t="shared" si="19"/>
        <v>Hammar</v>
      </c>
      <c r="O247" t="str">
        <f t="shared" si="20"/>
        <v>Teixeira</v>
      </c>
      <c r="P247" t="str">
        <f t="shared" si="21"/>
        <v>Santos</v>
      </c>
      <c r="Q247">
        <f t="shared" si="22"/>
        <v>1</v>
      </c>
      <c r="R247" t="str">
        <f t="shared" si="23"/>
        <v>Klinkby-Hammar-Teixeira-Santos</v>
      </c>
    </row>
    <row r="248" spans="1:18" x14ac:dyDescent="0.25">
      <c r="A248" s="1" t="s">
        <v>213</v>
      </c>
      <c r="B248" s="1">
        <v>228</v>
      </c>
      <c r="C248" s="1" t="s">
        <v>24</v>
      </c>
      <c r="D248" s="1">
        <v>1</v>
      </c>
      <c r="E248" s="1" t="s">
        <v>181</v>
      </c>
      <c r="F248" s="1">
        <v>15</v>
      </c>
      <c r="G248" s="1">
        <v>8</v>
      </c>
      <c r="H248" s="1" t="s">
        <v>82</v>
      </c>
      <c r="I248" s="1" t="s">
        <v>190</v>
      </c>
      <c r="J248" s="1" t="s">
        <v>91</v>
      </c>
      <c r="K248" s="1" t="s">
        <v>214</v>
      </c>
      <c r="L248" s="1" t="s">
        <v>355</v>
      </c>
      <c r="M248" t="str">
        <f t="shared" si="18"/>
        <v>Knudsen</v>
      </c>
      <c r="N248" t="str">
        <f t="shared" si="19"/>
        <v>Damgaard</v>
      </c>
      <c r="O248" t="str">
        <f t="shared" si="20"/>
        <v>Zerbeti</v>
      </c>
      <c r="P248" t="str">
        <f t="shared" si="21"/>
        <v>Nishida</v>
      </c>
      <c r="Q248">
        <f t="shared" si="22"/>
        <v>1</v>
      </c>
      <c r="R248" t="str">
        <f t="shared" si="23"/>
        <v>Knudsen-Damgaard-Zerbeti-Nishida</v>
      </c>
    </row>
    <row r="249" spans="1:18" x14ac:dyDescent="0.25">
      <c r="A249" s="1" t="s">
        <v>213</v>
      </c>
      <c r="B249" s="1">
        <v>229</v>
      </c>
      <c r="C249" s="1" t="s">
        <v>24</v>
      </c>
      <c r="D249" s="1">
        <v>2</v>
      </c>
      <c r="E249" s="1" t="s">
        <v>181</v>
      </c>
      <c r="F249" s="1">
        <v>15</v>
      </c>
      <c r="G249" s="1">
        <v>12</v>
      </c>
      <c r="H249" s="1" t="s">
        <v>82</v>
      </c>
      <c r="I249" s="1" t="s">
        <v>190</v>
      </c>
      <c r="J249" s="1" t="s">
        <v>91</v>
      </c>
      <c r="K249" s="1" t="s">
        <v>214</v>
      </c>
      <c r="L249" s="1" t="s">
        <v>355</v>
      </c>
      <c r="M249" t="str">
        <f t="shared" si="18"/>
        <v>Knudsen</v>
      </c>
      <c r="N249" t="str">
        <f t="shared" si="19"/>
        <v>Damgaard</v>
      </c>
      <c r="O249" t="str">
        <f t="shared" si="20"/>
        <v>Zerbeti</v>
      </c>
      <c r="P249" t="str">
        <f t="shared" si="21"/>
        <v>Nishida</v>
      </c>
      <c r="Q249">
        <f t="shared" si="22"/>
        <v>1</v>
      </c>
      <c r="R249" t="str">
        <f t="shared" si="23"/>
        <v>Knudsen-Damgaard-Zerbeti-Nishida</v>
      </c>
    </row>
    <row r="250" spans="1:18" x14ac:dyDescent="0.25">
      <c r="A250" s="1" t="s">
        <v>213</v>
      </c>
      <c r="B250" s="1">
        <v>231</v>
      </c>
      <c r="C250" s="1" t="s">
        <v>27</v>
      </c>
      <c r="D250" s="1">
        <v>1</v>
      </c>
      <c r="E250" s="1" t="s">
        <v>181</v>
      </c>
      <c r="F250" s="1">
        <v>15</v>
      </c>
      <c r="G250" s="1">
        <v>11</v>
      </c>
      <c r="H250" s="1" t="s">
        <v>82</v>
      </c>
      <c r="I250" s="1" t="s">
        <v>396</v>
      </c>
      <c r="J250" s="1" t="s">
        <v>93</v>
      </c>
      <c r="K250" s="1" t="s">
        <v>214</v>
      </c>
      <c r="L250" s="1" t="s">
        <v>355</v>
      </c>
      <c r="M250" t="str">
        <f t="shared" si="18"/>
        <v>Høy</v>
      </c>
      <c r="N250" t="str">
        <f t="shared" si="19"/>
        <v>J. Nielsen</v>
      </c>
      <c r="O250" t="str">
        <f t="shared" si="20"/>
        <v>Hey</v>
      </c>
      <c r="P250" t="str">
        <f t="shared" si="21"/>
        <v>Mello</v>
      </c>
      <c r="Q250">
        <f t="shared" si="22"/>
        <v>1</v>
      </c>
      <c r="R250" t="str">
        <f t="shared" si="23"/>
        <v>Høy-J. Nielsen-Hey-Mello</v>
      </c>
    </row>
    <row r="251" spans="1:18" x14ac:dyDescent="0.25">
      <c r="A251" s="1" t="s">
        <v>213</v>
      </c>
      <c r="B251" s="1">
        <v>232</v>
      </c>
      <c r="C251" s="1" t="s">
        <v>27</v>
      </c>
      <c r="D251" s="1">
        <v>2</v>
      </c>
      <c r="E251" s="1" t="s">
        <v>181</v>
      </c>
      <c r="F251" s="1">
        <v>17</v>
      </c>
      <c r="G251" s="1">
        <v>15</v>
      </c>
      <c r="H251" s="1" t="s">
        <v>82</v>
      </c>
      <c r="I251" s="1" t="s">
        <v>396</v>
      </c>
      <c r="J251" s="1" t="s">
        <v>93</v>
      </c>
      <c r="K251" s="1" t="s">
        <v>214</v>
      </c>
      <c r="L251" s="1" t="s">
        <v>355</v>
      </c>
      <c r="M251" t="str">
        <f t="shared" si="18"/>
        <v>Høy</v>
      </c>
      <c r="N251" t="str">
        <f t="shared" si="19"/>
        <v>J. Nielsen</v>
      </c>
      <c r="O251" t="str">
        <f t="shared" si="20"/>
        <v>Hey</v>
      </c>
      <c r="P251" t="str">
        <f t="shared" si="21"/>
        <v>Mello</v>
      </c>
      <c r="Q251">
        <f t="shared" si="22"/>
        <v>1</v>
      </c>
      <c r="R251" t="str">
        <f t="shared" si="23"/>
        <v>Høy-J. Nielsen-Hey-Mello</v>
      </c>
    </row>
    <row r="252" spans="1:18" x14ac:dyDescent="0.25">
      <c r="A252" s="1" t="s">
        <v>213</v>
      </c>
      <c r="B252" s="1">
        <v>237</v>
      </c>
      <c r="C252" s="1" t="s">
        <v>12</v>
      </c>
      <c r="D252" s="1">
        <v>1</v>
      </c>
      <c r="E252" s="1" t="s">
        <v>43</v>
      </c>
      <c r="F252" s="1">
        <v>15</v>
      </c>
      <c r="G252" s="1">
        <v>10</v>
      </c>
      <c r="H252" s="1" t="s">
        <v>95</v>
      </c>
      <c r="I252" s="1" t="s">
        <v>45</v>
      </c>
      <c r="J252" s="1" t="s">
        <v>97</v>
      </c>
      <c r="K252" s="1" t="s">
        <v>214</v>
      </c>
      <c r="L252" s="1" t="s">
        <v>355</v>
      </c>
      <c r="M252" t="str">
        <f t="shared" si="18"/>
        <v>Cabala</v>
      </c>
      <c r="N252" t="str">
        <f t="shared" si="19"/>
        <v>Nerad</v>
      </c>
      <c r="O252" t="str">
        <f t="shared" si="20"/>
        <v>J. Brus</v>
      </c>
      <c r="P252" t="str">
        <f t="shared" si="21"/>
        <v>R. Brus</v>
      </c>
      <c r="Q252">
        <f t="shared" si="22"/>
        <v>1</v>
      </c>
      <c r="R252" t="str">
        <f t="shared" si="23"/>
        <v>Cabala-Nerad-J. Brus-R. Brus</v>
      </c>
    </row>
    <row r="253" spans="1:18" x14ac:dyDescent="0.25">
      <c r="A253" s="1" t="s">
        <v>213</v>
      </c>
      <c r="B253" s="1">
        <v>238</v>
      </c>
      <c r="C253" s="1" t="s">
        <v>12</v>
      </c>
      <c r="D253" s="1">
        <v>2</v>
      </c>
      <c r="E253" s="1" t="s">
        <v>43</v>
      </c>
      <c r="F253" s="1">
        <v>15</v>
      </c>
      <c r="G253" s="1">
        <v>12</v>
      </c>
      <c r="H253" s="1" t="s">
        <v>95</v>
      </c>
      <c r="I253" s="1" t="s">
        <v>45</v>
      </c>
      <c r="J253" s="1" t="s">
        <v>97</v>
      </c>
      <c r="K253" s="1" t="s">
        <v>214</v>
      </c>
      <c r="L253" s="1" t="s">
        <v>355</v>
      </c>
      <c r="M253" t="str">
        <f t="shared" si="18"/>
        <v>Cabala</v>
      </c>
      <c r="N253" t="str">
        <f t="shared" si="19"/>
        <v>Nerad</v>
      </c>
      <c r="O253" t="str">
        <f t="shared" si="20"/>
        <v>J. Brus</v>
      </c>
      <c r="P253" t="str">
        <f t="shared" si="21"/>
        <v>R. Brus</v>
      </c>
      <c r="Q253">
        <f t="shared" si="22"/>
        <v>1</v>
      </c>
      <c r="R253" t="str">
        <f t="shared" si="23"/>
        <v>Cabala-Nerad-J. Brus-R. Brus</v>
      </c>
    </row>
    <row r="254" spans="1:18" x14ac:dyDescent="0.25">
      <c r="A254" s="1" t="s">
        <v>213</v>
      </c>
      <c r="B254" s="1">
        <v>240</v>
      </c>
      <c r="C254" s="1" t="s">
        <v>18</v>
      </c>
      <c r="D254" s="1">
        <v>1</v>
      </c>
      <c r="E254" s="1" t="s">
        <v>43</v>
      </c>
      <c r="F254" s="1">
        <v>15</v>
      </c>
      <c r="G254" s="1">
        <v>11</v>
      </c>
      <c r="H254" s="1" t="s">
        <v>95</v>
      </c>
      <c r="I254" s="1" t="s">
        <v>48</v>
      </c>
      <c r="J254" s="1" t="s">
        <v>100</v>
      </c>
      <c r="K254" s="1" t="s">
        <v>214</v>
      </c>
      <c r="L254" s="1" t="s">
        <v>355</v>
      </c>
      <c r="M254" t="str">
        <f t="shared" si="18"/>
        <v>Mezzey</v>
      </c>
      <c r="N254" t="str">
        <f t="shared" si="19"/>
        <v>Visek</v>
      </c>
      <c r="O254" t="str">
        <f t="shared" si="20"/>
        <v>Schouten</v>
      </c>
      <c r="P254" t="str">
        <f t="shared" si="21"/>
        <v>van Manen</v>
      </c>
      <c r="Q254">
        <f t="shared" si="22"/>
        <v>1</v>
      </c>
      <c r="R254" t="str">
        <f t="shared" si="23"/>
        <v>Mezzey-Visek-Schouten-van Manen</v>
      </c>
    </row>
    <row r="255" spans="1:18" x14ac:dyDescent="0.25">
      <c r="A255" s="1" t="s">
        <v>213</v>
      </c>
      <c r="B255" s="1">
        <v>241</v>
      </c>
      <c r="C255" s="1" t="s">
        <v>18</v>
      </c>
      <c r="D255" s="1">
        <v>2</v>
      </c>
      <c r="E255" s="1" t="s">
        <v>43</v>
      </c>
      <c r="F255" s="1">
        <v>12</v>
      </c>
      <c r="G255" s="1">
        <v>15</v>
      </c>
      <c r="H255" s="1" t="s">
        <v>95</v>
      </c>
      <c r="I255" s="1" t="s">
        <v>48</v>
      </c>
      <c r="J255" s="1" t="s">
        <v>100</v>
      </c>
      <c r="K255" s="1" t="s">
        <v>214</v>
      </c>
      <c r="L255" s="1" t="s">
        <v>355</v>
      </c>
      <c r="M255" t="str">
        <f t="shared" si="18"/>
        <v>Mezzey</v>
      </c>
      <c r="N255" t="str">
        <f t="shared" si="19"/>
        <v>Visek</v>
      </c>
      <c r="O255" t="str">
        <f t="shared" si="20"/>
        <v>Schouten</v>
      </c>
      <c r="P255" t="str">
        <f t="shared" si="21"/>
        <v>van Manen</v>
      </c>
      <c r="Q255">
        <f t="shared" si="22"/>
        <v>0</v>
      </c>
      <c r="R255" t="str">
        <f t="shared" si="23"/>
        <v>Mezzey-Visek-Schouten-van Manen</v>
      </c>
    </row>
    <row r="256" spans="1:18" x14ac:dyDescent="0.25">
      <c r="A256" s="1" t="s">
        <v>213</v>
      </c>
      <c r="B256" s="1">
        <v>242</v>
      </c>
      <c r="C256" s="1" t="s">
        <v>18</v>
      </c>
      <c r="D256" s="1">
        <v>3</v>
      </c>
      <c r="E256" s="1" t="s">
        <v>43</v>
      </c>
      <c r="F256" s="1">
        <v>16</v>
      </c>
      <c r="G256" s="1">
        <v>14</v>
      </c>
      <c r="H256" s="1" t="s">
        <v>95</v>
      </c>
      <c r="I256" s="1" t="s">
        <v>48</v>
      </c>
      <c r="J256" s="1" t="s">
        <v>100</v>
      </c>
      <c r="K256" s="1" t="s">
        <v>214</v>
      </c>
      <c r="L256" s="1" t="s">
        <v>355</v>
      </c>
      <c r="M256" t="str">
        <f t="shared" si="18"/>
        <v>Mezzey</v>
      </c>
      <c r="N256" t="str">
        <f t="shared" si="19"/>
        <v>Visek</v>
      </c>
      <c r="O256" t="str">
        <f t="shared" si="20"/>
        <v>Schouten</v>
      </c>
      <c r="P256" t="str">
        <f t="shared" si="21"/>
        <v>van Manen</v>
      </c>
      <c r="Q256">
        <f t="shared" si="22"/>
        <v>1</v>
      </c>
      <c r="R256" t="str">
        <f t="shared" si="23"/>
        <v>Mezzey-Visek-Schouten-van Manen</v>
      </c>
    </row>
    <row r="257" spans="1:18" x14ac:dyDescent="0.25">
      <c r="A257" s="1" t="s">
        <v>213</v>
      </c>
      <c r="B257" s="1">
        <v>243</v>
      </c>
      <c r="C257" s="1" t="s">
        <v>21</v>
      </c>
      <c r="D257" s="1">
        <v>1</v>
      </c>
      <c r="E257" s="1" t="s">
        <v>43</v>
      </c>
      <c r="F257" s="1">
        <v>13</v>
      </c>
      <c r="G257" s="1">
        <v>15</v>
      </c>
      <c r="H257" s="1" t="s">
        <v>95</v>
      </c>
      <c r="I257" s="1" t="s">
        <v>50</v>
      </c>
      <c r="J257" s="1" t="s">
        <v>102</v>
      </c>
      <c r="K257" s="1" t="s">
        <v>214</v>
      </c>
      <c r="L257" s="1" t="s">
        <v>355</v>
      </c>
      <c r="M257" t="str">
        <f t="shared" si="18"/>
        <v>Grohman</v>
      </c>
      <c r="N257" t="str">
        <f t="shared" si="19"/>
        <v>Soukup</v>
      </c>
      <c r="O257" t="str">
        <f t="shared" si="20"/>
        <v>Nieboer</v>
      </c>
      <c r="P257" t="str">
        <f t="shared" si="21"/>
        <v>Van de Riet</v>
      </c>
      <c r="Q257">
        <f t="shared" si="22"/>
        <v>0</v>
      </c>
      <c r="R257" t="str">
        <f t="shared" si="23"/>
        <v>Grohman-Soukup-Nieboer-Van de Riet</v>
      </c>
    </row>
    <row r="258" spans="1:18" x14ac:dyDescent="0.25">
      <c r="A258" s="1" t="s">
        <v>213</v>
      </c>
      <c r="B258" s="1">
        <v>244</v>
      </c>
      <c r="C258" s="1" t="s">
        <v>21</v>
      </c>
      <c r="D258" s="1">
        <v>2</v>
      </c>
      <c r="E258" s="1" t="s">
        <v>43</v>
      </c>
      <c r="F258" s="1">
        <v>19</v>
      </c>
      <c r="G258" s="1">
        <v>17</v>
      </c>
      <c r="H258" s="1" t="s">
        <v>95</v>
      </c>
      <c r="I258" s="1" t="s">
        <v>50</v>
      </c>
      <c r="J258" s="1" t="s">
        <v>102</v>
      </c>
      <c r="K258" s="1" t="s">
        <v>214</v>
      </c>
      <c r="L258" s="1" t="s">
        <v>355</v>
      </c>
      <c r="M258" t="str">
        <f t="shared" ref="M258:M321" si="24">_xlfn.TEXTBEFORE(I258,"/")</f>
        <v>Grohman</v>
      </c>
      <c r="N258" t="str">
        <f t="shared" ref="N258:N321" si="25">_xlfn.TEXTAFTER(I258,"/ ")</f>
        <v>Soukup</v>
      </c>
      <c r="O258" t="str">
        <f t="shared" ref="O258:O321" si="26">_xlfn.TEXTBEFORE(J258,"/")</f>
        <v>Nieboer</v>
      </c>
      <c r="P258" t="str">
        <f t="shared" ref="P258:P321" si="27">_xlfn.TEXTAFTER(J258,"/ ")</f>
        <v>Van de Riet</v>
      </c>
      <c r="Q258">
        <f t="shared" ref="Q258:Q321" si="28">IF(F258&gt;G258,1,0)</f>
        <v>1</v>
      </c>
      <c r="R258" t="str">
        <f t="shared" ref="R258:R321" si="29">_xlfn.TEXTJOIN("-",TRUE,M258,N258,O258,P258)</f>
        <v>Grohman-Soukup-Nieboer-Van de Riet</v>
      </c>
    </row>
    <row r="259" spans="1:18" x14ac:dyDescent="0.25">
      <c r="A259" s="1" t="s">
        <v>213</v>
      </c>
      <c r="B259" s="1">
        <v>245</v>
      </c>
      <c r="C259" s="1" t="s">
        <v>21</v>
      </c>
      <c r="D259" s="1">
        <v>3</v>
      </c>
      <c r="E259" s="1" t="s">
        <v>43</v>
      </c>
      <c r="F259" s="1">
        <v>8</v>
      </c>
      <c r="G259" s="1">
        <v>7</v>
      </c>
      <c r="H259" s="1" t="s">
        <v>95</v>
      </c>
      <c r="I259" s="1" t="s">
        <v>50</v>
      </c>
      <c r="J259" s="1" t="s">
        <v>102</v>
      </c>
      <c r="K259" s="1" t="s">
        <v>214</v>
      </c>
      <c r="L259" s="1" t="s">
        <v>355</v>
      </c>
      <c r="M259" t="str">
        <f t="shared" si="24"/>
        <v>Grohman</v>
      </c>
      <c r="N259" t="str">
        <f t="shared" si="25"/>
        <v>Soukup</v>
      </c>
      <c r="O259" t="str">
        <f t="shared" si="26"/>
        <v>Nieboer</v>
      </c>
      <c r="P259" t="str">
        <f t="shared" si="27"/>
        <v>Van de Riet</v>
      </c>
      <c r="Q259">
        <f t="shared" si="28"/>
        <v>1</v>
      </c>
      <c r="R259" t="str">
        <f t="shared" si="29"/>
        <v>Grohman-Soukup-Nieboer-Van de Riet</v>
      </c>
    </row>
    <row r="260" spans="1:18" x14ac:dyDescent="0.25">
      <c r="A260" s="1" t="s">
        <v>213</v>
      </c>
      <c r="B260" s="1">
        <v>246</v>
      </c>
      <c r="C260" s="1" t="s">
        <v>24</v>
      </c>
      <c r="D260" s="1">
        <v>1</v>
      </c>
      <c r="E260" s="1" t="s">
        <v>43</v>
      </c>
      <c r="F260" s="1">
        <v>12</v>
      </c>
      <c r="G260" s="1">
        <v>15</v>
      </c>
      <c r="H260" s="1" t="s">
        <v>95</v>
      </c>
      <c r="I260" s="1" t="s">
        <v>52</v>
      </c>
      <c r="J260" s="1" t="s">
        <v>104</v>
      </c>
      <c r="K260" s="1" t="s">
        <v>214</v>
      </c>
      <c r="L260" s="1" t="s">
        <v>355</v>
      </c>
      <c r="M260" t="str">
        <f t="shared" si="24"/>
        <v>Daling</v>
      </c>
      <c r="N260" t="str">
        <f t="shared" si="25"/>
        <v>Olsansky</v>
      </c>
      <c r="O260" t="str">
        <f t="shared" si="26"/>
        <v>Spengler</v>
      </c>
      <c r="P260" t="str">
        <f t="shared" si="27"/>
        <v>Slebos</v>
      </c>
      <c r="Q260">
        <f t="shared" si="28"/>
        <v>0</v>
      </c>
      <c r="R260" t="str">
        <f t="shared" si="29"/>
        <v>Daling-Olsansky-Spengler-Slebos</v>
      </c>
    </row>
    <row r="261" spans="1:18" x14ac:dyDescent="0.25">
      <c r="A261" s="1" t="s">
        <v>213</v>
      </c>
      <c r="B261" s="1">
        <v>247</v>
      </c>
      <c r="C261" s="1" t="s">
        <v>24</v>
      </c>
      <c r="D261" s="1">
        <v>2</v>
      </c>
      <c r="E261" s="1" t="s">
        <v>43</v>
      </c>
      <c r="F261" s="1">
        <v>15</v>
      </c>
      <c r="G261" s="1">
        <v>10</v>
      </c>
      <c r="H261" s="1" t="s">
        <v>95</v>
      </c>
      <c r="I261" s="1" t="s">
        <v>52</v>
      </c>
      <c r="J261" s="1" t="s">
        <v>104</v>
      </c>
      <c r="K261" s="1" t="s">
        <v>214</v>
      </c>
      <c r="L261" s="1" t="s">
        <v>355</v>
      </c>
      <c r="M261" t="str">
        <f t="shared" si="24"/>
        <v>Daling</v>
      </c>
      <c r="N261" t="str">
        <f t="shared" si="25"/>
        <v>Olsansky</v>
      </c>
      <c r="O261" t="str">
        <f t="shared" si="26"/>
        <v>Spengler</v>
      </c>
      <c r="P261" t="str">
        <f t="shared" si="27"/>
        <v>Slebos</v>
      </c>
      <c r="Q261">
        <f t="shared" si="28"/>
        <v>1</v>
      </c>
      <c r="R261" t="str">
        <f t="shared" si="29"/>
        <v>Daling-Olsansky-Spengler-Slebos</v>
      </c>
    </row>
    <row r="262" spans="1:18" x14ac:dyDescent="0.25">
      <c r="A262" s="1" t="s">
        <v>213</v>
      </c>
      <c r="B262" s="1">
        <v>248</v>
      </c>
      <c r="C262" s="1" t="s">
        <v>24</v>
      </c>
      <c r="D262" s="1">
        <v>3</v>
      </c>
      <c r="E262" s="1" t="s">
        <v>43</v>
      </c>
      <c r="F262" s="1">
        <v>12</v>
      </c>
      <c r="G262" s="1">
        <v>12</v>
      </c>
      <c r="H262" s="1" t="s">
        <v>95</v>
      </c>
      <c r="I262" s="1" t="s">
        <v>52</v>
      </c>
      <c r="J262" s="1" t="s">
        <v>104</v>
      </c>
      <c r="K262" s="1" t="s">
        <v>214</v>
      </c>
      <c r="L262" s="1" t="s">
        <v>355</v>
      </c>
      <c r="M262" t="str">
        <f t="shared" si="24"/>
        <v>Daling</v>
      </c>
      <c r="N262" t="str">
        <f t="shared" si="25"/>
        <v>Olsansky</v>
      </c>
      <c r="O262" t="str">
        <f t="shared" si="26"/>
        <v>Spengler</v>
      </c>
      <c r="P262" t="str">
        <f t="shared" si="27"/>
        <v>Slebos</v>
      </c>
      <c r="Q262">
        <f t="shared" si="28"/>
        <v>0</v>
      </c>
      <c r="R262" t="str">
        <f t="shared" si="29"/>
        <v>Daling-Olsansky-Spengler-Slebos</v>
      </c>
    </row>
    <row r="263" spans="1:18" x14ac:dyDescent="0.25">
      <c r="A263" s="1" t="s">
        <v>213</v>
      </c>
      <c r="B263" s="1">
        <v>249</v>
      </c>
      <c r="C263" s="1" t="s">
        <v>27</v>
      </c>
      <c r="D263" s="1">
        <v>1</v>
      </c>
      <c r="E263" s="1" t="s">
        <v>43</v>
      </c>
      <c r="F263" s="1">
        <v>8</v>
      </c>
      <c r="G263" s="1">
        <v>15</v>
      </c>
      <c r="H263" s="1" t="s">
        <v>95</v>
      </c>
      <c r="I263" s="1" t="s">
        <v>54</v>
      </c>
      <c r="J263" s="1" t="s">
        <v>106</v>
      </c>
      <c r="K263" s="1" t="s">
        <v>214</v>
      </c>
      <c r="L263" s="1" t="s">
        <v>355</v>
      </c>
      <c r="M263" t="str">
        <f t="shared" si="24"/>
        <v>Kovarik</v>
      </c>
      <c r="N263" t="str">
        <f t="shared" si="25"/>
        <v>Macanek</v>
      </c>
      <c r="O263" t="str">
        <f t="shared" si="26"/>
        <v>Kedar</v>
      </c>
      <c r="P263" t="str">
        <f t="shared" si="27"/>
        <v>Elbertsen</v>
      </c>
      <c r="Q263">
        <f t="shared" si="28"/>
        <v>0</v>
      </c>
      <c r="R263" t="str">
        <f t="shared" si="29"/>
        <v>Kovarik-Macanek-Kedar-Elbertsen</v>
      </c>
    </row>
    <row r="264" spans="1:18" x14ac:dyDescent="0.25">
      <c r="A264" s="1" t="s">
        <v>213</v>
      </c>
      <c r="B264" s="1">
        <v>250</v>
      </c>
      <c r="C264" s="1" t="s">
        <v>27</v>
      </c>
      <c r="D264" s="1">
        <v>2</v>
      </c>
      <c r="E264" s="1" t="s">
        <v>43</v>
      </c>
      <c r="F264" s="1">
        <v>10</v>
      </c>
      <c r="G264" s="1">
        <v>15</v>
      </c>
      <c r="H264" s="1" t="s">
        <v>95</v>
      </c>
      <c r="I264" s="1" t="s">
        <v>54</v>
      </c>
      <c r="J264" s="1" t="s">
        <v>106</v>
      </c>
      <c r="K264" s="1" t="s">
        <v>214</v>
      </c>
      <c r="L264" s="1" t="s">
        <v>355</v>
      </c>
      <c r="M264" t="str">
        <f t="shared" si="24"/>
        <v>Kovarik</v>
      </c>
      <c r="N264" t="str">
        <f t="shared" si="25"/>
        <v>Macanek</v>
      </c>
      <c r="O264" t="str">
        <f t="shared" si="26"/>
        <v>Kedar</v>
      </c>
      <c r="P264" t="str">
        <f t="shared" si="27"/>
        <v>Elbertsen</v>
      </c>
      <c r="Q264">
        <f t="shared" si="28"/>
        <v>0</v>
      </c>
      <c r="R264" t="str">
        <f t="shared" si="29"/>
        <v>Kovarik-Macanek-Kedar-Elbertsen</v>
      </c>
    </row>
    <row r="265" spans="1:18" x14ac:dyDescent="0.25">
      <c r="A265" s="1" t="s">
        <v>213</v>
      </c>
      <c r="B265" s="1">
        <v>255</v>
      </c>
      <c r="C265" s="1" t="s">
        <v>12</v>
      </c>
      <c r="D265" s="1">
        <v>1</v>
      </c>
      <c r="E265" s="1" t="s">
        <v>31</v>
      </c>
      <c r="F265" s="1">
        <v>11</v>
      </c>
      <c r="G265" s="1">
        <v>15</v>
      </c>
      <c r="H265" s="1" t="s">
        <v>57</v>
      </c>
      <c r="I265" s="1" t="s">
        <v>420</v>
      </c>
      <c r="J265" s="1" t="s">
        <v>59</v>
      </c>
      <c r="K265" s="1" t="s">
        <v>214</v>
      </c>
      <c r="L265" s="1" t="s">
        <v>355</v>
      </c>
      <c r="M265" t="str">
        <f t="shared" si="24"/>
        <v>W. Chang</v>
      </c>
      <c r="N265" t="str">
        <f t="shared" si="25"/>
        <v>Chou</v>
      </c>
      <c r="O265" t="str">
        <f t="shared" si="26"/>
        <v>Razvan</v>
      </c>
      <c r="P265" t="str">
        <f t="shared" si="27"/>
        <v>Cimpian</v>
      </c>
      <c r="Q265">
        <f t="shared" si="28"/>
        <v>0</v>
      </c>
      <c r="R265" t="str">
        <f t="shared" si="29"/>
        <v>W. Chang-Chou-Razvan-Cimpian</v>
      </c>
    </row>
    <row r="266" spans="1:18" x14ac:dyDescent="0.25">
      <c r="A266" s="1" t="s">
        <v>213</v>
      </c>
      <c r="B266" s="1">
        <v>256</v>
      </c>
      <c r="C266" s="1" t="s">
        <v>12</v>
      </c>
      <c r="D266" s="1">
        <v>2</v>
      </c>
      <c r="E266" s="1" t="s">
        <v>31</v>
      </c>
      <c r="F266" s="1">
        <v>13</v>
      </c>
      <c r="G266" s="1">
        <v>15</v>
      </c>
      <c r="H266" s="1" t="s">
        <v>57</v>
      </c>
      <c r="I266" s="1" t="s">
        <v>420</v>
      </c>
      <c r="J266" s="1" t="s">
        <v>59</v>
      </c>
      <c r="K266" s="1" t="s">
        <v>214</v>
      </c>
      <c r="L266" s="1" t="s">
        <v>355</v>
      </c>
      <c r="M266" t="str">
        <f t="shared" si="24"/>
        <v>W. Chang</v>
      </c>
      <c r="N266" t="str">
        <f t="shared" si="25"/>
        <v>Chou</v>
      </c>
      <c r="O266" t="str">
        <f t="shared" si="26"/>
        <v>Razvan</v>
      </c>
      <c r="P266" t="str">
        <f t="shared" si="27"/>
        <v>Cimpian</v>
      </c>
      <c r="Q266">
        <f t="shared" si="28"/>
        <v>0</v>
      </c>
      <c r="R266" t="str">
        <f t="shared" si="29"/>
        <v>W. Chang-Chou-Razvan-Cimpian</v>
      </c>
    </row>
    <row r="267" spans="1:18" x14ac:dyDescent="0.25">
      <c r="A267" s="1" t="s">
        <v>213</v>
      </c>
      <c r="B267" s="1">
        <v>258</v>
      </c>
      <c r="C267" s="1" t="s">
        <v>18</v>
      </c>
      <c r="D267" s="1">
        <v>1</v>
      </c>
      <c r="E267" s="1" t="s">
        <v>31</v>
      </c>
      <c r="F267" s="1">
        <v>15</v>
      </c>
      <c r="G267" s="1">
        <v>12</v>
      </c>
      <c r="H267" s="1" t="s">
        <v>57</v>
      </c>
      <c r="I267" s="1" t="s">
        <v>422</v>
      </c>
      <c r="J267" s="1" t="s">
        <v>62</v>
      </c>
      <c r="K267" s="1" t="s">
        <v>214</v>
      </c>
      <c r="L267" s="1" t="s">
        <v>355</v>
      </c>
      <c r="M267" t="str">
        <f t="shared" si="24"/>
        <v>R. Lee</v>
      </c>
      <c r="N267" t="str">
        <f t="shared" si="25"/>
        <v>P. Chen</v>
      </c>
      <c r="O267" t="str">
        <f t="shared" si="26"/>
        <v>Colac</v>
      </c>
      <c r="P267" t="str">
        <f t="shared" si="27"/>
        <v>Popa</v>
      </c>
      <c r="Q267">
        <f t="shared" si="28"/>
        <v>1</v>
      </c>
      <c r="R267" t="str">
        <f t="shared" si="29"/>
        <v>R. Lee-P. Chen-Colac-Popa</v>
      </c>
    </row>
    <row r="268" spans="1:18" x14ac:dyDescent="0.25">
      <c r="A268" s="1" t="s">
        <v>213</v>
      </c>
      <c r="B268" s="1">
        <v>259</v>
      </c>
      <c r="C268" s="1" t="s">
        <v>18</v>
      </c>
      <c r="D268" s="1">
        <v>2</v>
      </c>
      <c r="E268" s="1" t="s">
        <v>31</v>
      </c>
      <c r="F268" s="1">
        <v>15</v>
      </c>
      <c r="G268" s="1">
        <v>9</v>
      </c>
      <c r="H268" s="1" t="s">
        <v>57</v>
      </c>
      <c r="I268" s="1" t="s">
        <v>422</v>
      </c>
      <c r="J268" s="1" t="s">
        <v>62</v>
      </c>
      <c r="K268" s="1" t="s">
        <v>214</v>
      </c>
      <c r="L268" s="1" t="s">
        <v>355</v>
      </c>
      <c r="M268" t="str">
        <f t="shared" si="24"/>
        <v>R. Lee</v>
      </c>
      <c r="N268" t="str">
        <f t="shared" si="25"/>
        <v>P. Chen</v>
      </c>
      <c r="O268" t="str">
        <f t="shared" si="26"/>
        <v>Colac</v>
      </c>
      <c r="P268" t="str">
        <f t="shared" si="27"/>
        <v>Popa</v>
      </c>
      <c r="Q268">
        <f t="shared" si="28"/>
        <v>1</v>
      </c>
      <c r="R268" t="str">
        <f t="shared" si="29"/>
        <v>R. Lee-P. Chen-Colac-Popa</v>
      </c>
    </row>
    <row r="269" spans="1:18" x14ac:dyDescent="0.25">
      <c r="A269" s="1" t="s">
        <v>213</v>
      </c>
      <c r="B269" s="1">
        <v>261</v>
      </c>
      <c r="C269" s="1" t="s">
        <v>21</v>
      </c>
      <c r="D269" s="1">
        <v>1</v>
      </c>
      <c r="E269" s="1" t="s">
        <v>31</v>
      </c>
      <c r="F269" s="1">
        <v>15</v>
      </c>
      <c r="G269" s="1">
        <v>13</v>
      </c>
      <c r="H269" s="1" t="s">
        <v>57</v>
      </c>
      <c r="I269" s="1" t="s">
        <v>411</v>
      </c>
      <c r="J269" s="1" t="s">
        <v>64</v>
      </c>
      <c r="K269" s="1" t="s">
        <v>214</v>
      </c>
      <c r="L269" s="1" t="s">
        <v>355</v>
      </c>
      <c r="M269" t="str">
        <f t="shared" si="24"/>
        <v>Kao</v>
      </c>
      <c r="N269" t="str">
        <f t="shared" si="25"/>
        <v>Min. Chen</v>
      </c>
      <c r="O269" t="str">
        <f t="shared" si="26"/>
        <v>Gyergyoi</v>
      </c>
      <c r="P269" t="str">
        <f t="shared" si="27"/>
        <v>Limbovici</v>
      </c>
      <c r="Q269">
        <f t="shared" si="28"/>
        <v>1</v>
      </c>
      <c r="R269" t="str">
        <f t="shared" si="29"/>
        <v>Kao-Min. Chen-Gyergyoi-Limbovici</v>
      </c>
    </row>
    <row r="270" spans="1:18" x14ac:dyDescent="0.25">
      <c r="A270" s="1" t="s">
        <v>213</v>
      </c>
      <c r="B270" s="1">
        <v>262</v>
      </c>
      <c r="C270" s="1" t="s">
        <v>21</v>
      </c>
      <c r="D270" s="1">
        <v>2</v>
      </c>
      <c r="E270" s="1" t="s">
        <v>31</v>
      </c>
      <c r="F270" s="1">
        <v>11</v>
      </c>
      <c r="G270" s="1">
        <v>15</v>
      </c>
      <c r="H270" s="1" t="s">
        <v>57</v>
      </c>
      <c r="I270" s="1" t="s">
        <v>411</v>
      </c>
      <c r="J270" s="1" t="s">
        <v>64</v>
      </c>
      <c r="K270" s="1" t="s">
        <v>214</v>
      </c>
      <c r="L270" s="1" t="s">
        <v>355</v>
      </c>
      <c r="M270" t="str">
        <f t="shared" si="24"/>
        <v>Kao</v>
      </c>
      <c r="N270" t="str">
        <f t="shared" si="25"/>
        <v>Min. Chen</v>
      </c>
      <c r="O270" t="str">
        <f t="shared" si="26"/>
        <v>Gyergyoi</v>
      </c>
      <c r="P270" t="str">
        <f t="shared" si="27"/>
        <v>Limbovici</v>
      </c>
      <c r="Q270">
        <f t="shared" si="28"/>
        <v>0</v>
      </c>
      <c r="R270" t="str">
        <f t="shared" si="29"/>
        <v>Kao-Min. Chen-Gyergyoi-Limbovici</v>
      </c>
    </row>
    <row r="271" spans="1:18" x14ac:dyDescent="0.25">
      <c r="A271" s="1" t="s">
        <v>213</v>
      </c>
      <c r="B271" s="1">
        <v>263</v>
      </c>
      <c r="C271" s="1" t="s">
        <v>21</v>
      </c>
      <c r="D271" s="1">
        <v>3</v>
      </c>
      <c r="E271" s="1" t="s">
        <v>31</v>
      </c>
      <c r="F271" s="1">
        <v>21</v>
      </c>
      <c r="G271" s="1">
        <v>20</v>
      </c>
      <c r="H271" s="1" t="s">
        <v>57</v>
      </c>
      <c r="I271" s="1" t="s">
        <v>411</v>
      </c>
      <c r="J271" s="1" t="s">
        <v>64</v>
      </c>
      <c r="K271" s="1" t="s">
        <v>214</v>
      </c>
      <c r="L271" s="1" t="s">
        <v>355</v>
      </c>
      <c r="M271" t="str">
        <f t="shared" si="24"/>
        <v>Kao</v>
      </c>
      <c r="N271" t="str">
        <f t="shared" si="25"/>
        <v>Min. Chen</v>
      </c>
      <c r="O271" t="str">
        <f t="shared" si="26"/>
        <v>Gyergyoi</v>
      </c>
      <c r="P271" t="str">
        <f t="shared" si="27"/>
        <v>Limbovici</v>
      </c>
      <c r="Q271">
        <f t="shared" si="28"/>
        <v>1</v>
      </c>
      <c r="R271" t="str">
        <f t="shared" si="29"/>
        <v>Kao-Min. Chen-Gyergyoi-Limbovici</v>
      </c>
    </row>
    <row r="272" spans="1:18" x14ac:dyDescent="0.25">
      <c r="A272" s="1" t="s">
        <v>213</v>
      </c>
      <c r="B272" s="1">
        <v>264</v>
      </c>
      <c r="C272" s="1" t="s">
        <v>24</v>
      </c>
      <c r="D272" s="1">
        <v>1</v>
      </c>
      <c r="E272" s="1" t="s">
        <v>31</v>
      </c>
      <c r="F272" s="1">
        <v>10</v>
      </c>
      <c r="G272" s="1">
        <v>15</v>
      </c>
      <c r="H272" s="1" t="s">
        <v>57</v>
      </c>
      <c r="I272" s="1" t="s">
        <v>361</v>
      </c>
      <c r="J272" s="1" t="s">
        <v>66</v>
      </c>
      <c r="K272" s="1" t="s">
        <v>214</v>
      </c>
      <c r="L272" s="1" t="s">
        <v>355</v>
      </c>
      <c r="M272" t="str">
        <f t="shared" si="24"/>
        <v>Ma</v>
      </c>
      <c r="N272" t="str">
        <f t="shared" si="25"/>
        <v>Hu</v>
      </c>
      <c r="O272" t="str">
        <f t="shared" si="26"/>
        <v>Aldea</v>
      </c>
      <c r="P272" t="str">
        <f t="shared" si="27"/>
        <v>Bizdideanu</v>
      </c>
      <c r="Q272">
        <f t="shared" si="28"/>
        <v>0</v>
      </c>
      <c r="R272" t="str">
        <f t="shared" si="29"/>
        <v>Ma-Hu-Aldea-Bizdideanu</v>
      </c>
    </row>
    <row r="273" spans="1:18" x14ac:dyDescent="0.25">
      <c r="A273" s="1" t="s">
        <v>213</v>
      </c>
      <c r="B273" s="1">
        <v>265</v>
      </c>
      <c r="C273" s="1" t="s">
        <v>24</v>
      </c>
      <c r="D273" s="1">
        <v>2</v>
      </c>
      <c r="E273" s="1" t="s">
        <v>31</v>
      </c>
      <c r="F273" s="1">
        <v>15</v>
      </c>
      <c r="G273" s="1">
        <v>11</v>
      </c>
      <c r="H273" s="1" t="s">
        <v>57</v>
      </c>
      <c r="I273" s="1" t="s">
        <v>361</v>
      </c>
      <c r="J273" s="1" t="s">
        <v>66</v>
      </c>
      <c r="K273" s="1" t="s">
        <v>214</v>
      </c>
      <c r="L273" s="1" t="s">
        <v>355</v>
      </c>
      <c r="M273" t="str">
        <f t="shared" si="24"/>
        <v>Ma</v>
      </c>
      <c r="N273" t="str">
        <f t="shared" si="25"/>
        <v>Hu</v>
      </c>
      <c r="O273" t="str">
        <f t="shared" si="26"/>
        <v>Aldea</v>
      </c>
      <c r="P273" t="str">
        <f t="shared" si="27"/>
        <v>Bizdideanu</v>
      </c>
      <c r="Q273">
        <f t="shared" si="28"/>
        <v>1</v>
      </c>
      <c r="R273" t="str">
        <f t="shared" si="29"/>
        <v>Ma-Hu-Aldea-Bizdideanu</v>
      </c>
    </row>
    <row r="274" spans="1:18" x14ac:dyDescent="0.25">
      <c r="A274" s="1" t="s">
        <v>213</v>
      </c>
      <c r="B274" s="1">
        <v>266</v>
      </c>
      <c r="C274" s="1" t="s">
        <v>24</v>
      </c>
      <c r="D274" s="1">
        <v>3</v>
      </c>
      <c r="E274" s="1" t="s">
        <v>31</v>
      </c>
      <c r="F274" s="1">
        <v>14</v>
      </c>
      <c r="G274" s="1">
        <v>10</v>
      </c>
      <c r="H274" s="1" t="s">
        <v>57</v>
      </c>
      <c r="I274" s="1" t="s">
        <v>361</v>
      </c>
      <c r="J274" s="1" t="s">
        <v>66</v>
      </c>
      <c r="K274" s="1" t="s">
        <v>214</v>
      </c>
      <c r="L274" s="1" t="s">
        <v>355</v>
      </c>
      <c r="M274" t="str">
        <f t="shared" si="24"/>
        <v>Ma</v>
      </c>
      <c r="N274" t="str">
        <f t="shared" si="25"/>
        <v>Hu</v>
      </c>
      <c r="O274" t="str">
        <f t="shared" si="26"/>
        <v>Aldea</v>
      </c>
      <c r="P274" t="str">
        <f t="shared" si="27"/>
        <v>Bizdideanu</v>
      </c>
      <c r="Q274">
        <f t="shared" si="28"/>
        <v>1</v>
      </c>
      <c r="R274" t="str">
        <f t="shared" si="29"/>
        <v>Ma-Hu-Aldea-Bizdideanu</v>
      </c>
    </row>
    <row r="275" spans="1:18" x14ac:dyDescent="0.25">
      <c r="A275" s="1" t="s">
        <v>213</v>
      </c>
      <c r="B275" s="1">
        <v>267</v>
      </c>
      <c r="C275" s="1" t="s">
        <v>27</v>
      </c>
      <c r="D275" s="1">
        <v>1</v>
      </c>
      <c r="E275" s="1" t="s">
        <v>31</v>
      </c>
      <c r="F275" s="1">
        <v>15</v>
      </c>
      <c r="G275" s="1">
        <v>8</v>
      </c>
      <c r="H275" s="1" t="s">
        <v>57</v>
      </c>
      <c r="I275" s="1" t="s">
        <v>415</v>
      </c>
      <c r="J275" s="1" t="s">
        <v>68</v>
      </c>
      <c r="K275" s="1" t="s">
        <v>214</v>
      </c>
      <c r="L275" s="1" t="s">
        <v>355</v>
      </c>
      <c r="M275" t="str">
        <f t="shared" si="24"/>
        <v>Peng</v>
      </c>
      <c r="N275" t="str">
        <f t="shared" si="25"/>
        <v>W. Kuo</v>
      </c>
      <c r="O275" t="str">
        <f t="shared" si="26"/>
        <v>Bliort</v>
      </c>
      <c r="P275" t="str">
        <f t="shared" si="27"/>
        <v>Cornoiu</v>
      </c>
      <c r="Q275">
        <f t="shared" si="28"/>
        <v>1</v>
      </c>
      <c r="R275" t="str">
        <f t="shared" si="29"/>
        <v>Peng-W. Kuo-Bliort-Cornoiu</v>
      </c>
    </row>
    <row r="276" spans="1:18" x14ac:dyDescent="0.25">
      <c r="A276" s="1" t="s">
        <v>213</v>
      </c>
      <c r="B276" s="1">
        <v>268</v>
      </c>
      <c r="C276" s="1" t="s">
        <v>27</v>
      </c>
      <c r="D276" s="1">
        <v>2</v>
      </c>
      <c r="E276" s="1" t="s">
        <v>31</v>
      </c>
      <c r="F276" s="1">
        <v>15</v>
      </c>
      <c r="G276" s="1">
        <v>11</v>
      </c>
      <c r="H276" s="1" t="s">
        <v>57</v>
      </c>
      <c r="I276" s="1" t="s">
        <v>415</v>
      </c>
      <c r="J276" s="1" t="s">
        <v>68</v>
      </c>
      <c r="K276" s="1" t="s">
        <v>214</v>
      </c>
      <c r="L276" s="1" t="s">
        <v>355</v>
      </c>
      <c r="M276" t="str">
        <f t="shared" si="24"/>
        <v>Peng</v>
      </c>
      <c r="N276" t="str">
        <f t="shared" si="25"/>
        <v>W. Kuo</v>
      </c>
      <c r="O276" t="str">
        <f t="shared" si="26"/>
        <v>Bliort</v>
      </c>
      <c r="P276" t="str">
        <f t="shared" si="27"/>
        <v>Cornoiu</v>
      </c>
      <c r="Q276">
        <f t="shared" si="28"/>
        <v>1</v>
      </c>
      <c r="R276" t="str">
        <f t="shared" si="29"/>
        <v>Peng-W. Kuo-Bliort-Cornoiu</v>
      </c>
    </row>
    <row r="277" spans="1:18" x14ac:dyDescent="0.25">
      <c r="A277" s="1" t="s">
        <v>213</v>
      </c>
      <c r="B277" s="1">
        <v>273</v>
      </c>
      <c r="C277" s="1" t="s">
        <v>12</v>
      </c>
      <c r="D277" s="1">
        <v>1</v>
      </c>
      <c r="E277" s="1" t="s">
        <v>44</v>
      </c>
      <c r="F277" s="1">
        <v>15</v>
      </c>
      <c r="G277" s="1">
        <v>10</v>
      </c>
      <c r="H277" s="1" t="s">
        <v>70</v>
      </c>
      <c r="I277" s="1" t="s">
        <v>46</v>
      </c>
      <c r="J277" s="1" t="s">
        <v>72</v>
      </c>
      <c r="K277" s="1" t="s">
        <v>214</v>
      </c>
      <c r="L277" s="1" t="s">
        <v>355</v>
      </c>
      <c r="M277" t="str">
        <f t="shared" si="24"/>
        <v>Stachiewicz</v>
      </c>
      <c r="N277" t="str">
        <f t="shared" si="25"/>
        <v>Łochowski</v>
      </c>
      <c r="O277" t="str">
        <f t="shared" si="26"/>
        <v>Zholkovsky</v>
      </c>
      <c r="P277" t="str">
        <f t="shared" si="27"/>
        <v>Kimhi</v>
      </c>
      <c r="Q277">
        <f t="shared" si="28"/>
        <v>1</v>
      </c>
      <c r="R277" t="str">
        <f t="shared" si="29"/>
        <v>Stachiewicz-Łochowski-Zholkovsky-Kimhi</v>
      </c>
    </row>
    <row r="278" spans="1:18" x14ac:dyDescent="0.25">
      <c r="A278" s="1" t="s">
        <v>213</v>
      </c>
      <c r="B278" s="1">
        <v>274</v>
      </c>
      <c r="C278" s="1" t="s">
        <v>12</v>
      </c>
      <c r="D278" s="1">
        <v>2</v>
      </c>
      <c r="E278" s="1" t="s">
        <v>44</v>
      </c>
      <c r="F278" s="1">
        <v>15</v>
      </c>
      <c r="G278" s="1">
        <v>11</v>
      </c>
      <c r="H278" s="1" t="s">
        <v>70</v>
      </c>
      <c r="I278" s="1" t="s">
        <v>46</v>
      </c>
      <c r="J278" s="1" t="s">
        <v>72</v>
      </c>
      <c r="K278" s="1" t="s">
        <v>214</v>
      </c>
      <c r="L278" s="1" t="s">
        <v>355</v>
      </c>
      <c r="M278" t="str">
        <f t="shared" si="24"/>
        <v>Stachiewicz</v>
      </c>
      <c r="N278" t="str">
        <f t="shared" si="25"/>
        <v>Łochowski</v>
      </c>
      <c r="O278" t="str">
        <f t="shared" si="26"/>
        <v>Zholkovsky</v>
      </c>
      <c r="P278" t="str">
        <f t="shared" si="27"/>
        <v>Kimhi</v>
      </c>
      <c r="Q278">
        <f t="shared" si="28"/>
        <v>1</v>
      </c>
      <c r="R278" t="str">
        <f t="shared" si="29"/>
        <v>Stachiewicz-Łochowski-Zholkovsky-Kimhi</v>
      </c>
    </row>
    <row r="279" spans="1:18" x14ac:dyDescent="0.25">
      <c r="A279" s="1" t="s">
        <v>213</v>
      </c>
      <c r="B279" s="1">
        <v>276</v>
      </c>
      <c r="C279" s="1" t="s">
        <v>18</v>
      </c>
      <c r="D279" s="1">
        <v>1</v>
      </c>
      <c r="E279" s="1" t="s">
        <v>44</v>
      </c>
      <c r="F279" s="1">
        <v>12</v>
      </c>
      <c r="G279" s="1">
        <v>15</v>
      </c>
      <c r="H279" s="1" t="s">
        <v>70</v>
      </c>
      <c r="I279" s="1" t="s">
        <v>49</v>
      </c>
      <c r="J279" s="1" t="s">
        <v>75</v>
      </c>
      <c r="K279" s="1" t="s">
        <v>214</v>
      </c>
      <c r="L279" s="1" t="s">
        <v>355</v>
      </c>
      <c r="M279" t="str">
        <f t="shared" si="24"/>
        <v>Dudzik</v>
      </c>
      <c r="N279" t="str">
        <f t="shared" si="25"/>
        <v>Cichocki</v>
      </c>
      <c r="O279" t="str">
        <f t="shared" si="26"/>
        <v>Wish</v>
      </c>
      <c r="P279" t="str">
        <f t="shared" si="27"/>
        <v>Sendik</v>
      </c>
      <c r="Q279">
        <f t="shared" si="28"/>
        <v>0</v>
      </c>
      <c r="R279" t="str">
        <f t="shared" si="29"/>
        <v>Dudzik-Cichocki-Wish-Sendik</v>
      </c>
    </row>
    <row r="280" spans="1:18" x14ac:dyDescent="0.25">
      <c r="A280" s="1" t="s">
        <v>213</v>
      </c>
      <c r="B280" s="1">
        <v>277</v>
      </c>
      <c r="C280" s="1" t="s">
        <v>18</v>
      </c>
      <c r="D280" s="1">
        <v>2</v>
      </c>
      <c r="E280" s="1" t="s">
        <v>44</v>
      </c>
      <c r="F280" s="1">
        <v>15</v>
      </c>
      <c r="G280" s="1">
        <v>13</v>
      </c>
      <c r="H280" s="1" t="s">
        <v>70</v>
      </c>
      <c r="I280" s="1" t="s">
        <v>49</v>
      </c>
      <c r="J280" s="1" t="s">
        <v>75</v>
      </c>
      <c r="K280" s="1" t="s">
        <v>214</v>
      </c>
      <c r="L280" s="1" t="s">
        <v>355</v>
      </c>
      <c r="M280" t="str">
        <f t="shared" si="24"/>
        <v>Dudzik</v>
      </c>
      <c r="N280" t="str">
        <f t="shared" si="25"/>
        <v>Cichocki</v>
      </c>
      <c r="O280" t="str">
        <f t="shared" si="26"/>
        <v>Wish</v>
      </c>
      <c r="P280" t="str">
        <f t="shared" si="27"/>
        <v>Sendik</v>
      </c>
      <c r="Q280">
        <f t="shared" si="28"/>
        <v>1</v>
      </c>
      <c r="R280" t="str">
        <f t="shared" si="29"/>
        <v>Dudzik-Cichocki-Wish-Sendik</v>
      </c>
    </row>
    <row r="281" spans="1:18" x14ac:dyDescent="0.25">
      <c r="A281" s="1" t="s">
        <v>213</v>
      </c>
      <c r="B281" s="1">
        <v>279</v>
      </c>
      <c r="C281" s="1" t="s">
        <v>21</v>
      </c>
      <c r="D281" s="1">
        <v>1</v>
      </c>
      <c r="E281" s="1" t="s">
        <v>44</v>
      </c>
      <c r="F281" s="1">
        <v>15</v>
      </c>
      <c r="G281" s="1">
        <v>12</v>
      </c>
      <c r="H281" s="1" t="s">
        <v>70</v>
      </c>
      <c r="I281" s="1" t="s">
        <v>51</v>
      </c>
      <c r="J281" s="1" t="s">
        <v>77</v>
      </c>
      <c r="K281" s="1" t="s">
        <v>214</v>
      </c>
      <c r="L281" s="1" t="s">
        <v>355</v>
      </c>
      <c r="M281" t="str">
        <f t="shared" si="24"/>
        <v>Jordan</v>
      </c>
      <c r="N281" t="str">
        <f t="shared" si="25"/>
        <v>Ebert</v>
      </c>
      <c r="O281" t="str">
        <f t="shared" si="26"/>
        <v>Lurie</v>
      </c>
      <c r="P281" t="str">
        <f t="shared" si="27"/>
        <v>Melech</v>
      </c>
      <c r="Q281">
        <f t="shared" si="28"/>
        <v>1</v>
      </c>
      <c r="R281" t="str">
        <f t="shared" si="29"/>
        <v>Jordan-Ebert-Lurie-Melech</v>
      </c>
    </row>
    <row r="282" spans="1:18" x14ac:dyDescent="0.25">
      <c r="A282" s="1" t="s">
        <v>213</v>
      </c>
      <c r="B282" s="1">
        <v>280</v>
      </c>
      <c r="C282" s="1" t="s">
        <v>21</v>
      </c>
      <c r="D282" s="1">
        <v>2</v>
      </c>
      <c r="E282" s="1" t="s">
        <v>44</v>
      </c>
      <c r="F282" s="1">
        <v>15</v>
      </c>
      <c r="G282" s="1">
        <v>13</v>
      </c>
      <c r="H282" s="1" t="s">
        <v>70</v>
      </c>
      <c r="I282" s="1" t="s">
        <v>51</v>
      </c>
      <c r="J282" s="1" t="s">
        <v>77</v>
      </c>
      <c r="K282" s="1" t="s">
        <v>214</v>
      </c>
      <c r="L282" s="1" t="s">
        <v>355</v>
      </c>
      <c r="M282" t="str">
        <f t="shared" si="24"/>
        <v>Jordan</v>
      </c>
      <c r="N282" t="str">
        <f t="shared" si="25"/>
        <v>Ebert</v>
      </c>
      <c r="O282" t="str">
        <f t="shared" si="26"/>
        <v>Lurie</v>
      </c>
      <c r="P282" t="str">
        <f t="shared" si="27"/>
        <v>Melech</v>
      </c>
      <c r="Q282">
        <f t="shared" si="28"/>
        <v>1</v>
      </c>
      <c r="R282" t="str">
        <f t="shared" si="29"/>
        <v>Jordan-Ebert-Lurie-Melech</v>
      </c>
    </row>
    <row r="283" spans="1:18" x14ac:dyDescent="0.25">
      <c r="A283" s="1" t="s">
        <v>213</v>
      </c>
      <c r="B283" s="1">
        <v>282</v>
      </c>
      <c r="C283" s="1" t="s">
        <v>24</v>
      </c>
      <c r="D283" s="1">
        <v>1</v>
      </c>
      <c r="E283" s="1" t="s">
        <v>44</v>
      </c>
      <c r="F283" s="1">
        <v>16</v>
      </c>
      <c r="G283" s="1">
        <v>14</v>
      </c>
      <c r="H283" s="1" t="s">
        <v>70</v>
      </c>
      <c r="I283" s="1" t="s">
        <v>53</v>
      </c>
      <c r="J283" s="1" t="s">
        <v>79</v>
      </c>
      <c r="K283" s="1" t="s">
        <v>214</v>
      </c>
      <c r="L283" s="1" t="s">
        <v>355</v>
      </c>
      <c r="M283" t="str">
        <f t="shared" si="24"/>
        <v>Szymański</v>
      </c>
      <c r="N283" t="str">
        <f t="shared" si="25"/>
        <v>Urbański</v>
      </c>
      <c r="O283" t="str">
        <f t="shared" si="26"/>
        <v>Benishti</v>
      </c>
      <c r="P283" t="str">
        <f t="shared" si="27"/>
        <v>Tirosh</v>
      </c>
      <c r="Q283">
        <f t="shared" si="28"/>
        <v>1</v>
      </c>
      <c r="R283" t="str">
        <f t="shared" si="29"/>
        <v>Szymański-Urbański-Benishti-Tirosh</v>
      </c>
    </row>
    <row r="284" spans="1:18" x14ac:dyDescent="0.25">
      <c r="A284" s="1" t="s">
        <v>213</v>
      </c>
      <c r="B284" s="1">
        <v>283</v>
      </c>
      <c r="C284" s="1" t="s">
        <v>24</v>
      </c>
      <c r="D284" s="1">
        <v>2</v>
      </c>
      <c r="E284" s="1" t="s">
        <v>44</v>
      </c>
      <c r="F284" s="1">
        <v>13</v>
      </c>
      <c r="G284" s="1">
        <v>15</v>
      </c>
      <c r="H284" s="1" t="s">
        <v>70</v>
      </c>
      <c r="I284" s="1" t="s">
        <v>53</v>
      </c>
      <c r="J284" s="1" t="s">
        <v>79</v>
      </c>
      <c r="K284" s="1" t="s">
        <v>214</v>
      </c>
      <c r="L284" s="1" t="s">
        <v>355</v>
      </c>
      <c r="M284" t="str">
        <f t="shared" si="24"/>
        <v>Szymański</v>
      </c>
      <c r="N284" t="str">
        <f t="shared" si="25"/>
        <v>Urbański</v>
      </c>
      <c r="O284" t="str">
        <f t="shared" si="26"/>
        <v>Benishti</v>
      </c>
      <c r="P284" t="str">
        <f t="shared" si="27"/>
        <v>Tirosh</v>
      </c>
      <c r="Q284">
        <f t="shared" si="28"/>
        <v>0</v>
      </c>
      <c r="R284" t="str">
        <f t="shared" si="29"/>
        <v>Szymański-Urbański-Benishti-Tirosh</v>
      </c>
    </row>
    <row r="285" spans="1:18" x14ac:dyDescent="0.25">
      <c r="A285" s="1" t="s">
        <v>213</v>
      </c>
      <c r="B285" s="1">
        <v>285</v>
      </c>
      <c r="C285" s="1" t="s">
        <v>27</v>
      </c>
      <c r="D285" s="1">
        <v>1</v>
      </c>
      <c r="E285" s="1" t="s">
        <v>44</v>
      </c>
      <c r="F285" s="1">
        <v>15</v>
      </c>
      <c r="G285" s="1">
        <v>7</v>
      </c>
      <c r="H285" s="1" t="s">
        <v>70</v>
      </c>
      <c r="I285" s="1" t="s">
        <v>55</v>
      </c>
      <c r="J285" s="1" t="s">
        <v>81</v>
      </c>
      <c r="K285" s="1" t="s">
        <v>214</v>
      </c>
      <c r="L285" s="1" t="s">
        <v>355</v>
      </c>
      <c r="M285" t="str">
        <f t="shared" si="24"/>
        <v>Pętlak</v>
      </c>
      <c r="N285" t="str">
        <f t="shared" si="25"/>
        <v>Stachurski</v>
      </c>
      <c r="O285" t="str">
        <f t="shared" si="26"/>
        <v>Sone</v>
      </c>
      <c r="P285" t="str">
        <f t="shared" si="27"/>
        <v>Gitler</v>
      </c>
      <c r="Q285">
        <f t="shared" si="28"/>
        <v>1</v>
      </c>
      <c r="R285" t="str">
        <f t="shared" si="29"/>
        <v>Pętlak-Stachurski-Sone-Gitler</v>
      </c>
    </row>
    <row r="286" spans="1:18" x14ac:dyDescent="0.25">
      <c r="A286" s="1" t="s">
        <v>213</v>
      </c>
      <c r="B286" s="1">
        <v>286</v>
      </c>
      <c r="C286" s="1" t="s">
        <v>27</v>
      </c>
      <c r="D286" s="1">
        <v>2</v>
      </c>
      <c r="E286" s="1" t="s">
        <v>44</v>
      </c>
      <c r="F286" s="1">
        <v>15</v>
      </c>
      <c r="G286" s="1">
        <v>11</v>
      </c>
      <c r="H286" s="1" t="s">
        <v>70</v>
      </c>
      <c r="I286" s="1" t="s">
        <v>55</v>
      </c>
      <c r="J286" s="1" t="s">
        <v>81</v>
      </c>
      <c r="K286" s="1" t="s">
        <v>214</v>
      </c>
      <c r="L286" s="1" t="s">
        <v>355</v>
      </c>
      <c r="M286" t="str">
        <f t="shared" si="24"/>
        <v>Pętlak</v>
      </c>
      <c r="N286" t="str">
        <f t="shared" si="25"/>
        <v>Stachurski</v>
      </c>
      <c r="O286" t="str">
        <f t="shared" si="26"/>
        <v>Sone</v>
      </c>
      <c r="P286" t="str">
        <f t="shared" si="27"/>
        <v>Gitler</v>
      </c>
      <c r="Q286">
        <f t="shared" si="28"/>
        <v>1</v>
      </c>
      <c r="R286" t="str">
        <f t="shared" si="29"/>
        <v>Pętlak-Stachurski-Sone-Gitler</v>
      </c>
    </row>
    <row r="287" spans="1:18" x14ac:dyDescent="0.25">
      <c r="A287" s="1" t="s">
        <v>207</v>
      </c>
      <c r="B287" s="1">
        <v>3</v>
      </c>
      <c r="C287" s="1" t="s">
        <v>12</v>
      </c>
      <c r="D287" s="1">
        <v>1</v>
      </c>
      <c r="E287" s="1" t="s">
        <v>194</v>
      </c>
      <c r="F287" s="1">
        <v>15</v>
      </c>
      <c r="G287" s="1">
        <v>10</v>
      </c>
      <c r="H287" s="1" t="s">
        <v>44</v>
      </c>
      <c r="I287" s="1" t="s">
        <v>196</v>
      </c>
      <c r="J287" s="1" t="s">
        <v>46</v>
      </c>
      <c r="K287" s="1" t="s">
        <v>208</v>
      </c>
      <c r="L287" s="1" t="s">
        <v>355</v>
      </c>
      <c r="M287" t="str">
        <f t="shared" si="24"/>
        <v>Bosak</v>
      </c>
      <c r="N287" t="str">
        <f t="shared" si="25"/>
        <v>Cote</v>
      </c>
      <c r="O287" t="str">
        <f t="shared" si="26"/>
        <v>Stachiewicz</v>
      </c>
      <c r="P287" t="str">
        <f t="shared" si="27"/>
        <v>Łochowski</v>
      </c>
      <c r="Q287">
        <f t="shared" si="28"/>
        <v>1</v>
      </c>
      <c r="R287" t="str">
        <f t="shared" si="29"/>
        <v>Bosak-Cote-Stachiewicz-Łochowski</v>
      </c>
    </row>
    <row r="288" spans="1:18" x14ac:dyDescent="0.25">
      <c r="A288" s="1" t="s">
        <v>207</v>
      </c>
      <c r="B288" s="1">
        <v>4</v>
      </c>
      <c r="C288" s="1" t="s">
        <v>12</v>
      </c>
      <c r="D288" s="1">
        <v>2</v>
      </c>
      <c r="E288" s="1" t="s">
        <v>194</v>
      </c>
      <c r="F288" s="1">
        <v>10</v>
      </c>
      <c r="G288" s="1">
        <v>12</v>
      </c>
      <c r="H288" s="1" t="s">
        <v>44</v>
      </c>
      <c r="I288" s="1" t="s">
        <v>196</v>
      </c>
      <c r="J288" s="1" t="s">
        <v>46</v>
      </c>
      <c r="K288" s="1" t="s">
        <v>208</v>
      </c>
      <c r="L288" s="1" t="s">
        <v>355</v>
      </c>
      <c r="M288" t="str">
        <f t="shared" si="24"/>
        <v>Bosak</v>
      </c>
      <c r="N288" t="str">
        <f t="shared" si="25"/>
        <v>Cote</v>
      </c>
      <c r="O288" t="str">
        <f t="shared" si="26"/>
        <v>Stachiewicz</v>
      </c>
      <c r="P288" t="str">
        <f t="shared" si="27"/>
        <v>Łochowski</v>
      </c>
      <c r="Q288">
        <f t="shared" si="28"/>
        <v>0</v>
      </c>
      <c r="R288" t="str">
        <f t="shared" si="29"/>
        <v>Bosak-Cote-Stachiewicz-Łochowski</v>
      </c>
    </row>
    <row r="289" spans="1:18" x14ac:dyDescent="0.25">
      <c r="A289" s="1" t="s">
        <v>207</v>
      </c>
      <c r="B289" s="1">
        <v>6</v>
      </c>
      <c r="C289" s="1" t="s">
        <v>18</v>
      </c>
      <c r="D289" s="1">
        <v>1</v>
      </c>
      <c r="E289" s="1" t="s">
        <v>194</v>
      </c>
      <c r="F289" s="1">
        <v>15</v>
      </c>
      <c r="G289" s="1">
        <v>8</v>
      </c>
      <c r="H289" s="1" t="s">
        <v>44</v>
      </c>
      <c r="I289" s="1" t="s">
        <v>199</v>
      </c>
      <c r="J289" s="1" t="s">
        <v>49</v>
      </c>
      <c r="K289" s="1" t="s">
        <v>208</v>
      </c>
      <c r="L289" s="1" t="s">
        <v>355</v>
      </c>
      <c r="M289" t="str">
        <f t="shared" si="24"/>
        <v>Dean</v>
      </c>
      <c r="N289" t="str">
        <f t="shared" si="25"/>
        <v>Gagnon</v>
      </c>
      <c r="O289" t="str">
        <f t="shared" si="26"/>
        <v>Dudzik</v>
      </c>
      <c r="P289" t="str">
        <f t="shared" si="27"/>
        <v>Cichocki</v>
      </c>
      <c r="Q289">
        <f t="shared" si="28"/>
        <v>1</v>
      </c>
      <c r="R289" t="str">
        <f t="shared" si="29"/>
        <v>Dean-Gagnon-Dudzik-Cichocki</v>
      </c>
    </row>
    <row r="290" spans="1:18" x14ac:dyDescent="0.25">
      <c r="A290" s="1" t="s">
        <v>207</v>
      </c>
      <c r="B290" s="1">
        <v>7</v>
      </c>
      <c r="C290" s="1" t="s">
        <v>18</v>
      </c>
      <c r="D290" s="1">
        <v>2</v>
      </c>
      <c r="E290" s="1" t="s">
        <v>194</v>
      </c>
      <c r="F290" s="1">
        <v>15</v>
      </c>
      <c r="G290" s="1">
        <v>8</v>
      </c>
      <c r="H290" s="1" t="s">
        <v>44</v>
      </c>
      <c r="I290" s="1" t="s">
        <v>199</v>
      </c>
      <c r="J290" s="1" t="s">
        <v>49</v>
      </c>
      <c r="K290" s="1" t="s">
        <v>208</v>
      </c>
      <c r="L290" s="1" t="s">
        <v>355</v>
      </c>
      <c r="M290" t="str">
        <f t="shared" si="24"/>
        <v>Dean</v>
      </c>
      <c r="N290" t="str">
        <f t="shared" si="25"/>
        <v>Gagnon</v>
      </c>
      <c r="O290" t="str">
        <f t="shared" si="26"/>
        <v>Dudzik</v>
      </c>
      <c r="P290" t="str">
        <f t="shared" si="27"/>
        <v>Cichocki</v>
      </c>
      <c r="Q290">
        <f t="shared" si="28"/>
        <v>1</v>
      </c>
      <c r="R290" t="str">
        <f t="shared" si="29"/>
        <v>Dean-Gagnon-Dudzik-Cichocki</v>
      </c>
    </row>
    <row r="291" spans="1:18" x14ac:dyDescent="0.25">
      <c r="A291" s="1" t="s">
        <v>207</v>
      </c>
      <c r="B291" s="1">
        <v>9</v>
      </c>
      <c r="C291" s="1" t="s">
        <v>21</v>
      </c>
      <c r="D291" s="1">
        <v>1</v>
      </c>
      <c r="E291" s="1" t="s">
        <v>194</v>
      </c>
      <c r="F291" s="1">
        <v>15</v>
      </c>
      <c r="G291" s="1">
        <v>6</v>
      </c>
      <c r="H291" s="1" t="s">
        <v>44</v>
      </c>
      <c r="I291" s="1" t="s">
        <v>392</v>
      </c>
      <c r="J291" s="1" t="s">
        <v>51</v>
      </c>
      <c r="K291" s="1" t="s">
        <v>208</v>
      </c>
      <c r="L291" s="1" t="s">
        <v>355</v>
      </c>
      <c r="M291" t="str">
        <f t="shared" si="24"/>
        <v>Mathieu</v>
      </c>
      <c r="N291" t="str">
        <f t="shared" si="25"/>
        <v>E. Leung</v>
      </c>
      <c r="O291" t="str">
        <f t="shared" si="26"/>
        <v>Jordan</v>
      </c>
      <c r="P291" t="str">
        <f t="shared" si="27"/>
        <v>Ebert</v>
      </c>
      <c r="Q291">
        <f t="shared" si="28"/>
        <v>1</v>
      </c>
      <c r="R291" t="str">
        <f t="shared" si="29"/>
        <v>Mathieu-E. Leung-Jordan-Ebert</v>
      </c>
    </row>
    <row r="292" spans="1:18" x14ac:dyDescent="0.25">
      <c r="A292" s="1" t="s">
        <v>207</v>
      </c>
      <c r="B292" s="1">
        <v>10</v>
      </c>
      <c r="C292" s="1" t="s">
        <v>21</v>
      </c>
      <c r="D292" s="1">
        <v>2</v>
      </c>
      <c r="E292" s="1" t="s">
        <v>194</v>
      </c>
      <c r="F292" s="1">
        <v>15</v>
      </c>
      <c r="G292" s="1">
        <v>10</v>
      </c>
      <c r="H292" s="1" t="s">
        <v>44</v>
      </c>
      <c r="I292" s="1" t="s">
        <v>392</v>
      </c>
      <c r="J292" s="1" t="s">
        <v>51</v>
      </c>
      <c r="K292" s="1" t="s">
        <v>208</v>
      </c>
      <c r="L292" s="1" t="s">
        <v>355</v>
      </c>
      <c r="M292" t="str">
        <f t="shared" si="24"/>
        <v>Mathieu</v>
      </c>
      <c r="N292" t="str">
        <f t="shared" si="25"/>
        <v>E. Leung</v>
      </c>
      <c r="O292" t="str">
        <f t="shared" si="26"/>
        <v>Jordan</v>
      </c>
      <c r="P292" t="str">
        <f t="shared" si="27"/>
        <v>Ebert</v>
      </c>
      <c r="Q292">
        <f t="shared" si="28"/>
        <v>1</v>
      </c>
      <c r="R292" t="str">
        <f t="shared" si="29"/>
        <v>Mathieu-E. Leung-Jordan-Ebert</v>
      </c>
    </row>
    <row r="293" spans="1:18" x14ac:dyDescent="0.25">
      <c r="A293" s="1" t="s">
        <v>207</v>
      </c>
      <c r="B293" s="1">
        <v>12</v>
      </c>
      <c r="C293" s="1" t="s">
        <v>24</v>
      </c>
      <c r="D293" s="1">
        <v>1</v>
      </c>
      <c r="E293" s="1" t="s">
        <v>194</v>
      </c>
      <c r="F293" s="1">
        <v>15</v>
      </c>
      <c r="G293" s="1">
        <v>6</v>
      </c>
      <c r="H293" s="1" t="s">
        <v>44</v>
      </c>
      <c r="I293" s="1" t="s">
        <v>203</v>
      </c>
      <c r="J293" s="1" t="s">
        <v>53</v>
      </c>
      <c r="K293" s="1" t="s">
        <v>208</v>
      </c>
      <c r="L293" s="1" t="s">
        <v>355</v>
      </c>
      <c r="M293" t="str">
        <f t="shared" si="24"/>
        <v>Prince</v>
      </c>
      <c r="N293" t="str">
        <f t="shared" si="25"/>
        <v>Brown</v>
      </c>
      <c r="O293" t="str">
        <f t="shared" si="26"/>
        <v>Szymański</v>
      </c>
      <c r="P293" t="str">
        <f t="shared" si="27"/>
        <v>Urbański</v>
      </c>
      <c r="Q293">
        <f t="shared" si="28"/>
        <v>1</v>
      </c>
      <c r="R293" t="str">
        <f t="shared" si="29"/>
        <v>Prince-Brown-Szymański-Urbański</v>
      </c>
    </row>
    <row r="294" spans="1:18" x14ac:dyDescent="0.25">
      <c r="A294" s="1" t="s">
        <v>207</v>
      </c>
      <c r="B294" s="1">
        <v>13</v>
      </c>
      <c r="C294" s="1" t="s">
        <v>24</v>
      </c>
      <c r="D294" s="1">
        <v>2</v>
      </c>
      <c r="E294" s="1" t="s">
        <v>194</v>
      </c>
      <c r="F294" s="1">
        <v>15</v>
      </c>
      <c r="G294" s="1">
        <v>8</v>
      </c>
      <c r="H294" s="1" t="s">
        <v>44</v>
      </c>
      <c r="I294" s="1" t="s">
        <v>203</v>
      </c>
      <c r="J294" s="1" t="s">
        <v>53</v>
      </c>
      <c r="K294" s="1" t="s">
        <v>208</v>
      </c>
      <c r="L294" s="1" t="s">
        <v>355</v>
      </c>
      <c r="M294" t="str">
        <f t="shared" si="24"/>
        <v>Prince</v>
      </c>
      <c r="N294" t="str">
        <f t="shared" si="25"/>
        <v>Brown</v>
      </c>
      <c r="O294" t="str">
        <f t="shared" si="26"/>
        <v>Szymański</v>
      </c>
      <c r="P294" t="str">
        <f t="shared" si="27"/>
        <v>Urbański</v>
      </c>
      <c r="Q294">
        <f t="shared" si="28"/>
        <v>1</v>
      </c>
      <c r="R294" t="str">
        <f t="shared" si="29"/>
        <v>Prince-Brown-Szymański-Urbański</v>
      </c>
    </row>
    <row r="295" spans="1:18" x14ac:dyDescent="0.25">
      <c r="A295" s="1" t="s">
        <v>207</v>
      </c>
      <c r="B295" s="1">
        <v>15</v>
      </c>
      <c r="C295" s="1" t="s">
        <v>27</v>
      </c>
      <c r="D295" s="1">
        <v>1</v>
      </c>
      <c r="E295" s="1" t="s">
        <v>194</v>
      </c>
      <c r="F295" s="1">
        <v>15</v>
      </c>
      <c r="G295" s="1">
        <v>3</v>
      </c>
      <c r="H295" s="1" t="s">
        <v>44</v>
      </c>
      <c r="I295" s="1" t="s">
        <v>205</v>
      </c>
      <c r="J295" s="1" t="s">
        <v>55</v>
      </c>
      <c r="K295" s="1" t="s">
        <v>208</v>
      </c>
      <c r="L295" s="1" t="s">
        <v>355</v>
      </c>
      <c r="M295" t="str">
        <f t="shared" si="24"/>
        <v>Babin</v>
      </c>
      <c r="N295" t="str">
        <f t="shared" si="25"/>
        <v>Laurin</v>
      </c>
      <c r="O295" t="str">
        <f t="shared" si="26"/>
        <v>Pętlak</v>
      </c>
      <c r="P295" t="str">
        <f t="shared" si="27"/>
        <v>Stachurski</v>
      </c>
      <c r="Q295">
        <f t="shared" si="28"/>
        <v>1</v>
      </c>
      <c r="R295" t="str">
        <f t="shared" si="29"/>
        <v>Babin-Laurin-Pętlak-Stachurski</v>
      </c>
    </row>
    <row r="296" spans="1:18" x14ac:dyDescent="0.25">
      <c r="A296" s="1" t="s">
        <v>207</v>
      </c>
      <c r="B296" s="1">
        <v>16</v>
      </c>
      <c r="C296" s="1" t="s">
        <v>27</v>
      </c>
      <c r="D296" s="1">
        <v>2</v>
      </c>
      <c r="E296" s="1" t="s">
        <v>194</v>
      </c>
      <c r="F296" s="1">
        <v>15</v>
      </c>
      <c r="G296" s="1">
        <v>9</v>
      </c>
      <c r="H296" s="1" t="s">
        <v>44</v>
      </c>
      <c r="I296" s="1" t="s">
        <v>205</v>
      </c>
      <c r="J296" s="1" t="s">
        <v>55</v>
      </c>
      <c r="K296" s="1" t="s">
        <v>208</v>
      </c>
      <c r="L296" s="1" t="s">
        <v>355</v>
      </c>
      <c r="M296" t="str">
        <f t="shared" si="24"/>
        <v>Babin</v>
      </c>
      <c r="N296" t="str">
        <f t="shared" si="25"/>
        <v>Laurin</v>
      </c>
      <c r="O296" t="str">
        <f t="shared" si="26"/>
        <v>Pętlak</v>
      </c>
      <c r="P296" t="str">
        <f t="shared" si="27"/>
        <v>Stachurski</v>
      </c>
      <c r="Q296">
        <f t="shared" si="28"/>
        <v>1</v>
      </c>
      <c r="R296" t="str">
        <f t="shared" si="29"/>
        <v>Babin-Laurin-Pętlak-Stachurski</v>
      </c>
    </row>
    <row r="297" spans="1:18" x14ac:dyDescent="0.25">
      <c r="A297" s="1" t="s">
        <v>207</v>
      </c>
      <c r="B297" s="1">
        <v>21</v>
      </c>
      <c r="C297" s="1" t="s">
        <v>12</v>
      </c>
      <c r="D297" s="1">
        <v>1</v>
      </c>
      <c r="E297" s="1" t="s">
        <v>195</v>
      </c>
      <c r="F297" s="1">
        <v>15</v>
      </c>
      <c r="G297" s="1">
        <v>7</v>
      </c>
      <c r="H297" s="1" t="s">
        <v>31</v>
      </c>
      <c r="I297" s="1" t="s">
        <v>197</v>
      </c>
      <c r="J297" s="1" t="s">
        <v>420</v>
      </c>
      <c r="K297" s="1" t="s">
        <v>208</v>
      </c>
      <c r="L297" s="1" t="s">
        <v>355</v>
      </c>
      <c r="M297" t="str">
        <f t="shared" si="24"/>
        <v>Cole</v>
      </c>
      <c r="N297" t="str">
        <f t="shared" si="25"/>
        <v>Klapwijk</v>
      </c>
      <c r="O297" t="str">
        <f t="shared" si="26"/>
        <v>W. Chang</v>
      </c>
      <c r="P297" t="str">
        <f t="shared" si="27"/>
        <v>Chou</v>
      </c>
      <c r="Q297">
        <f t="shared" si="28"/>
        <v>1</v>
      </c>
      <c r="R297" t="str">
        <f t="shared" si="29"/>
        <v>Cole-Klapwijk-W. Chang-Chou</v>
      </c>
    </row>
    <row r="298" spans="1:18" x14ac:dyDescent="0.25">
      <c r="A298" s="1" t="s">
        <v>207</v>
      </c>
      <c r="B298" s="1">
        <v>22</v>
      </c>
      <c r="C298" s="1" t="s">
        <v>12</v>
      </c>
      <c r="D298" s="1">
        <v>2</v>
      </c>
      <c r="E298" s="1" t="s">
        <v>195</v>
      </c>
      <c r="F298" s="1">
        <v>15</v>
      </c>
      <c r="G298" s="1">
        <v>13</v>
      </c>
      <c r="H298" s="1" t="s">
        <v>31</v>
      </c>
      <c r="I298" s="1" t="s">
        <v>197</v>
      </c>
      <c r="J298" s="1" t="s">
        <v>420</v>
      </c>
      <c r="K298" s="1" t="s">
        <v>208</v>
      </c>
      <c r="L298" s="1" t="s">
        <v>355</v>
      </c>
      <c r="M298" t="str">
        <f t="shared" si="24"/>
        <v>Cole</v>
      </c>
      <c r="N298" t="str">
        <f t="shared" si="25"/>
        <v>Klapwijk</v>
      </c>
      <c r="O298" t="str">
        <f t="shared" si="26"/>
        <v>W. Chang</v>
      </c>
      <c r="P298" t="str">
        <f t="shared" si="27"/>
        <v>Chou</v>
      </c>
      <c r="Q298">
        <f t="shared" si="28"/>
        <v>1</v>
      </c>
      <c r="R298" t="str">
        <f t="shared" si="29"/>
        <v>Cole-Klapwijk-W. Chang-Chou</v>
      </c>
    </row>
    <row r="299" spans="1:18" x14ac:dyDescent="0.25">
      <c r="A299" s="1" t="s">
        <v>207</v>
      </c>
      <c r="B299" s="1">
        <v>24</v>
      </c>
      <c r="C299" s="1" t="s">
        <v>18</v>
      </c>
      <c r="D299" s="1">
        <v>1</v>
      </c>
      <c r="E299" s="1" t="s">
        <v>195</v>
      </c>
      <c r="F299" s="1">
        <v>15</v>
      </c>
      <c r="G299" s="1">
        <v>7</v>
      </c>
      <c r="H299" s="1" t="s">
        <v>31</v>
      </c>
      <c r="I299" s="1" t="s">
        <v>200</v>
      </c>
      <c r="J299" s="1" t="s">
        <v>422</v>
      </c>
      <c r="K299" s="1" t="s">
        <v>208</v>
      </c>
      <c r="L299" s="1" t="s">
        <v>355</v>
      </c>
      <c r="M299" t="str">
        <f t="shared" si="24"/>
        <v>Finocchi</v>
      </c>
      <c r="N299" t="str">
        <f t="shared" si="25"/>
        <v>Picone</v>
      </c>
      <c r="O299" t="str">
        <f t="shared" si="26"/>
        <v>R. Lee</v>
      </c>
      <c r="P299" t="str">
        <f t="shared" si="27"/>
        <v>P. Chen</v>
      </c>
      <c r="Q299">
        <f t="shared" si="28"/>
        <v>1</v>
      </c>
      <c r="R299" t="str">
        <f t="shared" si="29"/>
        <v>Finocchi-Picone-R. Lee-P. Chen</v>
      </c>
    </row>
    <row r="300" spans="1:18" x14ac:dyDescent="0.25">
      <c r="A300" s="1" t="s">
        <v>207</v>
      </c>
      <c r="B300" s="1">
        <v>25</v>
      </c>
      <c r="C300" s="1" t="s">
        <v>18</v>
      </c>
      <c r="D300" s="1">
        <v>2</v>
      </c>
      <c r="E300" s="1" t="s">
        <v>195</v>
      </c>
      <c r="F300" s="1">
        <v>12</v>
      </c>
      <c r="G300" s="1">
        <v>9</v>
      </c>
      <c r="H300" s="1" t="s">
        <v>31</v>
      </c>
      <c r="I300" s="1" t="s">
        <v>200</v>
      </c>
      <c r="J300" s="1" t="s">
        <v>422</v>
      </c>
      <c r="K300" s="1" t="s">
        <v>208</v>
      </c>
      <c r="L300" s="1" t="s">
        <v>355</v>
      </c>
      <c r="M300" t="str">
        <f t="shared" si="24"/>
        <v>Finocchi</v>
      </c>
      <c r="N300" t="str">
        <f t="shared" si="25"/>
        <v>Picone</v>
      </c>
      <c r="O300" t="str">
        <f t="shared" si="26"/>
        <v>R. Lee</v>
      </c>
      <c r="P300" t="str">
        <f t="shared" si="27"/>
        <v>P. Chen</v>
      </c>
      <c r="Q300">
        <f t="shared" si="28"/>
        <v>1</v>
      </c>
      <c r="R300" t="str">
        <f t="shared" si="29"/>
        <v>Finocchi-Picone-R. Lee-P. Chen</v>
      </c>
    </row>
    <row r="301" spans="1:18" x14ac:dyDescent="0.25">
      <c r="A301" s="1" t="s">
        <v>207</v>
      </c>
      <c r="B301" s="1">
        <v>27</v>
      </c>
      <c r="C301" s="1" t="s">
        <v>21</v>
      </c>
      <c r="D301" s="1">
        <v>1</v>
      </c>
      <c r="E301" s="1" t="s">
        <v>195</v>
      </c>
      <c r="F301" s="1">
        <v>15</v>
      </c>
      <c r="G301" s="1">
        <v>8</v>
      </c>
      <c r="H301" s="1" t="s">
        <v>31</v>
      </c>
      <c r="I301" s="1" t="s">
        <v>202</v>
      </c>
      <c r="J301" s="1" t="s">
        <v>411</v>
      </c>
      <c r="K301" s="1" t="s">
        <v>208</v>
      </c>
      <c r="L301" s="1" t="s">
        <v>355</v>
      </c>
      <c r="M301" t="str">
        <f t="shared" si="24"/>
        <v>Bondi</v>
      </c>
      <c r="N301" t="str">
        <f t="shared" si="25"/>
        <v>Gross</v>
      </c>
      <c r="O301" t="str">
        <f t="shared" si="26"/>
        <v>Kao</v>
      </c>
      <c r="P301" t="str">
        <f t="shared" si="27"/>
        <v>Min. Chen</v>
      </c>
      <c r="Q301">
        <f t="shared" si="28"/>
        <v>1</v>
      </c>
      <c r="R301" t="str">
        <f t="shared" si="29"/>
        <v>Bondi-Gross-Kao-Min. Chen</v>
      </c>
    </row>
    <row r="302" spans="1:18" x14ac:dyDescent="0.25">
      <c r="A302" s="1" t="s">
        <v>207</v>
      </c>
      <c r="B302" s="1">
        <v>28</v>
      </c>
      <c r="C302" s="1" t="s">
        <v>21</v>
      </c>
      <c r="D302" s="1">
        <v>2</v>
      </c>
      <c r="E302" s="1" t="s">
        <v>195</v>
      </c>
      <c r="F302" s="1">
        <v>15</v>
      </c>
      <c r="G302" s="1">
        <v>7</v>
      </c>
      <c r="H302" s="1" t="s">
        <v>31</v>
      </c>
      <c r="I302" s="1" t="s">
        <v>202</v>
      </c>
      <c r="J302" s="1" t="s">
        <v>411</v>
      </c>
      <c r="K302" s="1" t="s">
        <v>208</v>
      </c>
      <c r="L302" s="1" t="s">
        <v>355</v>
      </c>
      <c r="M302" t="str">
        <f t="shared" si="24"/>
        <v>Bondi</v>
      </c>
      <c r="N302" t="str">
        <f t="shared" si="25"/>
        <v>Gross</v>
      </c>
      <c r="O302" t="str">
        <f t="shared" si="26"/>
        <v>Kao</v>
      </c>
      <c r="P302" t="str">
        <f t="shared" si="27"/>
        <v>Min. Chen</v>
      </c>
      <c r="Q302">
        <f t="shared" si="28"/>
        <v>1</v>
      </c>
      <c r="R302" t="str">
        <f t="shared" si="29"/>
        <v>Bondi-Gross-Kao-Min. Chen</v>
      </c>
    </row>
    <row r="303" spans="1:18" x14ac:dyDescent="0.25">
      <c r="A303" s="1" t="s">
        <v>207</v>
      </c>
      <c r="B303" s="1">
        <v>30</v>
      </c>
      <c r="C303" s="1" t="s">
        <v>24</v>
      </c>
      <c r="D303" s="1">
        <v>1</v>
      </c>
      <c r="E303" s="1" t="s">
        <v>195</v>
      </c>
      <c r="F303" s="1">
        <v>15</v>
      </c>
      <c r="G303" s="1">
        <v>5</v>
      </c>
      <c r="H303" s="1" t="s">
        <v>31</v>
      </c>
      <c r="I303" s="1" t="s">
        <v>204</v>
      </c>
      <c r="J303" s="1" t="s">
        <v>361</v>
      </c>
      <c r="K303" s="1" t="s">
        <v>208</v>
      </c>
      <c r="L303" s="1" t="s">
        <v>355</v>
      </c>
      <c r="M303" t="str">
        <f t="shared" si="24"/>
        <v>Hamilton</v>
      </c>
      <c r="N303" t="str">
        <f t="shared" si="25"/>
        <v>Marino</v>
      </c>
      <c r="O303" t="str">
        <f t="shared" si="26"/>
        <v>Ma</v>
      </c>
      <c r="P303" t="str">
        <f t="shared" si="27"/>
        <v>Hu</v>
      </c>
      <c r="Q303">
        <f t="shared" si="28"/>
        <v>1</v>
      </c>
      <c r="R303" t="str">
        <f t="shared" si="29"/>
        <v>Hamilton-Marino-Ma-Hu</v>
      </c>
    </row>
    <row r="304" spans="1:18" x14ac:dyDescent="0.25">
      <c r="A304" s="1" t="s">
        <v>207</v>
      </c>
      <c r="B304" s="1">
        <v>31</v>
      </c>
      <c r="C304" s="1" t="s">
        <v>24</v>
      </c>
      <c r="D304" s="1">
        <v>2</v>
      </c>
      <c r="E304" s="1" t="s">
        <v>195</v>
      </c>
      <c r="F304" s="1">
        <v>15</v>
      </c>
      <c r="G304" s="1">
        <v>12</v>
      </c>
      <c r="H304" s="1" t="s">
        <v>31</v>
      </c>
      <c r="I304" s="1" t="s">
        <v>204</v>
      </c>
      <c r="J304" s="1" t="s">
        <v>361</v>
      </c>
      <c r="K304" s="1" t="s">
        <v>208</v>
      </c>
      <c r="L304" s="1" t="s">
        <v>355</v>
      </c>
      <c r="M304" t="str">
        <f t="shared" si="24"/>
        <v>Hamilton</v>
      </c>
      <c r="N304" t="str">
        <f t="shared" si="25"/>
        <v>Marino</v>
      </c>
      <c r="O304" t="str">
        <f t="shared" si="26"/>
        <v>Ma</v>
      </c>
      <c r="P304" t="str">
        <f t="shared" si="27"/>
        <v>Hu</v>
      </c>
      <c r="Q304">
        <f t="shared" si="28"/>
        <v>1</v>
      </c>
      <c r="R304" t="str">
        <f t="shared" si="29"/>
        <v>Hamilton-Marino-Ma-Hu</v>
      </c>
    </row>
    <row r="305" spans="1:18" x14ac:dyDescent="0.25">
      <c r="A305" s="1" t="s">
        <v>207</v>
      </c>
      <c r="B305" s="1">
        <v>33</v>
      </c>
      <c r="C305" s="1" t="s">
        <v>27</v>
      </c>
      <c r="D305" s="1">
        <v>1</v>
      </c>
      <c r="E305" s="1" t="s">
        <v>195</v>
      </c>
      <c r="F305" s="1">
        <v>15</v>
      </c>
      <c r="G305" s="1">
        <v>2</v>
      </c>
      <c r="H305" s="1" t="s">
        <v>31</v>
      </c>
      <c r="I305" s="1" t="s">
        <v>206</v>
      </c>
      <c r="J305" s="1" t="s">
        <v>415</v>
      </c>
      <c r="K305" s="1" t="s">
        <v>208</v>
      </c>
      <c r="L305" s="1" t="s">
        <v>355</v>
      </c>
      <c r="M305" t="str">
        <f t="shared" si="24"/>
        <v>Nelson</v>
      </c>
      <c r="N305" t="str">
        <f t="shared" si="25"/>
        <v>Rose</v>
      </c>
      <c r="O305" t="str">
        <f t="shared" si="26"/>
        <v>Peng</v>
      </c>
      <c r="P305" t="str">
        <f t="shared" si="27"/>
        <v>W. Kuo</v>
      </c>
      <c r="Q305">
        <f t="shared" si="28"/>
        <v>1</v>
      </c>
      <c r="R305" t="str">
        <f t="shared" si="29"/>
        <v>Nelson-Rose-Peng-W. Kuo</v>
      </c>
    </row>
    <row r="306" spans="1:18" x14ac:dyDescent="0.25">
      <c r="A306" s="1" t="s">
        <v>207</v>
      </c>
      <c r="B306" s="1">
        <v>34</v>
      </c>
      <c r="C306" s="1" t="s">
        <v>27</v>
      </c>
      <c r="D306" s="1">
        <v>2</v>
      </c>
      <c r="E306" s="1" t="s">
        <v>195</v>
      </c>
      <c r="F306" s="1">
        <v>15</v>
      </c>
      <c r="G306" s="1">
        <v>4</v>
      </c>
      <c r="H306" s="1" t="s">
        <v>31</v>
      </c>
      <c r="I306" s="1" t="s">
        <v>206</v>
      </c>
      <c r="J306" s="1" t="s">
        <v>415</v>
      </c>
      <c r="K306" s="1" t="s">
        <v>208</v>
      </c>
      <c r="L306" s="1" t="s">
        <v>355</v>
      </c>
      <c r="M306" t="str">
        <f t="shared" si="24"/>
        <v>Nelson</v>
      </c>
      <c r="N306" t="str">
        <f t="shared" si="25"/>
        <v>Rose</v>
      </c>
      <c r="O306" t="str">
        <f t="shared" si="26"/>
        <v>Peng</v>
      </c>
      <c r="P306" t="str">
        <f t="shared" si="27"/>
        <v>W. Kuo</v>
      </c>
      <c r="Q306">
        <f t="shared" si="28"/>
        <v>1</v>
      </c>
      <c r="R306" t="str">
        <f t="shared" si="29"/>
        <v>Nelson-Rose-Peng-W. Kuo</v>
      </c>
    </row>
    <row r="307" spans="1:18" x14ac:dyDescent="0.25">
      <c r="A307" s="1" t="s">
        <v>207</v>
      </c>
      <c r="B307" s="1">
        <v>39</v>
      </c>
      <c r="C307" s="1" t="s">
        <v>12</v>
      </c>
      <c r="D307" s="1">
        <v>1</v>
      </c>
      <c r="E307" s="1" t="s">
        <v>146</v>
      </c>
      <c r="F307" s="1">
        <v>15</v>
      </c>
      <c r="G307" s="1">
        <v>8</v>
      </c>
      <c r="H307" s="1" t="s">
        <v>43</v>
      </c>
      <c r="I307" s="1" t="s">
        <v>148</v>
      </c>
      <c r="J307" s="1" t="s">
        <v>45</v>
      </c>
      <c r="K307" s="1" t="s">
        <v>208</v>
      </c>
      <c r="L307" s="1" t="s">
        <v>355</v>
      </c>
      <c r="M307" t="str">
        <f t="shared" si="24"/>
        <v>Eisenträger</v>
      </c>
      <c r="N307" t="str">
        <f t="shared" si="25"/>
        <v>Siemer</v>
      </c>
      <c r="O307" t="str">
        <f t="shared" si="26"/>
        <v>Cabala</v>
      </c>
      <c r="P307" t="str">
        <f t="shared" si="27"/>
        <v>Nerad</v>
      </c>
      <c r="Q307">
        <f t="shared" si="28"/>
        <v>1</v>
      </c>
      <c r="R307" t="str">
        <f t="shared" si="29"/>
        <v>Eisenträger-Siemer-Cabala-Nerad</v>
      </c>
    </row>
    <row r="308" spans="1:18" x14ac:dyDescent="0.25">
      <c r="A308" s="1" t="s">
        <v>207</v>
      </c>
      <c r="B308" s="1">
        <v>40</v>
      </c>
      <c r="C308" s="1" t="s">
        <v>12</v>
      </c>
      <c r="D308" s="1">
        <v>2</v>
      </c>
      <c r="E308" s="1" t="s">
        <v>146</v>
      </c>
      <c r="F308" s="1">
        <v>15</v>
      </c>
      <c r="G308" s="1">
        <v>9</v>
      </c>
      <c r="H308" s="1" t="s">
        <v>43</v>
      </c>
      <c r="I308" s="1" t="s">
        <v>148</v>
      </c>
      <c r="J308" s="1" t="s">
        <v>45</v>
      </c>
      <c r="K308" s="1" t="s">
        <v>208</v>
      </c>
      <c r="L308" s="1" t="s">
        <v>355</v>
      </c>
      <c r="M308" t="str">
        <f t="shared" si="24"/>
        <v>Eisenträger</v>
      </c>
      <c r="N308" t="str">
        <f t="shared" si="25"/>
        <v>Siemer</v>
      </c>
      <c r="O308" t="str">
        <f t="shared" si="26"/>
        <v>Cabala</v>
      </c>
      <c r="P308" t="str">
        <f t="shared" si="27"/>
        <v>Nerad</v>
      </c>
      <c r="Q308">
        <f t="shared" si="28"/>
        <v>1</v>
      </c>
      <c r="R308" t="str">
        <f t="shared" si="29"/>
        <v>Eisenträger-Siemer-Cabala-Nerad</v>
      </c>
    </row>
    <row r="309" spans="1:18" x14ac:dyDescent="0.25">
      <c r="A309" s="1" t="s">
        <v>207</v>
      </c>
      <c r="B309" s="1">
        <v>42</v>
      </c>
      <c r="C309" s="1" t="s">
        <v>18</v>
      </c>
      <c r="D309" s="1">
        <v>1</v>
      </c>
      <c r="E309" s="1" t="s">
        <v>146</v>
      </c>
      <c r="F309" s="1">
        <v>15</v>
      </c>
      <c r="G309" s="1">
        <v>9</v>
      </c>
      <c r="H309" s="1" t="s">
        <v>43</v>
      </c>
      <c r="I309" s="1" t="s">
        <v>151</v>
      </c>
      <c r="J309" s="1" t="s">
        <v>48</v>
      </c>
      <c r="K309" s="1" t="s">
        <v>208</v>
      </c>
      <c r="L309" s="1" t="s">
        <v>355</v>
      </c>
      <c r="M309" t="str">
        <f t="shared" si="24"/>
        <v>Grönebaum</v>
      </c>
      <c r="N309" t="str">
        <f t="shared" si="25"/>
        <v>Prüfer</v>
      </c>
      <c r="O309" t="str">
        <f t="shared" si="26"/>
        <v>Mezzey</v>
      </c>
      <c r="P309" t="str">
        <f t="shared" si="27"/>
        <v>Visek</v>
      </c>
      <c r="Q309">
        <f t="shared" si="28"/>
        <v>1</v>
      </c>
      <c r="R309" t="str">
        <f t="shared" si="29"/>
        <v>Grönebaum-Prüfer-Mezzey-Visek</v>
      </c>
    </row>
    <row r="310" spans="1:18" x14ac:dyDescent="0.25">
      <c r="A310" s="1" t="s">
        <v>207</v>
      </c>
      <c r="B310" s="1">
        <v>43</v>
      </c>
      <c r="C310" s="1" t="s">
        <v>18</v>
      </c>
      <c r="D310" s="1">
        <v>2</v>
      </c>
      <c r="E310" s="1" t="s">
        <v>146</v>
      </c>
      <c r="F310" s="1">
        <v>15</v>
      </c>
      <c r="G310" s="1">
        <v>7</v>
      </c>
      <c r="H310" s="1" t="s">
        <v>43</v>
      </c>
      <c r="I310" s="1" t="s">
        <v>151</v>
      </c>
      <c r="J310" s="1" t="s">
        <v>48</v>
      </c>
      <c r="K310" s="1" t="s">
        <v>208</v>
      </c>
      <c r="L310" s="1" t="s">
        <v>355</v>
      </c>
      <c r="M310" t="str">
        <f t="shared" si="24"/>
        <v>Grönebaum</v>
      </c>
      <c r="N310" t="str">
        <f t="shared" si="25"/>
        <v>Prüfer</v>
      </c>
      <c r="O310" t="str">
        <f t="shared" si="26"/>
        <v>Mezzey</v>
      </c>
      <c r="P310" t="str">
        <f t="shared" si="27"/>
        <v>Visek</v>
      </c>
      <c r="Q310">
        <f t="shared" si="28"/>
        <v>1</v>
      </c>
      <c r="R310" t="str">
        <f t="shared" si="29"/>
        <v>Grönebaum-Prüfer-Mezzey-Visek</v>
      </c>
    </row>
    <row r="311" spans="1:18" x14ac:dyDescent="0.25">
      <c r="A311" s="1" t="s">
        <v>207</v>
      </c>
      <c r="B311" s="1">
        <v>45</v>
      </c>
      <c r="C311" s="1" t="s">
        <v>21</v>
      </c>
      <c r="D311" s="1">
        <v>1</v>
      </c>
      <c r="E311" s="1" t="s">
        <v>146</v>
      </c>
      <c r="F311" s="1">
        <v>15</v>
      </c>
      <c r="G311" s="1">
        <v>9</v>
      </c>
      <c r="H311" s="1" t="s">
        <v>43</v>
      </c>
      <c r="I311" s="1" t="s">
        <v>153</v>
      </c>
      <c r="J311" s="1" t="s">
        <v>50</v>
      </c>
      <c r="K311" s="1" t="s">
        <v>208</v>
      </c>
      <c r="L311" s="1" t="s">
        <v>355</v>
      </c>
      <c r="M311" t="str">
        <f t="shared" si="24"/>
        <v>Claus</v>
      </c>
      <c r="N311" t="str">
        <f t="shared" si="25"/>
        <v>Lauterbach</v>
      </c>
      <c r="O311" t="str">
        <f t="shared" si="26"/>
        <v>Grohman</v>
      </c>
      <c r="P311" t="str">
        <f t="shared" si="27"/>
        <v>Soukup</v>
      </c>
      <c r="Q311">
        <f t="shared" si="28"/>
        <v>1</v>
      </c>
      <c r="R311" t="str">
        <f t="shared" si="29"/>
        <v>Claus-Lauterbach-Grohman-Soukup</v>
      </c>
    </row>
    <row r="312" spans="1:18" x14ac:dyDescent="0.25">
      <c r="A312" s="1" t="s">
        <v>207</v>
      </c>
      <c r="B312" s="1">
        <v>46</v>
      </c>
      <c r="C312" s="1" t="s">
        <v>21</v>
      </c>
      <c r="D312" s="1">
        <v>2</v>
      </c>
      <c r="E312" s="1" t="s">
        <v>146</v>
      </c>
      <c r="F312" s="1">
        <v>15</v>
      </c>
      <c r="G312" s="1">
        <v>6</v>
      </c>
      <c r="H312" s="1" t="s">
        <v>43</v>
      </c>
      <c r="I312" s="1" t="s">
        <v>153</v>
      </c>
      <c r="J312" s="1" t="s">
        <v>50</v>
      </c>
      <c r="K312" s="1" t="s">
        <v>208</v>
      </c>
      <c r="L312" s="1" t="s">
        <v>355</v>
      </c>
      <c r="M312" t="str">
        <f t="shared" si="24"/>
        <v>Claus</v>
      </c>
      <c r="N312" t="str">
        <f t="shared" si="25"/>
        <v>Lauterbach</v>
      </c>
      <c r="O312" t="str">
        <f t="shared" si="26"/>
        <v>Grohman</v>
      </c>
      <c r="P312" t="str">
        <f t="shared" si="27"/>
        <v>Soukup</v>
      </c>
      <c r="Q312">
        <f t="shared" si="28"/>
        <v>1</v>
      </c>
      <c r="R312" t="str">
        <f t="shared" si="29"/>
        <v>Claus-Lauterbach-Grohman-Soukup</v>
      </c>
    </row>
    <row r="313" spans="1:18" x14ac:dyDescent="0.25">
      <c r="A313" s="1" t="s">
        <v>207</v>
      </c>
      <c r="B313" s="1">
        <v>48</v>
      </c>
      <c r="C313" s="1" t="s">
        <v>24</v>
      </c>
      <c r="D313" s="1">
        <v>1</v>
      </c>
      <c r="E313" s="1" t="s">
        <v>146</v>
      </c>
      <c r="F313" s="1">
        <v>15</v>
      </c>
      <c r="G313" s="1">
        <v>8</v>
      </c>
      <c r="H313" s="1" t="s">
        <v>43</v>
      </c>
      <c r="I313" s="1" t="s">
        <v>209</v>
      </c>
      <c r="J313" s="1" t="s">
        <v>52</v>
      </c>
      <c r="K313" s="1" t="s">
        <v>208</v>
      </c>
      <c r="L313" s="1" t="s">
        <v>355</v>
      </c>
      <c r="M313" t="str">
        <f t="shared" si="24"/>
        <v>Christiani</v>
      </c>
      <c r="N313" t="str">
        <f t="shared" si="25"/>
        <v>Harder</v>
      </c>
      <c r="O313" t="str">
        <f t="shared" si="26"/>
        <v>Daling</v>
      </c>
      <c r="P313" t="str">
        <f t="shared" si="27"/>
        <v>Olsansky</v>
      </c>
      <c r="Q313">
        <f t="shared" si="28"/>
        <v>1</v>
      </c>
      <c r="R313" t="str">
        <f t="shared" si="29"/>
        <v>Christiani-Harder-Daling-Olsansky</v>
      </c>
    </row>
    <row r="314" spans="1:18" x14ac:dyDescent="0.25">
      <c r="A314" s="1" t="s">
        <v>207</v>
      </c>
      <c r="B314" s="1">
        <v>49</v>
      </c>
      <c r="C314" s="1" t="s">
        <v>24</v>
      </c>
      <c r="D314" s="1">
        <v>2</v>
      </c>
      <c r="E314" s="1" t="s">
        <v>146</v>
      </c>
      <c r="F314" s="1">
        <v>15</v>
      </c>
      <c r="G314" s="1">
        <v>6</v>
      </c>
      <c r="H314" s="1" t="s">
        <v>43</v>
      </c>
      <c r="I314" s="1" t="s">
        <v>209</v>
      </c>
      <c r="J314" s="1" t="s">
        <v>52</v>
      </c>
      <c r="K314" s="1" t="s">
        <v>208</v>
      </c>
      <c r="L314" s="1" t="s">
        <v>355</v>
      </c>
      <c r="M314" t="str">
        <f t="shared" si="24"/>
        <v>Christiani</v>
      </c>
      <c r="N314" t="str">
        <f t="shared" si="25"/>
        <v>Harder</v>
      </c>
      <c r="O314" t="str">
        <f t="shared" si="26"/>
        <v>Daling</v>
      </c>
      <c r="P314" t="str">
        <f t="shared" si="27"/>
        <v>Olsansky</v>
      </c>
      <c r="Q314">
        <f t="shared" si="28"/>
        <v>1</v>
      </c>
      <c r="R314" t="str">
        <f t="shared" si="29"/>
        <v>Christiani-Harder-Daling-Olsansky</v>
      </c>
    </row>
    <row r="315" spans="1:18" x14ac:dyDescent="0.25">
      <c r="A315" s="1" t="s">
        <v>207</v>
      </c>
      <c r="B315" s="1">
        <v>51</v>
      </c>
      <c r="C315" s="1" t="s">
        <v>27</v>
      </c>
      <c r="D315" s="1">
        <v>1</v>
      </c>
      <c r="E315" s="1" t="s">
        <v>146</v>
      </c>
      <c r="F315" s="1">
        <v>15</v>
      </c>
      <c r="G315" s="1">
        <v>1</v>
      </c>
      <c r="H315" s="1" t="s">
        <v>43</v>
      </c>
      <c r="I315" s="1" t="s">
        <v>210</v>
      </c>
      <c r="J315" s="1" t="s">
        <v>54</v>
      </c>
      <c r="K315" s="1" t="s">
        <v>208</v>
      </c>
      <c r="L315" s="1" t="s">
        <v>355</v>
      </c>
      <c r="M315" t="str">
        <f t="shared" si="24"/>
        <v>Klement</v>
      </c>
      <c r="N315" t="str">
        <f t="shared" si="25"/>
        <v>Krehle</v>
      </c>
      <c r="O315" t="str">
        <f t="shared" si="26"/>
        <v>Kovarik</v>
      </c>
      <c r="P315" t="str">
        <f t="shared" si="27"/>
        <v>Macanek</v>
      </c>
      <c r="Q315">
        <f t="shared" si="28"/>
        <v>1</v>
      </c>
      <c r="R315" t="str">
        <f t="shared" si="29"/>
        <v>Klement-Krehle-Kovarik-Macanek</v>
      </c>
    </row>
    <row r="316" spans="1:18" x14ac:dyDescent="0.25">
      <c r="A316" s="1" t="s">
        <v>207</v>
      </c>
      <c r="B316" s="1">
        <v>52</v>
      </c>
      <c r="C316" s="1" t="s">
        <v>27</v>
      </c>
      <c r="D316" s="1">
        <v>2</v>
      </c>
      <c r="E316" s="1" t="s">
        <v>146</v>
      </c>
      <c r="F316" s="1">
        <v>15</v>
      </c>
      <c r="G316" s="1">
        <v>4</v>
      </c>
      <c r="H316" s="1" t="s">
        <v>43</v>
      </c>
      <c r="I316" s="1" t="s">
        <v>210</v>
      </c>
      <c r="J316" s="1" t="s">
        <v>54</v>
      </c>
      <c r="K316" s="1" t="s">
        <v>208</v>
      </c>
      <c r="L316" s="1" t="s">
        <v>355</v>
      </c>
      <c r="M316" t="str">
        <f t="shared" si="24"/>
        <v>Klement</v>
      </c>
      <c r="N316" t="str">
        <f t="shared" si="25"/>
        <v>Krehle</v>
      </c>
      <c r="O316" t="str">
        <f t="shared" si="26"/>
        <v>Kovarik</v>
      </c>
      <c r="P316" t="str">
        <f t="shared" si="27"/>
        <v>Macanek</v>
      </c>
      <c r="Q316">
        <f t="shared" si="28"/>
        <v>1</v>
      </c>
      <c r="R316" t="str">
        <f t="shared" si="29"/>
        <v>Klement-Krehle-Kovarik-Macanek</v>
      </c>
    </row>
    <row r="317" spans="1:18" x14ac:dyDescent="0.25">
      <c r="A317" s="1" t="s">
        <v>207</v>
      </c>
      <c r="B317" s="1">
        <v>57</v>
      </c>
      <c r="C317" s="1" t="s">
        <v>12</v>
      </c>
      <c r="D317" s="1">
        <v>1</v>
      </c>
      <c r="E317" s="1" t="s">
        <v>147</v>
      </c>
      <c r="F317" s="1">
        <v>13</v>
      </c>
      <c r="G317" s="1">
        <v>15</v>
      </c>
      <c r="H317" s="1" t="s">
        <v>181</v>
      </c>
      <c r="I317" s="1" t="s">
        <v>149</v>
      </c>
      <c r="J317" s="1" t="s">
        <v>183</v>
      </c>
      <c r="K317" s="1" t="s">
        <v>208</v>
      </c>
      <c r="L317" s="1" t="s">
        <v>355</v>
      </c>
      <c r="M317" t="str">
        <f t="shared" si="24"/>
        <v>Felix</v>
      </c>
      <c r="N317" t="str">
        <f t="shared" si="25"/>
        <v>Baumeler</v>
      </c>
      <c r="O317" t="str">
        <f t="shared" si="26"/>
        <v>Christensen</v>
      </c>
      <c r="P317" t="str">
        <f t="shared" si="27"/>
        <v>Søvndal</v>
      </c>
      <c r="Q317">
        <f t="shared" si="28"/>
        <v>0</v>
      </c>
      <c r="R317" t="str">
        <f t="shared" si="29"/>
        <v>Felix-Baumeler-Christensen-Søvndal</v>
      </c>
    </row>
    <row r="318" spans="1:18" x14ac:dyDescent="0.25">
      <c r="A318" s="1" t="s">
        <v>207</v>
      </c>
      <c r="B318" s="1">
        <v>58</v>
      </c>
      <c r="C318" s="1" t="s">
        <v>12</v>
      </c>
      <c r="D318" s="1">
        <v>2</v>
      </c>
      <c r="E318" s="1" t="s">
        <v>147</v>
      </c>
      <c r="F318" s="1">
        <v>13</v>
      </c>
      <c r="G318" s="1">
        <v>15</v>
      </c>
      <c r="H318" s="1" t="s">
        <v>181</v>
      </c>
      <c r="I318" s="1" t="s">
        <v>149</v>
      </c>
      <c r="J318" s="1" t="s">
        <v>183</v>
      </c>
      <c r="K318" s="1" t="s">
        <v>208</v>
      </c>
      <c r="L318" s="1" t="s">
        <v>355</v>
      </c>
      <c r="M318" t="str">
        <f t="shared" si="24"/>
        <v>Felix</v>
      </c>
      <c r="N318" t="str">
        <f t="shared" si="25"/>
        <v>Baumeler</v>
      </c>
      <c r="O318" t="str">
        <f t="shared" si="26"/>
        <v>Christensen</v>
      </c>
      <c r="P318" t="str">
        <f t="shared" si="27"/>
        <v>Søvndal</v>
      </c>
      <c r="Q318">
        <f t="shared" si="28"/>
        <v>0</v>
      </c>
      <c r="R318" t="str">
        <f t="shared" si="29"/>
        <v>Felix-Baumeler-Christensen-Søvndal</v>
      </c>
    </row>
    <row r="319" spans="1:18" x14ac:dyDescent="0.25">
      <c r="A319" s="1" t="s">
        <v>207</v>
      </c>
      <c r="B319" s="1">
        <v>60</v>
      </c>
      <c r="C319" s="1" t="s">
        <v>18</v>
      </c>
      <c r="D319" s="1">
        <v>1</v>
      </c>
      <c r="E319" s="1" t="s">
        <v>147</v>
      </c>
      <c r="F319" s="1">
        <v>15</v>
      </c>
      <c r="G319" s="1">
        <v>9</v>
      </c>
      <c r="H319" s="1" t="s">
        <v>181</v>
      </c>
      <c r="I319" s="1" t="s">
        <v>152</v>
      </c>
      <c r="J319" s="1" t="s">
        <v>186</v>
      </c>
      <c r="K319" s="1" t="s">
        <v>208</v>
      </c>
      <c r="L319" s="1" t="s">
        <v>355</v>
      </c>
      <c r="M319" t="str">
        <f t="shared" si="24"/>
        <v>Rimle</v>
      </c>
      <c r="N319" t="str">
        <f t="shared" si="25"/>
        <v>Peter</v>
      </c>
      <c r="O319" t="str">
        <f t="shared" si="26"/>
        <v>Norlyk</v>
      </c>
      <c r="P319" t="str">
        <f t="shared" si="27"/>
        <v>Linnet</v>
      </c>
      <c r="Q319">
        <f t="shared" si="28"/>
        <v>1</v>
      </c>
      <c r="R319" t="str">
        <f t="shared" si="29"/>
        <v>Rimle-Peter-Norlyk-Linnet</v>
      </c>
    </row>
    <row r="320" spans="1:18" x14ac:dyDescent="0.25">
      <c r="A320" s="1" t="s">
        <v>207</v>
      </c>
      <c r="B320" s="1">
        <v>61</v>
      </c>
      <c r="C320" s="1" t="s">
        <v>18</v>
      </c>
      <c r="D320" s="1">
        <v>2</v>
      </c>
      <c r="E320" s="1" t="s">
        <v>147</v>
      </c>
      <c r="F320" s="1">
        <v>15</v>
      </c>
      <c r="G320" s="1">
        <v>10</v>
      </c>
      <c r="H320" s="1" t="s">
        <v>181</v>
      </c>
      <c r="I320" s="1" t="s">
        <v>152</v>
      </c>
      <c r="J320" s="1" t="s">
        <v>186</v>
      </c>
      <c r="K320" s="1" t="s">
        <v>208</v>
      </c>
      <c r="L320" s="1" t="s">
        <v>355</v>
      </c>
      <c r="M320" t="str">
        <f t="shared" si="24"/>
        <v>Rimle</v>
      </c>
      <c r="N320" t="str">
        <f t="shared" si="25"/>
        <v>Peter</v>
      </c>
      <c r="O320" t="str">
        <f t="shared" si="26"/>
        <v>Norlyk</v>
      </c>
      <c r="P320" t="str">
        <f t="shared" si="27"/>
        <v>Linnet</v>
      </c>
      <c r="Q320">
        <f t="shared" si="28"/>
        <v>1</v>
      </c>
      <c r="R320" t="str">
        <f t="shared" si="29"/>
        <v>Rimle-Peter-Norlyk-Linnet</v>
      </c>
    </row>
    <row r="321" spans="1:18" x14ac:dyDescent="0.25">
      <c r="A321" s="1" t="s">
        <v>207</v>
      </c>
      <c r="B321" s="1">
        <v>63</v>
      </c>
      <c r="C321" s="1" t="s">
        <v>21</v>
      </c>
      <c r="D321" s="1">
        <v>1</v>
      </c>
      <c r="E321" s="1" t="s">
        <v>147</v>
      </c>
      <c r="F321" s="1">
        <v>13</v>
      </c>
      <c r="G321" s="1">
        <v>15</v>
      </c>
      <c r="H321" s="1" t="s">
        <v>181</v>
      </c>
      <c r="I321" s="1" t="s">
        <v>154</v>
      </c>
      <c r="J321" s="1" t="s">
        <v>188</v>
      </c>
      <c r="K321" s="1" t="s">
        <v>208</v>
      </c>
      <c r="L321" s="1" t="s">
        <v>355</v>
      </c>
      <c r="M321" t="str">
        <f t="shared" si="24"/>
        <v>Pasetti</v>
      </c>
      <c r="N321" t="str">
        <f t="shared" si="25"/>
        <v>Widin</v>
      </c>
      <c r="O321" t="str">
        <f t="shared" si="26"/>
        <v>Klinkby</v>
      </c>
      <c r="P321" t="str">
        <f t="shared" si="27"/>
        <v>Hammar</v>
      </c>
      <c r="Q321">
        <f t="shared" si="28"/>
        <v>0</v>
      </c>
      <c r="R321" t="str">
        <f t="shared" si="29"/>
        <v>Pasetti-Widin-Klinkby-Hammar</v>
      </c>
    </row>
    <row r="322" spans="1:18" x14ac:dyDescent="0.25">
      <c r="A322" s="1" t="s">
        <v>207</v>
      </c>
      <c r="B322" s="1">
        <v>64</v>
      </c>
      <c r="C322" s="1" t="s">
        <v>21</v>
      </c>
      <c r="D322" s="1">
        <v>2</v>
      </c>
      <c r="E322" s="1" t="s">
        <v>147</v>
      </c>
      <c r="F322" s="1">
        <v>15</v>
      </c>
      <c r="G322" s="1">
        <v>12</v>
      </c>
      <c r="H322" s="1" t="s">
        <v>181</v>
      </c>
      <c r="I322" s="1" t="s">
        <v>154</v>
      </c>
      <c r="J322" s="1" t="s">
        <v>188</v>
      </c>
      <c r="K322" s="1" t="s">
        <v>208</v>
      </c>
      <c r="L322" s="1" t="s">
        <v>355</v>
      </c>
      <c r="M322" t="str">
        <f t="shared" ref="M322:M385" si="30">_xlfn.TEXTBEFORE(I322,"/")</f>
        <v>Pasetti</v>
      </c>
      <c r="N322" t="str">
        <f t="shared" ref="N322:N385" si="31">_xlfn.TEXTAFTER(I322,"/ ")</f>
        <v>Widin</v>
      </c>
      <c r="O322" t="str">
        <f t="shared" ref="O322:O385" si="32">_xlfn.TEXTBEFORE(J322,"/")</f>
        <v>Klinkby</v>
      </c>
      <c r="P322" t="str">
        <f t="shared" ref="P322:P385" si="33">_xlfn.TEXTAFTER(J322,"/ ")</f>
        <v>Hammar</v>
      </c>
      <c r="Q322">
        <f t="shared" ref="Q322:Q385" si="34">IF(F322&gt;G322,1,0)</f>
        <v>1</v>
      </c>
      <c r="R322" t="str">
        <f t="shared" ref="R322:R385" si="35">_xlfn.TEXTJOIN("-",TRUE,M322,N322,O322,P322)</f>
        <v>Pasetti-Widin-Klinkby-Hammar</v>
      </c>
    </row>
    <row r="323" spans="1:18" x14ac:dyDescent="0.25">
      <c r="A323" s="1" t="s">
        <v>207</v>
      </c>
      <c r="B323" s="1">
        <v>65</v>
      </c>
      <c r="C323" s="1" t="s">
        <v>21</v>
      </c>
      <c r="D323" s="1">
        <v>3</v>
      </c>
      <c r="E323" s="1" t="s">
        <v>147</v>
      </c>
      <c r="F323" s="1">
        <v>15</v>
      </c>
      <c r="G323" s="1">
        <v>17</v>
      </c>
      <c r="H323" s="1" t="s">
        <v>181</v>
      </c>
      <c r="I323" s="1" t="s">
        <v>154</v>
      </c>
      <c r="J323" s="1" t="s">
        <v>188</v>
      </c>
      <c r="K323" s="1" t="s">
        <v>208</v>
      </c>
      <c r="L323" s="1" t="s">
        <v>355</v>
      </c>
      <c r="M323" t="str">
        <f t="shared" si="30"/>
        <v>Pasetti</v>
      </c>
      <c r="N323" t="str">
        <f t="shared" si="31"/>
        <v>Widin</v>
      </c>
      <c r="O323" t="str">
        <f t="shared" si="32"/>
        <v>Klinkby</v>
      </c>
      <c r="P323" t="str">
        <f t="shared" si="33"/>
        <v>Hammar</v>
      </c>
      <c r="Q323">
        <f t="shared" si="34"/>
        <v>0</v>
      </c>
      <c r="R323" t="str">
        <f t="shared" si="35"/>
        <v>Pasetti-Widin-Klinkby-Hammar</v>
      </c>
    </row>
    <row r="324" spans="1:18" x14ac:dyDescent="0.25">
      <c r="A324" s="1" t="s">
        <v>207</v>
      </c>
      <c r="B324" s="1">
        <v>66</v>
      </c>
      <c r="C324" s="1" t="s">
        <v>24</v>
      </c>
      <c r="D324" s="1">
        <v>1</v>
      </c>
      <c r="E324" s="1" t="s">
        <v>147</v>
      </c>
      <c r="F324" s="1">
        <v>15</v>
      </c>
      <c r="G324" s="1">
        <v>11</v>
      </c>
      <c r="H324" s="1" t="s">
        <v>181</v>
      </c>
      <c r="I324" s="1" t="s">
        <v>385</v>
      </c>
      <c r="J324" s="1" t="s">
        <v>190</v>
      </c>
      <c r="K324" s="1" t="s">
        <v>208</v>
      </c>
      <c r="L324" s="1" t="s">
        <v>355</v>
      </c>
      <c r="M324" t="str">
        <f t="shared" si="30"/>
        <v>J. Eigenmann</v>
      </c>
      <c r="N324" t="str">
        <f t="shared" si="31"/>
        <v>Tognini</v>
      </c>
      <c r="O324" t="str">
        <f t="shared" si="32"/>
        <v>Knudsen</v>
      </c>
      <c r="P324" t="str">
        <f t="shared" si="33"/>
        <v>Damgaard</v>
      </c>
      <c r="Q324">
        <f t="shared" si="34"/>
        <v>1</v>
      </c>
      <c r="R324" t="str">
        <f t="shared" si="35"/>
        <v>J. Eigenmann-Tognini-Knudsen-Damgaard</v>
      </c>
    </row>
    <row r="325" spans="1:18" x14ac:dyDescent="0.25">
      <c r="A325" s="1" t="s">
        <v>207</v>
      </c>
      <c r="B325" s="1">
        <v>67</v>
      </c>
      <c r="C325" s="1" t="s">
        <v>24</v>
      </c>
      <c r="D325" s="1">
        <v>2</v>
      </c>
      <c r="E325" s="1" t="s">
        <v>147</v>
      </c>
      <c r="F325" s="1">
        <v>13</v>
      </c>
      <c r="G325" s="1">
        <v>15</v>
      </c>
      <c r="H325" s="1" t="s">
        <v>181</v>
      </c>
      <c r="I325" s="1" t="s">
        <v>385</v>
      </c>
      <c r="J325" s="1" t="s">
        <v>190</v>
      </c>
      <c r="K325" s="1" t="s">
        <v>208</v>
      </c>
      <c r="L325" s="1" t="s">
        <v>355</v>
      </c>
      <c r="M325" t="str">
        <f t="shared" si="30"/>
        <v>J. Eigenmann</v>
      </c>
      <c r="N325" t="str">
        <f t="shared" si="31"/>
        <v>Tognini</v>
      </c>
      <c r="O325" t="str">
        <f t="shared" si="32"/>
        <v>Knudsen</v>
      </c>
      <c r="P325" t="str">
        <f t="shared" si="33"/>
        <v>Damgaard</v>
      </c>
      <c r="Q325">
        <f t="shared" si="34"/>
        <v>0</v>
      </c>
      <c r="R325" t="str">
        <f t="shared" si="35"/>
        <v>J. Eigenmann-Tognini-Knudsen-Damgaard</v>
      </c>
    </row>
    <row r="326" spans="1:18" x14ac:dyDescent="0.25">
      <c r="A326" s="1" t="s">
        <v>207</v>
      </c>
      <c r="B326" s="1">
        <v>68</v>
      </c>
      <c r="C326" s="1" t="s">
        <v>24</v>
      </c>
      <c r="D326" s="1">
        <v>3</v>
      </c>
      <c r="E326" s="1" t="s">
        <v>147</v>
      </c>
      <c r="F326" s="1">
        <v>21</v>
      </c>
      <c r="G326" s="1">
        <v>19</v>
      </c>
      <c r="H326" s="1" t="s">
        <v>181</v>
      </c>
      <c r="I326" s="1" t="s">
        <v>385</v>
      </c>
      <c r="J326" s="1" t="s">
        <v>190</v>
      </c>
      <c r="K326" s="1" t="s">
        <v>208</v>
      </c>
      <c r="L326" s="1" t="s">
        <v>355</v>
      </c>
      <c r="M326" t="str">
        <f t="shared" si="30"/>
        <v>J. Eigenmann</v>
      </c>
      <c r="N326" t="str">
        <f t="shared" si="31"/>
        <v>Tognini</v>
      </c>
      <c r="O326" t="str">
        <f t="shared" si="32"/>
        <v>Knudsen</v>
      </c>
      <c r="P326" t="str">
        <f t="shared" si="33"/>
        <v>Damgaard</v>
      </c>
      <c r="Q326">
        <f t="shared" si="34"/>
        <v>1</v>
      </c>
      <c r="R326" t="str">
        <f t="shared" si="35"/>
        <v>J. Eigenmann-Tognini-Knudsen-Damgaard</v>
      </c>
    </row>
    <row r="327" spans="1:18" x14ac:dyDescent="0.25">
      <c r="A327" s="1" t="s">
        <v>207</v>
      </c>
      <c r="B327" s="1">
        <v>69</v>
      </c>
      <c r="C327" s="1" t="s">
        <v>27</v>
      </c>
      <c r="D327" s="1">
        <v>1</v>
      </c>
      <c r="E327" s="1" t="s">
        <v>147</v>
      </c>
      <c r="F327" s="1">
        <v>15</v>
      </c>
      <c r="G327" s="1">
        <v>11</v>
      </c>
      <c r="H327" s="1" t="s">
        <v>181</v>
      </c>
      <c r="I327" s="1" t="s">
        <v>212</v>
      </c>
      <c r="J327" s="1" t="s">
        <v>396</v>
      </c>
      <c r="K327" s="1" t="s">
        <v>208</v>
      </c>
      <c r="L327" s="1" t="s">
        <v>355</v>
      </c>
      <c r="M327" t="str">
        <f t="shared" si="30"/>
        <v>Rieser</v>
      </c>
      <c r="N327" t="str">
        <f t="shared" si="31"/>
        <v>Engel</v>
      </c>
      <c r="O327" t="str">
        <f t="shared" si="32"/>
        <v>Høy</v>
      </c>
      <c r="P327" t="str">
        <f t="shared" si="33"/>
        <v>J. Nielsen</v>
      </c>
      <c r="Q327">
        <f t="shared" si="34"/>
        <v>1</v>
      </c>
      <c r="R327" t="str">
        <f t="shared" si="35"/>
        <v>Rieser-Engel-Høy-J. Nielsen</v>
      </c>
    </row>
    <row r="328" spans="1:18" x14ac:dyDescent="0.25">
      <c r="A328" s="1" t="s">
        <v>207</v>
      </c>
      <c r="B328" s="1">
        <v>70</v>
      </c>
      <c r="C328" s="1" t="s">
        <v>27</v>
      </c>
      <c r="D328" s="1">
        <v>2</v>
      </c>
      <c r="E328" s="1" t="s">
        <v>147</v>
      </c>
      <c r="F328" s="1">
        <v>15</v>
      </c>
      <c r="G328" s="1">
        <v>12</v>
      </c>
      <c r="H328" s="1" t="s">
        <v>181</v>
      </c>
      <c r="I328" s="1" t="s">
        <v>212</v>
      </c>
      <c r="J328" s="1" t="s">
        <v>396</v>
      </c>
      <c r="K328" s="1" t="s">
        <v>208</v>
      </c>
      <c r="L328" s="1" t="s">
        <v>355</v>
      </c>
      <c r="M328" t="str">
        <f t="shared" si="30"/>
        <v>Rieser</v>
      </c>
      <c r="N328" t="str">
        <f t="shared" si="31"/>
        <v>Engel</v>
      </c>
      <c r="O328" t="str">
        <f t="shared" si="32"/>
        <v>Høy</v>
      </c>
      <c r="P328" t="str">
        <f t="shared" si="33"/>
        <v>J. Nielsen</v>
      </c>
      <c r="Q328">
        <f t="shared" si="34"/>
        <v>1</v>
      </c>
      <c r="R328" t="str">
        <f t="shared" si="35"/>
        <v>Rieser-Engel-Høy-J. Nielsen</v>
      </c>
    </row>
    <row r="329" spans="1:18" x14ac:dyDescent="0.25">
      <c r="A329" s="1" t="s">
        <v>207</v>
      </c>
      <c r="B329" s="1">
        <v>75</v>
      </c>
      <c r="C329" s="1" t="s">
        <v>12</v>
      </c>
      <c r="D329" s="1">
        <v>1</v>
      </c>
      <c r="E329" s="1" t="s">
        <v>155</v>
      </c>
      <c r="F329" s="1">
        <v>15</v>
      </c>
      <c r="G329" s="1">
        <v>17</v>
      </c>
      <c r="H329" s="1" t="s">
        <v>30</v>
      </c>
      <c r="I329" s="1" t="s">
        <v>157</v>
      </c>
      <c r="J329" s="1" t="s">
        <v>32</v>
      </c>
      <c r="K329" s="1" t="s">
        <v>208</v>
      </c>
      <c r="L329" s="1" t="s">
        <v>355</v>
      </c>
      <c r="M329" t="str">
        <f t="shared" si="30"/>
        <v>Bazzani</v>
      </c>
      <c r="N329" t="str">
        <f t="shared" si="31"/>
        <v>Borsotti</v>
      </c>
      <c r="O329" t="str">
        <f t="shared" si="32"/>
        <v>Vandaele</v>
      </c>
      <c r="P329" t="str">
        <f t="shared" si="33"/>
        <v>Van den Bergh</v>
      </c>
      <c r="Q329">
        <f t="shared" si="34"/>
        <v>0</v>
      </c>
      <c r="R329" t="str">
        <f t="shared" si="35"/>
        <v>Bazzani-Borsotti-Vandaele-Van den Bergh</v>
      </c>
    </row>
    <row r="330" spans="1:18" x14ac:dyDescent="0.25">
      <c r="A330" s="1" t="s">
        <v>207</v>
      </c>
      <c r="B330" s="1">
        <v>76</v>
      </c>
      <c r="C330" s="1" t="s">
        <v>12</v>
      </c>
      <c r="D330" s="1">
        <v>2</v>
      </c>
      <c r="E330" s="1" t="s">
        <v>155</v>
      </c>
      <c r="F330" s="1">
        <v>15</v>
      </c>
      <c r="G330" s="1">
        <v>12</v>
      </c>
      <c r="H330" s="1" t="s">
        <v>30</v>
      </c>
      <c r="I330" s="1" t="s">
        <v>157</v>
      </c>
      <c r="J330" s="1" t="s">
        <v>32</v>
      </c>
      <c r="K330" s="1" t="s">
        <v>208</v>
      </c>
      <c r="L330" s="1" t="s">
        <v>355</v>
      </c>
      <c r="M330" t="str">
        <f t="shared" si="30"/>
        <v>Bazzani</v>
      </c>
      <c r="N330" t="str">
        <f t="shared" si="31"/>
        <v>Borsotti</v>
      </c>
      <c r="O330" t="str">
        <f t="shared" si="32"/>
        <v>Vandaele</v>
      </c>
      <c r="P330" t="str">
        <f t="shared" si="33"/>
        <v>Van den Bergh</v>
      </c>
      <c r="Q330">
        <f t="shared" si="34"/>
        <v>1</v>
      </c>
      <c r="R330" t="str">
        <f t="shared" si="35"/>
        <v>Bazzani-Borsotti-Vandaele-Van den Bergh</v>
      </c>
    </row>
    <row r="331" spans="1:18" x14ac:dyDescent="0.25">
      <c r="A331" s="1" t="s">
        <v>207</v>
      </c>
      <c r="B331" s="1">
        <v>77</v>
      </c>
      <c r="C331" s="1" t="s">
        <v>12</v>
      </c>
      <c r="D331" s="1">
        <v>3</v>
      </c>
      <c r="E331" s="1" t="s">
        <v>155</v>
      </c>
      <c r="F331" s="1">
        <v>19</v>
      </c>
      <c r="G331" s="1">
        <v>21</v>
      </c>
      <c r="H331" s="1" t="s">
        <v>30</v>
      </c>
      <c r="I331" s="1" t="s">
        <v>157</v>
      </c>
      <c r="J331" s="1" t="s">
        <v>32</v>
      </c>
      <c r="K331" s="1" t="s">
        <v>208</v>
      </c>
      <c r="L331" s="1" t="s">
        <v>355</v>
      </c>
      <c r="M331" t="str">
        <f t="shared" si="30"/>
        <v>Bazzani</v>
      </c>
      <c r="N331" t="str">
        <f t="shared" si="31"/>
        <v>Borsotti</v>
      </c>
      <c r="O331" t="str">
        <f t="shared" si="32"/>
        <v>Vandaele</v>
      </c>
      <c r="P331" t="str">
        <f t="shared" si="33"/>
        <v>Van den Bergh</v>
      </c>
      <c r="Q331">
        <f t="shared" si="34"/>
        <v>0</v>
      </c>
      <c r="R331" t="str">
        <f t="shared" si="35"/>
        <v>Bazzani-Borsotti-Vandaele-Van den Bergh</v>
      </c>
    </row>
    <row r="332" spans="1:18" x14ac:dyDescent="0.25">
      <c r="A332" s="1" t="s">
        <v>207</v>
      </c>
      <c r="B332" s="1">
        <v>78</v>
      </c>
      <c r="C332" s="1" t="s">
        <v>18</v>
      </c>
      <c r="D332" s="1">
        <v>1</v>
      </c>
      <c r="E332" s="1" t="s">
        <v>155</v>
      </c>
      <c r="F332" s="1">
        <v>15</v>
      </c>
      <c r="G332" s="1">
        <v>6</v>
      </c>
      <c r="H332" s="1" t="s">
        <v>30</v>
      </c>
      <c r="I332" s="1" t="s">
        <v>160</v>
      </c>
      <c r="J332" s="1" t="s">
        <v>35</v>
      </c>
      <c r="K332" s="1" t="s">
        <v>208</v>
      </c>
      <c r="L332" s="1" t="s">
        <v>355</v>
      </c>
      <c r="M332" t="str">
        <f t="shared" si="30"/>
        <v>Dudine</v>
      </c>
      <c r="N332" t="str">
        <f t="shared" si="31"/>
        <v>Zanellato</v>
      </c>
      <c r="O332" t="str">
        <f t="shared" si="32"/>
        <v>Theunis</v>
      </c>
      <c r="P332" t="str">
        <f t="shared" si="33"/>
        <v>Declercq</v>
      </c>
      <c r="Q332">
        <f t="shared" si="34"/>
        <v>1</v>
      </c>
      <c r="R332" t="str">
        <f t="shared" si="35"/>
        <v>Dudine-Zanellato-Theunis-Declercq</v>
      </c>
    </row>
    <row r="333" spans="1:18" x14ac:dyDescent="0.25">
      <c r="A333" s="1" t="s">
        <v>207</v>
      </c>
      <c r="B333" s="1">
        <v>79</v>
      </c>
      <c r="C333" s="1" t="s">
        <v>18</v>
      </c>
      <c r="D333" s="1">
        <v>2</v>
      </c>
      <c r="E333" s="1" t="s">
        <v>155</v>
      </c>
      <c r="F333" s="1">
        <v>21</v>
      </c>
      <c r="G333" s="1">
        <v>20</v>
      </c>
      <c r="H333" s="1" t="s">
        <v>30</v>
      </c>
      <c r="I333" s="1" t="s">
        <v>160</v>
      </c>
      <c r="J333" s="1" t="s">
        <v>35</v>
      </c>
      <c r="K333" s="1" t="s">
        <v>208</v>
      </c>
      <c r="L333" s="1" t="s">
        <v>355</v>
      </c>
      <c r="M333" t="str">
        <f t="shared" si="30"/>
        <v>Dudine</v>
      </c>
      <c r="N333" t="str">
        <f t="shared" si="31"/>
        <v>Zanellato</v>
      </c>
      <c r="O333" t="str">
        <f t="shared" si="32"/>
        <v>Theunis</v>
      </c>
      <c r="P333" t="str">
        <f t="shared" si="33"/>
        <v>Declercq</v>
      </c>
      <c r="Q333">
        <f t="shared" si="34"/>
        <v>1</v>
      </c>
      <c r="R333" t="str">
        <f t="shared" si="35"/>
        <v>Dudine-Zanellato-Theunis-Declercq</v>
      </c>
    </row>
    <row r="334" spans="1:18" x14ac:dyDescent="0.25">
      <c r="A334" s="1" t="s">
        <v>207</v>
      </c>
      <c r="B334" s="1">
        <v>81</v>
      </c>
      <c r="C334" s="1" t="s">
        <v>21</v>
      </c>
      <c r="D334" s="1">
        <v>1</v>
      </c>
      <c r="E334" s="1" t="s">
        <v>155</v>
      </c>
      <c r="F334" s="1">
        <v>21</v>
      </c>
      <c r="G334" s="1">
        <v>20</v>
      </c>
      <c r="H334" s="1" t="s">
        <v>30</v>
      </c>
      <c r="I334" s="1" t="s">
        <v>364</v>
      </c>
      <c r="J334" s="1" t="s">
        <v>409</v>
      </c>
      <c r="K334" s="1" t="s">
        <v>208</v>
      </c>
      <c r="L334" s="1" t="s">
        <v>355</v>
      </c>
      <c r="M334" t="str">
        <f t="shared" si="30"/>
        <v>mercadini</v>
      </c>
      <c r="N334" t="str">
        <f t="shared" si="31"/>
        <v>Sacchini</v>
      </c>
      <c r="O334" t="str">
        <f t="shared" si="32"/>
        <v>Jor. Neyens</v>
      </c>
      <c r="P334" t="str">
        <f t="shared" si="33"/>
        <v>Vlassaks</v>
      </c>
      <c r="Q334">
        <f t="shared" si="34"/>
        <v>1</v>
      </c>
      <c r="R334" t="str">
        <f t="shared" si="35"/>
        <v>mercadini-Sacchini-Jor. Neyens-Vlassaks</v>
      </c>
    </row>
    <row r="335" spans="1:18" x14ac:dyDescent="0.25">
      <c r="A335" s="1" t="s">
        <v>207</v>
      </c>
      <c r="B335" s="1">
        <v>81</v>
      </c>
      <c r="C335" s="1" t="s">
        <v>21</v>
      </c>
      <c r="D335" s="1">
        <v>1</v>
      </c>
      <c r="E335" s="1" t="s">
        <v>155</v>
      </c>
      <c r="F335" s="1">
        <v>21</v>
      </c>
      <c r="G335" s="1">
        <v>20</v>
      </c>
      <c r="H335" s="1" t="s">
        <v>30</v>
      </c>
      <c r="I335" s="1" t="s">
        <v>364</v>
      </c>
      <c r="J335" s="1" t="s">
        <v>409</v>
      </c>
      <c r="K335" s="1" t="s">
        <v>208</v>
      </c>
      <c r="L335" s="1" t="s">
        <v>355</v>
      </c>
      <c r="M335" t="str">
        <f t="shared" si="30"/>
        <v>mercadini</v>
      </c>
      <c r="N335" t="str">
        <f t="shared" si="31"/>
        <v>Sacchini</v>
      </c>
      <c r="O335" t="str">
        <f t="shared" si="32"/>
        <v>Jor. Neyens</v>
      </c>
      <c r="P335" t="str">
        <f t="shared" si="33"/>
        <v>Vlassaks</v>
      </c>
      <c r="Q335">
        <f t="shared" si="34"/>
        <v>1</v>
      </c>
      <c r="R335" t="str">
        <f t="shared" si="35"/>
        <v>mercadini-Sacchini-Jor. Neyens-Vlassaks</v>
      </c>
    </row>
    <row r="336" spans="1:18" x14ac:dyDescent="0.25">
      <c r="A336" s="1" t="s">
        <v>207</v>
      </c>
      <c r="B336" s="1">
        <v>82</v>
      </c>
      <c r="C336" s="1" t="s">
        <v>21</v>
      </c>
      <c r="D336" s="1">
        <v>2</v>
      </c>
      <c r="E336" s="1" t="s">
        <v>155</v>
      </c>
      <c r="F336" s="1">
        <v>12</v>
      </c>
      <c r="G336" s="1">
        <v>15</v>
      </c>
      <c r="H336" s="1" t="s">
        <v>30</v>
      </c>
      <c r="I336" s="1" t="s">
        <v>364</v>
      </c>
      <c r="J336" s="1" t="s">
        <v>409</v>
      </c>
      <c r="K336" s="1" t="s">
        <v>208</v>
      </c>
      <c r="L336" s="1" t="s">
        <v>355</v>
      </c>
      <c r="M336" t="str">
        <f t="shared" si="30"/>
        <v>mercadini</v>
      </c>
      <c r="N336" t="str">
        <f t="shared" si="31"/>
        <v>Sacchini</v>
      </c>
      <c r="O336" t="str">
        <f t="shared" si="32"/>
        <v>Jor. Neyens</v>
      </c>
      <c r="P336" t="str">
        <f t="shared" si="33"/>
        <v>Vlassaks</v>
      </c>
      <c r="Q336">
        <f t="shared" si="34"/>
        <v>0</v>
      </c>
      <c r="R336" t="str">
        <f t="shared" si="35"/>
        <v>mercadini-Sacchini-Jor. Neyens-Vlassaks</v>
      </c>
    </row>
    <row r="337" spans="1:18" x14ac:dyDescent="0.25">
      <c r="A337" s="1" t="s">
        <v>207</v>
      </c>
      <c r="B337" s="1">
        <v>84</v>
      </c>
      <c r="C337" s="1" t="s">
        <v>24</v>
      </c>
      <c r="D337" s="1">
        <v>1</v>
      </c>
      <c r="E337" s="1" t="s">
        <v>155</v>
      </c>
      <c r="F337" s="1">
        <v>15</v>
      </c>
      <c r="G337" s="1">
        <v>12</v>
      </c>
      <c r="H337" s="1" t="s">
        <v>30</v>
      </c>
      <c r="I337" s="1" t="s">
        <v>164</v>
      </c>
      <c r="J337" s="1" t="s">
        <v>39</v>
      </c>
      <c r="K337" s="1" t="s">
        <v>208</v>
      </c>
      <c r="L337" s="1" t="s">
        <v>355</v>
      </c>
      <c r="M337" t="str">
        <f t="shared" si="30"/>
        <v>Grazi</v>
      </c>
      <c r="N337" t="str">
        <f t="shared" si="31"/>
        <v>Pareschi</v>
      </c>
      <c r="O337" t="str">
        <f t="shared" si="32"/>
        <v>Vandamme</v>
      </c>
      <c r="P337" t="str">
        <f t="shared" si="33"/>
        <v>Hublet</v>
      </c>
      <c r="Q337">
        <f t="shared" si="34"/>
        <v>1</v>
      </c>
      <c r="R337" t="str">
        <f t="shared" si="35"/>
        <v>Grazi-Pareschi-Vandamme-Hublet</v>
      </c>
    </row>
    <row r="338" spans="1:18" x14ac:dyDescent="0.25">
      <c r="A338" s="1" t="s">
        <v>207</v>
      </c>
      <c r="B338" s="1">
        <v>85</v>
      </c>
      <c r="C338" s="1" t="s">
        <v>24</v>
      </c>
      <c r="D338" s="1">
        <v>2</v>
      </c>
      <c r="E338" s="1" t="s">
        <v>155</v>
      </c>
      <c r="F338" s="1">
        <v>13</v>
      </c>
      <c r="G338" s="1">
        <v>15</v>
      </c>
      <c r="H338" s="1" t="s">
        <v>30</v>
      </c>
      <c r="I338" s="1" t="s">
        <v>164</v>
      </c>
      <c r="J338" s="1" t="s">
        <v>39</v>
      </c>
      <c r="K338" s="1" t="s">
        <v>208</v>
      </c>
      <c r="L338" s="1" t="s">
        <v>355</v>
      </c>
      <c r="M338" t="str">
        <f t="shared" si="30"/>
        <v>Grazi</v>
      </c>
      <c r="N338" t="str">
        <f t="shared" si="31"/>
        <v>Pareschi</v>
      </c>
      <c r="O338" t="str">
        <f t="shared" si="32"/>
        <v>Vandamme</v>
      </c>
      <c r="P338" t="str">
        <f t="shared" si="33"/>
        <v>Hublet</v>
      </c>
      <c r="Q338">
        <f t="shared" si="34"/>
        <v>0</v>
      </c>
      <c r="R338" t="str">
        <f t="shared" si="35"/>
        <v>Grazi-Pareschi-Vandamme-Hublet</v>
      </c>
    </row>
    <row r="339" spans="1:18" x14ac:dyDescent="0.25">
      <c r="A339" s="1" t="s">
        <v>207</v>
      </c>
      <c r="B339" s="1">
        <v>86</v>
      </c>
      <c r="C339" s="1" t="s">
        <v>24</v>
      </c>
      <c r="D339" s="1">
        <v>3</v>
      </c>
      <c r="E339" s="1" t="s">
        <v>155</v>
      </c>
      <c r="F339" s="1">
        <v>15</v>
      </c>
      <c r="G339" s="1">
        <v>13</v>
      </c>
      <c r="H339" s="1" t="s">
        <v>30</v>
      </c>
      <c r="I339" s="1" t="s">
        <v>164</v>
      </c>
      <c r="J339" s="1" t="s">
        <v>39</v>
      </c>
      <c r="K339" s="1" t="s">
        <v>208</v>
      </c>
      <c r="L339" s="1" t="s">
        <v>355</v>
      </c>
      <c r="M339" t="str">
        <f t="shared" si="30"/>
        <v>Grazi</v>
      </c>
      <c r="N339" t="str">
        <f t="shared" si="31"/>
        <v>Pareschi</v>
      </c>
      <c r="O339" t="str">
        <f t="shared" si="32"/>
        <v>Vandamme</v>
      </c>
      <c r="P339" t="str">
        <f t="shared" si="33"/>
        <v>Hublet</v>
      </c>
      <c r="Q339">
        <f t="shared" si="34"/>
        <v>1</v>
      </c>
      <c r="R339" t="str">
        <f t="shared" si="35"/>
        <v>Grazi-Pareschi-Vandamme-Hublet</v>
      </c>
    </row>
    <row r="340" spans="1:18" x14ac:dyDescent="0.25">
      <c r="A340" s="1" t="s">
        <v>207</v>
      </c>
      <c r="B340" s="1">
        <v>87</v>
      </c>
      <c r="C340" s="1" t="s">
        <v>27</v>
      </c>
      <c r="D340" s="1">
        <v>1</v>
      </c>
      <c r="E340" s="1" t="s">
        <v>155</v>
      </c>
      <c r="F340" s="1">
        <v>15</v>
      </c>
      <c r="G340" s="1">
        <v>11</v>
      </c>
      <c r="H340" s="1" t="s">
        <v>30</v>
      </c>
      <c r="I340" s="1" t="s">
        <v>166</v>
      </c>
      <c r="J340" s="1" t="s">
        <v>41</v>
      </c>
      <c r="K340" s="1" t="s">
        <v>208</v>
      </c>
      <c r="L340" s="1" t="s">
        <v>355</v>
      </c>
      <c r="M340" t="str">
        <f t="shared" si="30"/>
        <v>Merlin</v>
      </c>
      <c r="N340" t="str">
        <f t="shared" si="31"/>
        <v>Molli</v>
      </c>
      <c r="O340" t="str">
        <f t="shared" si="32"/>
        <v>M. Paes</v>
      </c>
      <c r="P340" t="str">
        <f t="shared" si="33"/>
        <v>D. Paes</v>
      </c>
      <c r="Q340">
        <f t="shared" si="34"/>
        <v>1</v>
      </c>
      <c r="R340" t="str">
        <f t="shared" si="35"/>
        <v>Merlin-Molli-M. Paes-D. Paes</v>
      </c>
    </row>
    <row r="341" spans="1:18" x14ac:dyDescent="0.25">
      <c r="A341" s="1" t="s">
        <v>207</v>
      </c>
      <c r="B341" s="1">
        <v>88</v>
      </c>
      <c r="C341" s="1" t="s">
        <v>27</v>
      </c>
      <c r="D341" s="1">
        <v>2</v>
      </c>
      <c r="E341" s="1" t="s">
        <v>155</v>
      </c>
      <c r="F341" s="1">
        <v>15</v>
      </c>
      <c r="G341" s="1">
        <v>10</v>
      </c>
      <c r="H341" s="1" t="s">
        <v>30</v>
      </c>
      <c r="I341" s="1" t="s">
        <v>166</v>
      </c>
      <c r="J341" s="1" t="s">
        <v>41</v>
      </c>
      <c r="K341" s="1" t="s">
        <v>208</v>
      </c>
      <c r="L341" s="1" t="s">
        <v>355</v>
      </c>
      <c r="M341" t="str">
        <f t="shared" si="30"/>
        <v>Merlin</v>
      </c>
      <c r="N341" t="str">
        <f t="shared" si="31"/>
        <v>Molli</v>
      </c>
      <c r="O341" t="str">
        <f t="shared" si="32"/>
        <v>M. Paes</v>
      </c>
      <c r="P341" t="str">
        <f t="shared" si="33"/>
        <v>D. Paes</v>
      </c>
      <c r="Q341">
        <f t="shared" si="34"/>
        <v>1</v>
      </c>
      <c r="R341" t="str">
        <f t="shared" si="35"/>
        <v>Merlin-Molli-M. Paes-D. Paes</v>
      </c>
    </row>
    <row r="342" spans="1:18" x14ac:dyDescent="0.25">
      <c r="A342" s="1" t="s">
        <v>207</v>
      </c>
      <c r="B342" s="1">
        <v>93</v>
      </c>
      <c r="C342" s="1" t="s">
        <v>12</v>
      </c>
      <c r="D342" s="1">
        <v>1</v>
      </c>
      <c r="E342" s="1" t="s">
        <v>156</v>
      </c>
      <c r="F342" s="1">
        <v>13</v>
      </c>
      <c r="G342" s="1">
        <v>15</v>
      </c>
      <c r="H342" s="1" t="s">
        <v>13</v>
      </c>
      <c r="I342" s="1" t="s">
        <v>158</v>
      </c>
      <c r="J342" s="1" t="s">
        <v>408</v>
      </c>
      <c r="K342" s="1" t="s">
        <v>208</v>
      </c>
      <c r="L342" s="1" t="s">
        <v>355</v>
      </c>
      <c r="M342" t="str">
        <f t="shared" si="30"/>
        <v>Bachler</v>
      </c>
      <c r="N342" t="str">
        <f t="shared" si="31"/>
        <v>Dziruni</v>
      </c>
      <c r="O342" t="str">
        <f t="shared" si="32"/>
        <v>Kaldor</v>
      </c>
      <c r="P342" t="str">
        <f t="shared" si="33"/>
        <v>J. Read</v>
      </c>
      <c r="Q342">
        <f t="shared" si="34"/>
        <v>0</v>
      </c>
      <c r="R342" t="str">
        <f t="shared" si="35"/>
        <v>Bachler-Dziruni-Kaldor-J. Read</v>
      </c>
    </row>
    <row r="343" spans="1:18" x14ac:dyDescent="0.25">
      <c r="A343" s="1" t="s">
        <v>207</v>
      </c>
      <c r="B343" s="1">
        <v>94</v>
      </c>
      <c r="C343" s="1" t="s">
        <v>12</v>
      </c>
      <c r="D343" s="1">
        <v>2</v>
      </c>
      <c r="E343" s="1" t="s">
        <v>156</v>
      </c>
      <c r="F343" s="1">
        <v>15</v>
      </c>
      <c r="G343" s="1">
        <v>13</v>
      </c>
      <c r="H343" s="1" t="s">
        <v>13</v>
      </c>
      <c r="I343" s="1" t="s">
        <v>158</v>
      </c>
      <c r="J343" s="1" t="s">
        <v>408</v>
      </c>
      <c r="K343" s="1" t="s">
        <v>208</v>
      </c>
      <c r="L343" s="1" t="s">
        <v>355</v>
      </c>
      <c r="M343" t="str">
        <f t="shared" si="30"/>
        <v>Bachler</v>
      </c>
      <c r="N343" t="str">
        <f t="shared" si="31"/>
        <v>Dziruni</v>
      </c>
      <c r="O343" t="str">
        <f t="shared" si="32"/>
        <v>Kaldor</v>
      </c>
      <c r="P343" t="str">
        <f t="shared" si="33"/>
        <v>J. Read</v>
      </c>
      <c r="Q343">
        <f t="shared" si="34"/>
        <v>1</v>
      </c>
      <c r="R343" t="str">
        <f t="shared" si="35"/>
        <v>Bachler-Dziruni-Kaldor-J. Read</v>
      </c>
    </row>
    <row r="344" spans="1:18" x14ac:dyDescent="0.25">
      <c r="A344" s="1" t="s">
        <v>207</v>
      </c>
      <c r="B344" s="1">
        <v>95</v>
      </c>
      <c r="C344" s="1" t="s">
        <v>12</v>
      </c>
      <c r="D344" s="1">
        <v>3</v>
      </c>
      <c r="E344" s="1" t="s">
        <v>156</v>
      </c>
      <c r="F344" s="1">
        <v>2</v>
      </c>
      <c r="G344" s="1">
        <v>0</v>
      </c>
      <c r="H344" s="1" t="s">
        <v>13</v>
      </c>
      <c r="I344" s="1" t="s">
        <v>158</v>
      </c>
      <c r="J344" s="1" t="s">
        <v>408</v>
      </c>
      <c r="K344" s="1" t="s">
        <v>208</v>
      </c>
      <c r="L344" s="1" t="s">
        <v>355</v>
      </c>
      <c r="M344" t="str">
        <f t="shared" si="30"/>
        <v>Bachler</v>
      </c>
      <c r="N344" t="str">
        <f t="shared" si="31"/>
        <v>Dziruni</v>
      </c>
      <c r="O344" t="str">
        <f t="shared" si="32"/>
        <v>Kaldor</v>
      </c>
      <c r="P344" t="str">
        <f t="shared" si="33"/>
        <v>J. Read</v>
      </c>
      <c r="Q344">
        <f t="shared" si="34"/>
        <v>1</v>
      </c>
      <c r="R344" t="str">
        <f t="shared" si="35"/>
        <v>Bachler-Dziruni-Kaldor-J. Read</v>
      </c>
    </row>
    <row r="345" spans="1:18" x14ac:dyDescent="0.25">
      <c r="A345" s="1" t="s">
        <v>207</v>
      </c>
      <c r="B345" s="1">
        <v>96</v>
      </c>
      <c r="C345" s="1" t="s">
        <v>18</v>
      </c>
      <c r="D345" s="1">
        <v>1</v>
      </c>
      <c r="E345" s="1" t="s">
        <v>156</v>
      </c>
      <c r="F345" s="1">
        <v>7</v>
      </c>
      <c r="G345" s="1">
        <v>15</v>
      </c>
      <c r="H345" s="1" t="s">
        <v>13</v>
      </c>
      <c r="I345" s="1" t="s">
        <v>161</v>
      </c>
      <c r="J345" s="1" t="s">
        <v>19</v>
      </c>
      <c r="K345" s="1" t="s">
        <v>208</v>
      </c>
      <c r="L345" s="1" t="s">
        <v>355</v>
      </c>
      <c r="M345" t="str">
        <f t="shared" si="30"/>
        <v>Handschmann</v>
      </c>
      <c r="N345" t="str">
        <f t="shared" si="31"/>
        <v>Jindra</v>
      </c>
      <c r="O345" t="str">
        <f t="shared" si="32"/>
        <v>Geyer</v>
      </c>
      <c r="P345" t="str">
        <f t="shared" si="33"/>
        <v>Noble</v>
      </c>
      <c r="Q345">
        <f t="shared" si="34"/>
        <v>0</v>
      </c>
      <c r="R345" t="str">
        <f t="shared" si="35"/>
        <v>Handschmann-Jindra-Geyer-Noble</v>
      </c>
    </row>
    <row r="346" spans="1:18" x14ac:dyDescent="0.25">
      <c r="A346" s="1" t="s">
        <v>207</v>
      </c>
      <c r="B346" s="1">
        <v>97</v>
      </c>
      <c r="C346" s="1" t="s">
        <v>18</v>
      </c>
      <c r="D346" s="1">
        <v>2</v>
      </c>
      <c r="E346" s="1" t="s">
        <v>156</v>
      </c>
      <c r="F346" s="1">
        <v>15</v>
      </c>
      <c r="G346" s="1">
        <v>11</v>
      </c>
      <c r="H346" s="1" t="s">
        <v>13</v>
      </c>
      <c r="I346" s="1" t="s">
        <v>161</v>
      </c>
      <c r="J346" s="1" t="s">
        <v>19</v>
      </c>
      <c r="K346" s="1" t="s">
        <v>208</v>
      </c>
      <c r="L346" s="1" t="s">
        <v>355</v>
      </c>
      <c r="M346" t="str">
        <f t="shared" si="30"/>
        <v>Handschmann</v>
      </c>
      <c r="N346" t="str">
        <f t="shared" si="31"/>
        <v>Jindra</v>
      </c>
      <c r="O346" t="str">
        <f t="shared" si="32"/>
        <v>Geyer</v>
      </c>
      <c r="P346" t="str">
        <f t="shared" si="33"/>
        <v>Noble</v>
      </c>
      <c r="Q346">
        <f t="shared" si="34"/>
        <v>1</v>
      </c>
      <c r="R346" t="str">
        <f t="shared" si="35"/>
        <v>Handschmann-Jindra-Geyer-Noble</v>
      </c>
    </row>
    <row r="347" spans="1:18" x14ac:dyDescent="0.25">
      <c r="A347" s="1" t="s">
        <v>207</v>
      </c>
      <c r="B347" s="1">
        <v>98</v>
      </c>
      <c r="C347" s="1" t="s">
        <v>18</v>
      </c>
      <c r="D347" s="1">
        <v>3</v>
      </c>
      <c r="E347" s="1" t="s">
        <v>156</v>
      </c>
      <c r="F347" s="1">
        <v>6</v>
      </c>
      <c r="G347" s="1">
        <v>7</v>
      </c>
      <c r="H347" s="1" t="s">
        <v>13</v>
      </c>
      <c r="I347" s="1" t="s">
        <v>161</v>
      </c>
      <c r="J347" s="1" t="s">
        <v>19</v>
      </c>
      <c r="K347" s="1" t="s">
        <v>208</v>
      </c>
      <c r="L347" s="1" t="s">
        <v>355</v>
      </c>
      <c r="M347" t="str">
        <f t="shared" si="30"/>
        <v>Handschmann</v>
      </c>
      <c r="N347" t="str">
        <f t="shared" si="31"/>
        <v>Jindra</v>
      </c>
      <c r="O347" t="str">
        <f t="shared" si="32"/>
        <v>Geyer</v>
      </c>
      <c r="P347" t="str">
        <f t="shared" si="33"/>
        <v>Noble</v>
      </c>
      <c r="Q347">
        <f t="shared" si="34"/>
        <v>0</v>
      </c>
      <c r="R347" t="str">
        <f t="shared" si="35"/>
        <v>Handschmann-Jindra-Geyer-Noble</v>
      </c>
    </row>
    <row r="348" spans="1:18" x14ac:dyDescent="0.25">
      <c r="A348" s="1" t="s">
        <v>207</v>
      </c>
      <c r="B348" s="1">
        <v>99</v>
      </c>
      <c r="C348" s="1" t="s">
        <v>21</v>
      </c>
      <c r="D348" s="1">
        <v>1</v>
      </c>
      <c r="E348" s="1" t="s">
        <v>156</v>
      </c>
      <c r="F348" s="1">
        <v>15</v>
      </c>
      <c r="G348" s="1">
        <v>13</v>
      </c>
      <c r="H348" s="1" t="s">
        <v>13</v>
      </c>
      <c r="I348" s="1" t="s">
        <v>163</v>
      </c>
      <c r="J348" s="1" t="s">
        <v>427</v>
      </c>
      <c r="K348" s="1" t="s">
        <v>208</v>
      </c>
      <c r="L348" s="1" t="s">
        <v>355</v>
      </c>
      <c r="M348" t="str">
        <f t="shared" si="30"/>
        <v>Eynard</v>
      </c>
      <c r="N348" t="str">
        <f t="shared" si="31"/>
        <v>Stoisser</v>
      </c>
      <c r="O348" t="str">
        <f t="shared" si="32"/>
        <v>Briant</v>
      </c>
      <c r="P348" t="str">
        <f t="shared" si="33"/>
        <v>N. Wong</v>
      </c>
      <c r="Q348">
        <f t="shared" si="34"/>
        <v>1</v>
      </c>
      <c r="R348" t="str">
        <f t="shared" si="35"/>
        <v>Eynard-Stoisser-Briant-N. Wong</v>
      </c>
    </row>
    <row r="349" spans="1:18" x14ac:dyDescent="0.25">
      <c r="A349" s="1" t="s">
        <v>207</v>
      </c>
      <c r="B349" s="1">
        <v>100</v>
      </c>
      <c r="C349" s="1" t="s">
        <v>21</v>
      </c>
      <c r="D349" s="1">
        <v>2</v>
      </c>
      <c r="E349" s="1" t="s">
        <v>156</v>
      </c>
      <c r="F349" s="1">
        <v>17</v>
      </c>
      <c r="G349" s="1">
        <v>15</v>
      </c>
      <c r="H349" s="1" t="s">
        <v>13</v>
      </c>
      <c r="I349" s="1" t="s">
        <v>163</v>
      </c>
      <c r="J349" s="1" t="s">
        <v>427</v>
      </c>
      <c r="K349" s="1" t="s">
        <v>208</v>
      </c>
      <c r="L349" s="1" t="s">
        <v>355</v>
      </c>
      <c r="M349" t="str">
        <f t="shared" si="30"/>
        <v>Eynard</v>
      </c>
      <c r="N349" t="str">
        <f t="shared" si="31"/>
        <v>Stoisser</v>
      </c>
      <c r="O349" t="str">
        <f t="shared" si="32"/>
        <v>Briant</v>
      </c>
      <c r="P349" t="str">
        <f t="shared" si="33"/>
        <v>N. Wong</v>
      </c>
      <c r="Q349">
        <f t="shared" si="34"/>
        <v>1</v>
      </c>
      <c r="R349" t="str">
        <f t="shared" si="35"/>
        <v>Eynard-Stoisser-Briant-N. Wong</v>
      </c>
    </row>
    <row r="350" spans="1:18" x14ac:dyDescent="0.25">
      <c r="A350" s="1" t="s">
        <v>207</v>
      </c>
      <c r="B350" s="1">
        <v>102</v>
      </c>
      <c r="C350" s="1" t="s">
        <v>24</v>
      </c>
      <c r="D350" s="1">
        <v>1</v>
      </c>
      <c r="E350" s="1" t="s">
        <v>156</v>
      </c>
      <c r="F350" s="1">
        <v>15</v>
      </c>
      <c r="G350" s="1">
        <v>8</v>
      </c>
      <c r="H350" s="1" t="s">
        <v>13</v>
      </c>
      <c r="I350" s="1" t="s">
        <v>165</v>
      </c>
      <c r="J350" s="1" t="s">
        <v>387</v>
      </c>
      <c r="K350" s="1" t="s">
        <v>208</v>
      </c>
      <c r="L350" s="1" t="s">
        <v>355</v>
      </c>
      <c r="M350" t="str">
        <f t="shared" si="30"/>
        <v>Gangkofner</v>
      </c>
      <c r="N350" t="str">
        <f t="shared" si="31"/>
        <v>Mitterwald</v>
      </c>
      <c r="O350" t="str">
        <f t="shared" si="32"/>
        <v>Al. Capp</v>
      </c>
      <c r="P350" t="str">
        <f t="shared" si="33"/>
        <v>Ragg</v>
      </c>
      <c r="Q350">
        <f t="shared" si="34"/>
        <v>1</v>
      </c>
      <c r="R350" t="str">
        <f t="shared" si="35"/>
        <v>Gangkofner-Mitterwald-Al. Capp-Ragg</v>
      </c>
    </row>
    <row r="351" spans="1:18" x14ac:dyDescent="0.25">
      <c r="A351" s="1" t="s">
        <v>207</v>
      </c>
      <c r="B351" s="1">
        <v>103</v>
      </c>
      <c r="C351" s="1" t="s">
        <v>24</v>
      </c>
      <c r="D351" s="1">
        <v>2</v>
      </c>
      <c r="E351" s="1" t="s">
        <v>156</v>
      </c>
      <c r="F351" s="1">
        <v>15</v>
      </c>
      <c r="G351" s="1">
        <v>7</v>
      </c>
      <c r="H351" s="1" t="s">
        <v>13</v>
      </c>
      <c r="I351" s="1" t="s">
        <v>165</v>
      </c>
      <c r="J351" s="1" t="s">
        <v>387</v>
      </c>
      <c r="K351" s="1" t="s">
        <v>208</v>
      </c>
      <c r="L351" s="1" t="s">
        <v>355</v>
      </c>
      <c r="M351" t="str">
        <f t="shared" si="30"/>
        <v>Gangkofner</v>
      </c>
      <c r="N351" t="str">
        <f t="shared" si="31"/>
        <v>Mitterwald</v>
      </c>
      <c r="O351" t="str">
        <f t="shared" si="32"/>
        <v>Al. Capp</v>
      </c>
      <c r="P351" t="str">
        <f t="shared" si="33"/>
        <v>Ragg</v>
      </c>
      <c r="Q351">
        <f t="shared" si="34"/>
        <v>1</v>
      </c>
      <c r="R351" t="str">
        <f t="shared" si="35"/>
        <v>Gangkofner-Mitterwald-Al. Capp-Ragg</v>
      </c>
    </row>
    <row r="352" spans="1:18" x14ac:dyDescent="0.25">
      <c r="A352" s="1" t="s">
        <v>207</v>
      </c>
      <c r="B352" s="1">
        <v>105</v>
      </c>
      <c r="C352" s="1" t="s">
        <v>27</v>
      </c>
      <c r="D352" s="1">
        <v>1</v>
      </c>
      <c r="E352" s="1" t="s">
        <v>156</v>
      </c>
      <c r="F352" s="1">
        <v>11</v>
      </c>
      <c r="G352" s="1">
        <v>15</v>
      </c>
      <c r="H352" s="1" t="s">
        <v>13</v>
      </c>
      <c r="I352" s="1" t="s">
        <v>167</v>
      </c>
      <c r="J352" s="1" t="s">
        <v>28</v>
      </c>
      <c r="K352" s="1" t="s">
        <v>208</v>
      </c>
      <c r="L352" s="1" t="s">
        <v>355</v>
      </c>
      <c r="M352" t="str">
        <f t="shared" si="30"/>
        <v>Anderle</v>
      </c>
      <c r="N352" t="str">
        <f t="shared" si="31"/>
        <v>Leidenfrost</v>
      </c>
      <c r="O352" t="str">
        <f t="shared" si="32"/>
        <v>Nirens</v>
      </c>
      <c r="P352" t="str">
        <f t="shared" si="33"/>
        <v>Wise</v>
      </c>
      <c r="Q352">
        <f t="shared" si="34"/>
        <v>0</v>
      </c>
      <c r="R352" t="str">
        <f t="shared" si="35"/>
        <v>Anderle-Leidenfrost-Nirens-Wise</v>
      </c>
    </row>
    <row r="353" spans="1:18" x14ac:dyDescent="0.25">
      <c r="A353" s="1" t="s">
        <v>207</v>
      </c>
      <c r="B353" s="1">
        <v>106</v>
      </c>
      <c r="C353" s="1" t="s">
        <v>27</v>
      </c>
      <c r="D353" s="1">
        <v>2</v>
      </c>
      <c r="E353" s="1" t="s">
        <v>156</v>
      </c>
      <c r="F353" s="1">
        <v>15</v>
      </c>
      <c r="G353" s="1">
        <v>11</v>
      </c>
      <c r="H353" s="1" t="s">
        <v>13</v>
      </c>
      <c r="I353" s="1" t="s">
        <v>167</v>
      </c>
      <c r="J353" s="1" t="s">
        <v>28</v>
      </c>
      <c r="K353" s="1" t="s">
        <v>208</v>
      </c>
      <c r="L353" s="1" t="s">
        <v>355</v>
      </c>
      <c r="M353" t="str">
        <f t="shared" si="30"/>
        <v>Anderle</v>
      </c>
      <c r="N353" t="str">
        <f t="shared" si="31"/>
        <v>Leidenfrost</v>
      </c>
      <c r="O353" t="str">
        <f t="shared" si="32"/>
        <v>Nirens</v>
      </c>
      <c r="P353" t="str">
        <f t="shared" si="33"/>
        <v>Wise</v>
      </c>
      <c r="Q353">
        <f t="shared" si="34"/>
        <v>1</v>
      </c>
      <c r="R353" t="str">
        <f t="shared" si="35"/>
        <v>Anderle-Leidenfrost-Nirens-Wise</v>
      </c>
    </row>
    <row r="354" spans="1:18" x14ac:dyDescent="0.25">
      <c r="A354" s="1" t="s">
        <v>207</v>
      </c>
      <c r="B354" s="1">
        <v>107</v>
      </c>
      <c r="C354" s="1" t="s">
        <v>27</v>
      </c>
      <c r="D354" s="1">
        <v>3</v>
      </c>
      <c r="E354" s="1" t="s">
        <v>156</v>
      </c>
      <c r="F354" s="1">
        <v>15</v>
      </c>
      <c r="G354" s="1">
        <v>8</v>
      </c>
      <c r="H354" s="1" t="s">
        <v>13</v>
      </c>
      <c r="I354" s="1" t="s">
        <v>167</v>
      </c>
      <c r="J354" s="1" t="s">
        <v>28</v>
      </c>
      <c r="K354" s="1" t="s">
        <v>208</v>
      </c>
      <c r="L354" s="1" t="s">
        <v>355</v>
      </c>
      <c r="M354" t="str">
        <f t="shared" si="30"/>
        <v>Anderle</v>
      </c>
      <c r="N354" t="str">
        <f t="shared" si="31"/>
        <v>Leidenfrost</v>
      </c>
      <c r="O354" t="str">
        <f t="shared" si="32"/>
        <v>Nirens</v>
      </c>
      <c r="P354" t="str">
        <f t="shared" si="33"/>
        <v>Wise</v>
      </c>
      <c r="Q354">
        <f t="shared" si="34"/>
        <v>1</v>
      </c>
      <c r="R354" t="str">
        <f t="shared" si="35"/>
        <v>Anderle-Leidenfrost-Nirens-Wise</v>
      </c>
    </row>
    <row r="355" spans="1:18" x14ac:dyDescent="0.25">
      <c r="A355" s="1" t="s">
        <v>207</v>
      </c>
      <c r="B355" s="1">
        <v>111</v>
      </c>
      <c r="C355" s="1" t="s">
        <v>12</v>
      </c>
      <c r="D355" s="1">
        <v>1</v>
      </c>
      <c r="E355" s="1" t="s">
        <v>168</v>
      </c>
      <c r="F355" s="1">
        <v>1</v>
      </c>
      <c r="G355" s="1">
        <v>0</v>
      </c>
      <c r="H355" s="1" t="s">
        <v>182</v>
      </c>
      <c r="I355" s="1" t="s">
        <v>170</v>
      </c>
      <c r="J355" s="1" t="s">
        <v>184</v>
      </c>
      <c r="K355" s="1" t="s">
        <v>208</v>
      </c>
      <c r="L355" s="1" t="s">
        <v>355</v>
      </c>
      <c r="M355" t="str">
        <f t="shared" si="30"/>
        <v>Clark</v>
      </c>
      <c r="N355" t="str">
        <f t="shared" si="31"/>
        <v>Florinda</v>
      </c>
      <c r="O355" t="str">
        <f t="shared" si="32"/>
        <v>Campos</v>
      </c>
      <c r="P355" t="str">
        <f t="shared" si="33"/>
        <v>Forschner</v>
      </c>
      <c r="Q355">
        <f t="shared" si="34"/>
        <v>1</v>
      </c>
      <c r="R355" t="str">
        <f t="shared" si="35"/>
        <v>Clark-Florinda-Campos-Forschner</v>
      </c>
    </row>
    <row r="356" spans="1:18" x14ac:dyDescent="0.25">
      <c r="A356" s="1" t="s">
        <v>207</v>
      </c>
      <c r="B356" s="1">
        <v>112</v>
      </c>
      <c r="C356" s="1" t="s">
        <v>12</v>
      </c>
      <c r="D356" s="1">
        <v>2</v>
      </c>
      <c r="E356" s="1" t="s">
        <v>168</v>
      </c>
      <c r="F356" s="1">
        <v>1</v>
      </c>
      <c r="G356" s="1">
        <v>0</v>
      </c>
      <c r="H356" s="1" t="s">
        <v>182</v>
      </c>
      <c r="I356" s="1" t="s">
        <v>170</v>
      </c>
      <c r="J356" s="1" t="s">
        <v>184</v>
      </c>
      <c r="K356" s="1" t="s">
        <v>208</v>
      </c>
      <c r="L356" s="1" t="s">
        <v>355</v>
      </c>
      <c r="M356" t="str">
        <f t="shared" si="30"/>
        <v>Clark</v>
      </c>
      <c r="N356" t="str">
        <f t="shared" si="31"/>
        <v>Florinda</v>
      </c>
      <c r="O356" t="str">
        <f t="shared" si="32"/>
        <v>Campos</v>
      </c>
      <c r="P356" t="str">
        <f t="shared" si="33"/>
        <v>Forschner</v>
      </c>
      <c r="Q356">
        <f t="shared" si="34"/>
        <v>1</v>
      </c>
      <c r="R356" t="str">
        <f t="shared" si="35"/>
        <v>Clark-Florinda-Campos-Forschner</v>
      </c>
    </row>
    <row r="357" spans="1:18" x14ac:dyDescent="0.25">
      <c r="A357" s="1" t="s">
        <v>207</v>
      </c>
      <c r="B357" s="1">
        <v>114</v>
      </c>
      <c r="C357" s="1" t="s">
        <v>18</v>
      </c>
      <c r="D357" s="1">
        <v>1</v>
      </c>
      <c r="E357" s="1" t="s">
        <v>168</v>
      </c>
      <c r="F357" s="1">
        <v>1</v>
      </c>
      <c r="G357" s="1">
        <v>0</v>
      </c>
      <c r="H357" s="1" t="s">
        <v>182</v>
      </c>
      <c r="I357" s="1" t="s">
        <v>173</v>
      </c>
      <c r="J357" s="1" t="s">
        <v>187</v>
      </c>
      <c r="K357" s="1" t="s">
        <v>208</v>
      </c>
      <c r="L357" s="1" t="s">
        <v>355</v>
      </c>
      <c r="M357" t="str">
        <f t="shared" si="30"/>
        <v>Améziane</v>
      </c>
      <c r="N357" t="str">
        <f t="shared" si="31"/>
        <v>Mareschal</v>
      </c>
      <c r="O357" t="str">
        <f t="shared" si="32"/>
        <v>E. Cuesta</v>
      </c>
      <c r="P357" t="str">
        <f t="shared" si="33"/>
        <v>G. Cuesta</v>
      </c>
      <c r="Q357">
        <f t="shared" si="34"/>
        <v>1</v>
      </c>
      <c r="R357" t="str">
        <f t="shared" si="35"/>
        <v>Améziane-Mareschal-E. Cuesta-G. Cuesta</v>
      </c>
    </row>
    <row r="358" spans="1:18" x14ac:dyDescent="0.25">
      <c r="A358" s="1" t="s">
        <v>207</v>
      </c>
      <c r="B358" s="1">
        <v>115</v>
      </c>
      <c r="C358" s="1" t="s">
        <v>18</v>
      </c>
      <c r="D358" s="1">
        <v>2</v>
      </c>
      <c r="E358" s="1" t="s">
        <v>168</v>
      </c>
      <c r="F358" s="1">
        <v>1</v>
      </c>
      <c r="G358" s="1">
        <v>0</v>
      </c>
      <c r="H358" s="1" t="s">
        <v>182</v>
      </c>
      <c r="I358" s="1" t="s">
        <v>173</v>
      </c>
      <c r="J358" s="1" t="s">
        <v>187</v>
      </c>
      <c r="K358" s="1" t="s">
        <v>208</v>
      </c>
      <c r="L358" s="1" t="s">
        <v>355</v>
      </c>
      <c r="M358" t="str">
        <f t="shared" si="30"/>
        <v>Améziane</v>
      </c>
      <c r="N358" t="str">
        <f t="shared" si="31"/>
        <v>Mareschal</v>
      </c>
      <c r="O358" t="str">
        <f t="shared" si="32"/>
        <v>E. Cuesta</v>
      </c>
      <c r="P358" t="str">
        <f t="shared" si="33"/>
        <v>G. Cuesta</v>
      </c>
      <c r="Q358">
        <f t="shared" si="34"/>
        <v>1</v>
      </c>
      <c r="R358" t="str">
        <f t="shared" si="35"/>
        <v>Améziane-Mareschal-E. Cuesta-G. Cuesta</v>
      </c>
    </row>
    <row r="359" spans="1:18" x14ac:dyDescent="0.25">
      <c r="A359" s="1" t="s">
        <v>207</v>
      </c>
      <c r="B359" s="1">
        <v>117</v>
      </c>
      <c r="C359" s="1" t="s">
        <v>21</v>
      </c>
      <c r="D359" s="1">
        <v>1</v>
      </c>
      <c r="E359" s="1" t="s">
        <v>168</v>
      </c>
      <c r="F359" s="1">
        <v>1</v>
      </c>
      <c r="G359" s="1">
        <v>0</v>
      </c>
      <c r="H359" s="1" t="s">
        <v>182</v>
      </c>
      <c r="I359" s="1" t="s">
        <v>175</v>
      </c>
      <c r="J359" s="1" t="s">
        <v>379</v>
      </c>
      <c r="K359" s="1" t="s">
        <v>208</v>
      </c>
      <c r="L359" s="1" t="s">
        <v>355</v>
      </c>
      <c r="M359" t="str">
        <f t="shared" si="30"/>
        <v>Caux-Ramon</v>
      </c>
      <c r="N359" t="str">
        <f t="shared" si="31"/>
        <v>Lacombe</v>
      </c>
      <c r="O359" t="str">
        <f t="shared" si="32"/>
        <v>Navio</v>
      </c>
      <c r="P359" t="str">
        <f t="shared" si="33"/>
        <v>M. Egea</v>
      </c>
      <c r="Q359">
        <f t="shared" si="34"/>
        <v>1</v>
      </c>
      <c r="R359" t="str">
        <f t="shared" si="35"/>
        <v>Caux-Ramon-Lacombe-Navio-M. Egea</v>
      </c>
    </row>
    <row r="360" spans="1:18" x14ac:dyDescent="0.25">
      <c r="A360" s="1" t="s">
        <v>207</v>
      </c>
      <c r="B360" s="1">
        <v>118</v>
      </c>
      <c r="C360" s="1" t="s">
        <v>21</v>
      </c>
      <c r="D360" s="1">
        <v>2</v>
      </c>
      <c r="E360" s="1" t="s">
        <v>168</v>
      </c>
      <c r="F360" s="1">
        <v>1</v>
      </c>
      <c r="G360" s="1">
        <v>0</v>
      </c>
      <c r="H360" s="1" t="s">
        <v>182</v>
      </c>
      <c r="I360" s="1" t="s">
        <v>175</v>
      </c>
      <c r="J360" s="1" t="s">
        <v>379</v>
      </c>
      <c r="K360" s="1" t="s">
        <v>208</v>
      </c>
      <c r="L360" s="1" t="s">
        <v>355</v>
      </c>
      <c r="M360" t="str">
        <f t="shared" si="30"/>
        <v>Caux-Ramon</v>
      </c>
      <c r="N360" t="str">
        <f t="shared" si="31"/>
        <v>Lacombe</v>
      </c>
      <c r="O360" t="str">
        <f t="shared" si="32"/>
        <v>Navio</v>
      </c>
      <c r="P360" t="str">
        <f t="shared" si="33"/>
        <v>M. Egea</v>
      </c>
      <c r="Q360">
        <f t="shared" si="34"/>
        <v>1</v>
      </c>
      <c r="R360" t="str">
        <f t="shared" si="35"/>
        <v>Caux-Ramon-Lacombe-Navio-M. Egea</v>
      </c>
    </row>
    <row r="361" spans="1:18" x14ac:dyDescent="0.25">
      <c r="A361" s="1" t="s">
        <v>207</v>
      </c>
      <c r="B361" s="1">
        <v>120</v>
      </c>
      <c r="C361" s="1" t="s">
        <v>24</v>
      </c>
      <c r="D361" s="1">
        <v>1</v>
      </c>
      <c r="E361" s="1" t="s">
        <v>168</v>
      </c>
      <c r="F361" s="1">
        <v>1</v>
      </c>
      <c r="G361" s="1">
        <v>0</v>
      </c>
      <c r="H361" s="1" t="s">
        <v>182</v>
      </c>
      <c r="I361" s="1" t="s">
        <v>177</v>
      </c>
      <c r="J361" s="1" t="s">
        <v>380</v>
      </c>
      <c r="K361" s="1" t="s">
        <v>208</v>
      </c>
      <c r="L361" s="1" t="s">
        <v>355</v>
      </c>
      <c r="M361" t="str">
        <f t="shared" si="30"/>
        <v>Danekas</v>
      </c>
      <c r="N361" t="str">
        <f t="shared" si="31"/>
        <v>Lecrosnier</v>
      </c>
      <c r="O361" t="str">
        <f t="shared" si="32"/>
        <v>Luna</v>
      </c>
      <c r="P361" t="str">
        <f t="shared" si="33"/>
        <v>D. Egea</v>
      </c>
      <c r="Q361">
        <f t="shared" si="34"/>
        <v>1</v>
      </c>
      <c r="R361" t="str">
        <f t="shared" si="35"/>
        <v>Danekas-Lecrosnier-Luna-D. Egea</v>
      </c>
    </row>
    <row r="362" spans="1:18" x14ac:dyDescent="0.25">
      <c r="A362" s="1" t="s">
        <v>207</v>
      </c>
      <c r="B362" s="1">
        <v>121</v>
      </c>
      <c r="C362" s="1" t="s">
        <v>24</v>
      </c>
      <c r="D362" s="1">
        <v>2</v>
      </c>
      <c r="E362" s="1" t="s">
        <v>168</v>
      </c>
      <c r="F362" s="1">
        <v>1</v>
      </c>
      <c r="G362" s="1">
        <v>0</v>
      </c>
      <c r="H362" s="1" t="s">
        <v>182</v>
      </c>
      <c r="I362" s="1" t="s">
        <v>177</v>
      </c>
      <c r="J362" s="1" t="s">
        <v>380</v>
      </c>
      <c r="K362" s="1" t="s">
        <v>208</v>
      </c>
      <c r="L362" s="1" t="s">
        <v>355</v>
      </c>
      <c r="M362" t="str">
        <f t="shared" si="30"/>
        <v>Danekas</v>
      </c>
      <c r="N362" t="str">
        <f t="shared" si="31"/>
        <v>Lecrosnier</v>
      </c>
      <c r="O362" t="str">
        <f t="shared" si="32"/>
        <v>Luna</v>
      </c>
      <c r="P362" t="str">
        <f t="shared" si="33"/>
        <v>D. Egea</v>
      </c>
      <c r="Q362">
        <f t="shared" si="34"/>
        <v>1</v>
      </c>
      <c r="R362" t="str">
        <f t="shared" si="35"/>
        <v>Danekas-Lecrosnier-Luna-D. Egea</v>
      </c>
    </row>
    <row r="363" spans="1:18" x14ac:dyDescent="0.25">
      <c r="A363" s="1" t="s">
        <v>207</v>
      </c>
      <c r="B363" s="1">
        <v>123</v>
      </c>
      <c r="C363" s="1" t="s">
        <v>27</v>
      </c>
      <c r="D363" s="1">
        <v>1</v>
      </c>
      <c r="E363" s="1" t="s">
        <v>168</v>
      </c>
      <c r="F363" s="1">
        <v>1</v>
      </c>
      <c r="G363" s="1">
        <v>0</v>
      </c>
      <c r="H363" s="1" t="s">
        <v>182</v>
      </c>
      <c r="I363" s="1" t="s">
        <v>179</v>
      </c>
      <c r="J363" s="1" t="s">
        <v>193</v>
      </c>
      <c r="K363" s="1" t="s">
        <v>208</v>
      </c>
      <c r="L363" s="1" t="s">
        <v>355</v>
      </c>
      <c r="M363" t="str">
        <f t="shared" si="30"/>
        <v>Renimel</v>
      </c>
      <c r="N363" t="str">
        <f t="shared" si="31"/>
        <v>Sandoz</v>
      </c>
      <c r="O363" t="str">
        <f t="shared" si="32"/>
        <v>Muratel</v>
      </c>
      <c r="P363" t="str">
        <f t="shared" si="33"/>
        <v>Gonzalez</v>
      </c>
      <c r="Q363">
        <f t="shared" si="34"/>
        <v>1</v>
      </c>
      <c r="R363" t="str">
        <f t="shared" si="35"/>
        <v>Renimel-Sandoz-Muratel-Gonzalez</v>
      </c>
    </row>
    <row r="364" spans="1:18" x14ac:dyDescent="0.25">
      <c r="A364" s="1" t="s">
        <v>207</v>
      </c>
      <c r="B364" s="1">
        <v>124</v>
      </c>
      <c r="C364" s="1" t="s">
        <v>27</v>
      </c>
      <c r="D364" s="1">
        <v>2</v>
      </c>
      <c r="E364" s="1" t="s">
        <v>168</v>
      </c>
      <c r="F364" s="1">
        <v>0</v>
      </c>
      <c r="G364" s="1">
        <v>0</v>
      </c>
      <c r="H364" s="1" t="s">
        <v>182</v>
      </c>
      <c r="I364" s="1" t="s">
        <v>179</v>
      </c>
      <c r="J364" s="1" t="s">
        <v>193</v>
      </c>
      <c r="K364" s="1" t="s">
        <v>208</v>
      </c>
      <c r="L364" s="1" t="s">
        <v>355</v>
      </c>
      <c r="M364" t="str">
        <f t="shared" si="30"/>
        <v>Renimel</v>
      </c>
      <c r="N364" t="str">
        <f t="shared" si="31"/>
        <v>Sandoz</v>
      </c>
      <c r="O364" t="str">
        <f t="shared" si="32"/>
        <v>Muratel</v>
      </c>
      <c r="P364" t="str">
        <f t="shared" si="33"/>
        <v>Gonzalez</v>
      </c>
      <c r="Q364">
        <f t="shared" si="34"/>
        <v>0</v>
      </c>
      <c r="R364" t="str">
        <f t="shared" si="35"/>
        <v>Renimel-Sandoz-Muratel-Gonzalez</v>
      </c>
    </row>
    <row r="365" spans="1:18" x14ac:dyDescent="0.25">
      <c r="A365" s="1" t="s">
        <v>207</v>
      </c>
      <c r="B365" s="1">
        <v>129</v>
      </c>
      <c r="C365" s="1" t="s">
        <v>12</v>
      </c>
      <c r="D365" s="1">
        <v>1</v>
      </c>
      <c r="E365" s="1" t="s">
        <v>169</v>
      </c>
      <c r="F365" s="1">
        <v>1</v>
      </c>
      <c r="G365" s="1">
        <v>0</v>
      </c>
      <c r="H365" s="1" t="s">
        <v>14</v>
      </c>
      <c r="I365" s="1" t="s">
        <v>171</v>
      </c>
      <c r="J365" s="1" t="s">
        <v>16</v>
      </c>
      <c r="K365" s="1" t="s">
        <v>208</v>
      </c>
      <c r="L365" s="1" t="s">
        <v>355</v>
      </c>
      <c r="M365" t="str">
        <f t="shared" si="30"/>
        <v>Ekman</v>
      </c>
      <c r="N365" t="str">
        <f t="shared" si="31"/>
        <v>Stenquist</v>
      </c>
      <c r="O365" t="str">
        <f t="shared" si="32"/>
        <v>Beeks</v>
      </c>
      <c r="P365" t="str">
        <f t="shared" si="33"/>
        <v>Elbourne</v>
      </c>
      <c r="Q365">
        <f t="shared" si="34"/>
        <v>1</v>
      </c>
      <c r="R365" t="str">
        <f t="shared" si="35"/>
        <v>Ekman-Stenquist-Beeks-Elbourne</v>
      </c>
    </row>
    <row r="366" spans="1:18" x14ac:dyDescent="0.25">
      <c r="A366" s="1" t="s">
        <v>207</v>
      </c>
      <c r="B366" s="1">
        <v>130</v>
      </c>
      <c r="C366" s="1" t="s">
        <v>12</v>
      </c>
      <c r="D366" s="1">
        <v>2</v>
      </c>
      <c r="E366" s="1" t="s">
        <v>169</v>
      </c>
      <c r="F366" s="1">
        <v>0</v>
      </c>
      <c r="G366" s="1">
        <v>1</v>
      </c>
      <c r="H366" s="1" t="s">
        <v>14</v>
      </c>
      <c r="I366" s="1" t="s">
        <v>171</v>
      </c>
      <c r="J366" s="1" t="s">
        <v>16</v>
      </c>
      <c r="K366" s="1" t="s">
        <v>208</v>
      </c>
      <c r="L366" s="1" t="s">
        <v>355</v>
      </c>
      <c r="M366" t="str">
        <f t="shared" si="30"/>
        <v>Ekman</v>
      </c>
      <c r="N366" t="str">
        <f t="shared" si="31"/>
        <v>Stenquist</v>
      </c>
      <c r="O366" t="str">
        <f t="shared" si="32"/>
        <v>Beeks</v>
      </c>
      <c r="P366" t="str">
        <f t="shared" si="33"/>
        <v>Elbourne</v>
      </c>
      <c r="Q366">
        <f t="shared" si="34"/>
        <v>0</v>
      </c>
      <c r="R366" t="str">
        <f t="shared" si="35"/>
        <v>Ekman-Stenquist-Beeks-Elbourne</v>
      </c>
    </row>
    <row r="367" spans="1:18" x14ac:dyDescent="0.25">
      <c r="A367" s="1" t="s">
        <v>207</v>
      </c>
      <c r="B367" s="1">
        <v>132</v>
      </c>
      <c r="C367" s="1" t="s">
        <v>18</v>
      </c>
      <c r="D367" s="1">
        <v>1</v>
      </c>
      <c r="E367" s="1" t="s">
        <v>169</v>
      </c>
      <c r="F367" s="1">
        <v>0</v>
      </c>
      <c r="G367" s="1">
        <v>1</v>
      </c>
      <c r="H367" s="1" t="s">
        <v>14</v>
      </c>
      <c r="I367" s="1" t="s">
        <v>174</v>
      </c>
      <c r="J367" s="1" t="s">
        <v>20</v>
      </c>
      <c r="K367" s="1" t="s">
        <v>208</v>
      </c>
      <c r="L367" s="1" t="s">
        <v>355</v>
      </c>
      <c r="M367" t="str">
        <f t="shared" si="30"/>
        <v>Henström</v>
      </c>
      <c r="N367" t="str">
        <f t="shared" si="31"/>
        <v>Mjönes</v>
      </c>
      <c r="O367" t="str">
        <f t="shared" si="32"/>
        <v>Rowlands</v>
      </c>
      <c r="P367" t="str">
        <f t="shared" si="33"/>
        <v>Hutko</v>
      </c>
      <c r="Q367">
        <f t="shared" si="34"/>
        <v>0</v>
      </c>
      <c r="R367" t="str">
        <f t="shared" si="35"/>
        <v>Henström-Mjönes-Rowlands-Hutko</v>
      </c>
    </row>
    <row r="368" spans="1:18" x14ac:dyDescent="0.25">
      <c r="A368" s="1" t="s">
        <v>207</v>
      </c>
      <c r="B368" s="1">
        <v>133</v>
      </c>
      <c r="C368" s="1" t="s">
        <v>18</v>
      </c>
      <c r="D368" s="1">
        <v>2</v>
      </c>
      <c r="E368" s="1" t="s">
        <v>169</v>
      </c>
      <c r="F368" s="1">
        <v>0</v>
      </c>
      <c r="G368" s="1">
        <v>1</v>
      </c>
      <c r="H368" s="1" t="s">
        <v>14</v>
      </c>
      <c r="I368" s="1" t="s">
        <v>174</v>
      </c>
      <c r="J368" s="1" t="s">
        <v>20</v>
      </c>
      <c r="K368" s="1" t="s">
        <v>208</v>
      </c>
      <c r="L368" s="1" t="s">
        <v>355</v>
      </c>
      <c r="M368" t="str">
        <f t="shared" si="30"/>
        <v>Henström</v>
      </c>
      <c r="N368" t="str">
        <f t="shared" si="31"/>
        <v>Mjönes</v>
      </c>
      <c r="O368" t="str">
        <f t="shared" si="32"/>
        <v>Rowlands</v>
      </c>
      <c r="P368" t="str">
        <f t="shared" si="33"/>
        <v>Hutko</v>
      </c>
      <c r="Q368">
        <f t="shared" si="34"/>
        <v>0</v>
      </c>
      <c r="R368" t="str">
        <f t="shared" si="35"/>
        <v>Henström-Mjönes-Rowlands-Hutko</v>
      </c>
    </row>
    <row r="369" spans="1:18" x14ac:dyDescent="0.25">
      <c r="A369" s="1" t="s">
        <v>207</v>
      </c>
      <c r="B369" s="1">
        <v>135</v>
      </c>
      <c r="C369" s="1" t="s">
        <v>21</v>
      </c>
      <c r="D369" s="1">
        <v>1</v>
      </c>
      <c r="E369" s="1" t="s">
        <v>169</v>
      </c>
      <c r="F369" s="1">
        <v>1</v>
      </c>
      <c r="G369" s="1">
        <v>0</v>
      </c>
      <c r="H369" s="1" t="s">
        <v>14</v>
      </c>
      <c r="I369" s="1" t="s">
        <v>176</v>
      </c>
      <c r="J369" s="1" t="s">
        <v>23</v>
      </c>
      <c r="K369" s="1" t="s">
        <v>208</v>
      </c>
      <c r="L369" s="1" t="s">
        <v>355</v>
      </c>
      <c r="M369" t="str">
        <f t="shared" si="30"/>
        <v>Millton</v>
      </c>
      <c r="N369" t="str">
        <f t="shared" si="31"/>
        <v>Baggman</v>
      </c>
      <c r="O369" t="str">
        <f t="shared" si="32"/>
        <v>Cook</v>
      </c>
      <c r="P369" t="str">
        <f t="shared" si="33"/>
        <v>Kerridge</v>
      </c>
      <c r="Q369">
        <f t="shared" si="34"/>
        <v>1</v>
      </c>
      <c r="R369" t="str">
        <f t="shared" si="35"/>
        <v>Millton-Baggman-Cook-Kerridge</v>
      </c>
    </row>
    <row r="370" spans="1:18" x14ac:dyDescent="0.25">
      <c r="A370" s="1" t="s">
        <v>207</v>
      </c>
      <c r="B370" s="1">
        <v>136</v>
      </c>
      <c r="C370" s="1" t="s">
        <v>21</v>
      </c>
      <c r="D370" s="1">
        <v>2</v>
      </c>
      <c r="E370" s="1" t="s">
        <v>169</v>
      </c>
      <c r="F370" s="1">
        <v>1</v>
      </c>
      <c r="G370" s="1">
        <v>0</v>
      </c>
      <c r="H370" s="1" t="s">
        <v>14</v>
      </c>
      <c r="I370" s="1" t="s">
        <v>176</v>
      </c>
      <c r="J370" s="1" t="s">
        <v>23</v>
      </c>
      <c r="K370" s="1" t="s">
        <v>208</v>
      </c>
      <c r="L370" s="1" t="s">
        <v>355</v>
      </c>
      <c r="M370" t="str">
        <f t="shared" si="30"/>
        <v>Millton</v>
      </c>
      <c r="N370" t="str">
        <f t="shared" si="31"/>
        <v>Baggman</v>
      </c>
      <c r="O370" t="str">
        <f t="shared" si="32"/>
        <v>Cook</v>
      </c>
      <c r="P370" t="str">
        <f t="shared" si="33"/>
        <v>Kerridge</v>
      </c>
      <c r="Q370">
        <f t="shared" si="34"/>
        <v>1</v>
      </c>
      <c r="R370" t="str">
        <f t="shared" si="35"/>
        <v>Millton-Baggman-Cook-Kerridge</v>
      </c>
    </row>
    <row r="371" spans="1:18" x14ac:dyDescent="0.25">
      <c r="A371" s="1" t="s">
        <v>207</v>
      </c>
      <c r="B371" s="1">
        <v>138</v>
      </c>
      <c r="C371" s="1" t="s">
        <v>24</v>
      </c>
      <c r="D371" s="1">
        <v>1</v>
      </c>
      <c r="E371" s="1" t="s">
        <v>169</v>
      </c>
      <c r="F371" s="1">
        <v>1</v>
      </c>
      <c r="G371" s="1">
        <v>0</v>
      </c>
      <c r="H371" s="1" t="s">
        <v>14</v>
      </c>
      <c r="I371" s="1" t="s">
        <v>178</v>
      </c>
      <c r="J371" s="1" t="s">
        <v>26</v>
      </c>
      <c r="K371" s="1" t="s">
        <v>208</v>
      </c>
      <c r="L371" s="1" t="s">
        <v>355</v>
      </c>
      <c r="M371" t="str">
        <f t="shared" si="30"/>
        <v>Jansson</v>
      </c>
      <c r="N371" t="str">
        <f t="shared" si="31"/>
        <v>Svensson</v>
      </c>
      <c r="O371" t="str">
        <f t="shared" si="32"/>
        <v>Jackson</v>
      </c>
      <c r="P371" t="str">
        <f t="shared" si="33"/>
        <v>Douglas</v>
      </c>
      <c r="Q371">
        <f t="shared" si="34"/>
        <v>1</v>
      </c>
      <c r="R371" t="str">
        <f t="shared" si="35"/>
        <v>Jansson-Svensson-Jackson-Douglas</v>
      </c>
    </row>
    <row r="372" spans="1:18" x14ac:dyDescent="0.25">
      <c r="A372" s="1" t="s">
        <v>207</v>
      </c>
      <c r="B372" s="1">
        <v>139</v>
      </c>
      <c r="C372" s="1" t="s">
        <v>24</v>
      </c>
      <c r="D372" s="1">
        <v>2</v>
      </c>
      <c r="E372" s="1" t="s">
        <v>169</v>
      </c>
      <c r="F372" s="1">
        <v>1</v>
      </c>
      <c r="G372" s="1">
        <v>0</v>
      </c>
      <c r="H372" s="1" t="s">
        <v>14</v>
      </c>
      <c r="I372" s="1" t="s">
        <v>178</v>
      </c>
      <c r="J372" s="1" t="s">
        <v>26</v>
      </c>
      <c r="K372" s="1" t="s">
        <v>208</v>
      </c>
      <c r="L372" s="1" t="s">
        <v>355</v>
      </c>
      <c r="M372" t="str">
        <f t="shared" si="30"/>
        <v>Jansson</v>
      </c>
      <c r="N372" t="str">
        <f t="shared" si="31"/>
        <v>Svensson</v>
      </c>
      <c r="O372" t="str">
        <f t="shared" si="32"/>
        <v>Jackson</v>
      </c>
      <c r="P372" t="str">
        <f t="shared" si="33"/>
        <v>Douglas</v>
      </c>
      <c r="Q372">
        <f t="shared" si="34"/>
        <v>1</v>
      </c>
      <c r="R372" t="str">
        <f t="shared" si="35"/>
        <v>Jansson-Svensson-Jackson-Douglas</v>
      </c>
    </row>
    <row r="373" spans="1:18" x14ac:dyDescent="0.25">
      <c r="A373" s="1" t="s">
        <v>207</v>
      </c>
      <c r="B373" s="1">
        <v>141</v>
      </c>
      <c r="C373" s="1" t="s">
        <v>27</v>
      </c>
      <c r="D373" s="1">
        <v>1</v>
      </c>
      <c r="E373" s="1" t="s">
        <v>169</v>
      </c>
      <c r="F373" s="1">
        <v>1</v>
      </c>
      <c r="G373" s="1">
        <v>0</v>
      </c>
      <c r="H373" s="1" t="s">
        <v>14</v>
      </c>
      <c r="I373" s="1" t="s">
        <v>180</v>
      </c>
      <c r="J373" s="1" t="s">
        <v>29</v>
      </c>
      <c r="K373" s="1" t="s">
        <v>208</v>
      </c>
      <c r="L373" s="1" t="s">
        <v>355</v>
      </c>
      <c r="M373" t="str">
        <f t="shared" si="30"/>
        <v>Skogward</v>
      </c>
      <c r="N373" t="str">
        <f t="shared" si="31"/>
        <v>Ljung</v>
      </c>
      <c r="O373" t="str">
        <f t="shared" si="32"/>
        <v>Sayyed</v>
      </c>
      <c r="P373" t="str">
        <f t="shared" si="33"/>
        <v>Powell</v>
      </c>
      <c r="Q373">
        <f t="shared" si="34"/>
        <v>1</v>
      </c>
      <c r="R373" t="str">
        <f t="shared" si="35"/>
        <v>Skogward-Ljung-Sayyed-Powell</v>
      </c>
    </row>
    <row r="374" spans="1:18" x14ac:dyDescent="0.25">
      <c r="A374" s="1" t="s">
        <v>207</v>
      </c>
      <c r="B374" s="1">
        <v>142</v>
      </c>
      <c r="C374" s="1" t="s">
        <v>27</v>
      </c>
      <c r="D374" s="1">
        <v>2</v>
      </c>
      <c r="E374" s="1" t="s">
        <v>169</v>
      </c>
      <c r="F374" s="1">
        <v>1</v>
      </c>
      <c r="G374" s="1">
        <v>0</v>
      </c>
      <c r="H374" s="1" t="s">
        <v>14</v>
      </c>
      <c r="I374" s="1" t="s">
        <v>180</v>
      </c>
      <c r="J374" s="1" t="s">
        <v>29</v>
      </c>
      <c r="K374" s="1" t="s">
        <v>208</v>
      </c>
      <c r="L374" s="1" t="s">
        <v>355</v>
      </c>
      <c r="M374" t="str">
        <f t="shared" si="30"/>
        <v>Skogward</v>
      </c>
      <c r="N374" t="str">
        <f t="shared" si="31"/>
        <v>Ljung</v>
      </c>
      <c r="O374" t="str">
        <f t="shared" si="32"/>
        <v>Sayyed</v>
      </c>
      <c r="P374" t="str">
        <f t="shared" si="33"/>
        <v>Powell</v>
      </c>
      <c r="Q374">
        <f t="shared" si="34"/>
        <v>1</v>
      </c>
      <c r="R374" t="str">
        <f t="shared" si="35"/>
        <v>Skogward-Ljung-Sayyed-Powell</v>
      </c>
    </row>
    <row r="375" spans="1:18" x14ac:dyDescent="0.25">
      <c r="A375" s="1" t="s">
        <v>207</v>
      </c>
      <c r="B375" s="1">
        <v>183</v>
      </c>
      <c r="C375" s="1" t="s">
        <v>12</v>
      </c>
      <c r="D375" s="1">
        <v>1</v>
      </c>
      <c r="E375" s="1" t="s">
        <v>95</v>
      </c>
      <c r="F375" s="1">
        <v>21</v>
      </c>
      <c r="G375" s="1">
        <v>14</v>
      </c>
      <c r="H375" s="1" t="s">
        <v>135</v>
      </c>
      <c r="I375" s="1" t="s">
        <v>97</v>
      </c>
      <c r="J375" s="1" t="s">
        <v>137</v>
      </c>
      <c r="K375" s="1" t="s">
        <v>222</v>
      </c>
      <c r="L375" s="1" t="s">
        <v>355</v>
      </c>
      <c r="M375" t="str">
        <f t="shared" si="30"/>
        <v>J. Brus</v>
      </c>
      <c r="N375" t="str">
        <f t="shared" si="31"/>
        <v>R. Brus</v>
      </c>
      <c r="O375" t="str">
        <f t="shared" si="32"/>
        <v>El-Gendy</v>
      </c>
      <c r="P375" t="str">
        <f t="shared" si="33"/>
        <v>Seddik</v>
      </c>
      <c r="Q375">
        <f t="shared" si="34"/>
        <v>1</v>
      </c>
      <c r="R375" t="str">
        <f t="shared" si="35"/>
        <v>J. Brus-R. Brus-El-Gendy-Seddik</v>
      </c>
    </row>
    <row r="376" spans="1:18" x14ac:dyDescent="0.25">
      <c r="A376" s="1" t="s">
        <v>207</v>
      </c>
      <c r="B376" s="1">
        <v>186</v>
      </c>
      <c r="C376" s="1" t="s">
        <v>18</v>
      </c>
      <c r="D376" s="1">
        <v>1</v>
      </c>
      <c r="E376" s="1" t="s">
        <v>95</v>
      </c>
      <c r="F376" s="1">
        <v>21</v>
      </c>
      <c r="G376" s="1">
        <v>15</v>
      </c>
      <c r="H376" s="1" t="s">
        <v>135</v>
      </c>
      <c r="I376" s="1" t="s">
        <v>100</v>
      </c>
      <c r="J376" s="1" t="s">
        <v>140</v>
      </c>
      <c r="K376" s="1" t="s">
        <v>222</v>
      </c>
      <c r="L376" s="1" t="s">
        <v>355</v>
      </c>
      <c r="M376" t="str">
        <f t="shared" si="30"/>
        <v>Schouten</v>
      </c>
      <c r="N376" t="str">
        <f t="shared" si="31"/>
        <v>van Manen</v>
      </c>
      <c r="O376" t="str">
        <f t="shared" si="32"/>
        <v>Nader</v>
      </c>
      <c r="P376" t="str">
        <f t="shared" si="33"/>
        <v>Naim</v>
      </c>
      <c r="Q376">
        <f t="shared" si="34"/>
        <v>1</v>
      </c>
      <c r="R376" t="str">
        <f t="shared" si="35"/>
        <v>Schouten-van Manen-Nader-Naim</v>
      </c>
    </row>
    <row r="377" spans="1:18" x14ac:dyDescent="0.25">
      <c r="A377" s="1" t="s">
        <v>207</v>
      </c>
      <c r="B377" s="1">
        <v>189</v>
      </c>
      <c r="C377" s="1" t="s">
        <v>21</v>
      </c>
      <c r="D377" s="1">
        <v>1</v>
      </c>
      <c r="E377" s="1" t="s">
        <v>95</v>
      </c>
      <c r="F377" s="1">
        <v>21</v>
      </c>
      <c r="G377" s="1">
        <v>15</v>
      </c>
      <c r="H377" s="1" t="s">
        <v>135</v>
      </c>
      <c r="I377" s="1" t="s">
        <v>102</v>
      </c>
      <c r="J377" s="1" t="s">
        <v>142</v>
      </c>
      <c r="K377" s="1" t="s">
        <v>222</v>
      </c>
      <c r="L377" s="1" t="s">
        <v>355</v>
      </c>
      <c r="M377" t="str">
        <f t="shared" si="30"/>
        <v>Nieboer</v>
      </c>
      <c r="N377" t="str">
        <f t="shared" si="31"/>
        <v>Van de Riet</v>
      </c>
      <c r="O377" t="str">
        <f t="shared" si="32"/>
        <v>Saafan</v>
      </c>
      <c r="P377" t="str">
        <f t="shared" si="33"/>
        <v>Atwan</v>
      </c>
      <c r="Q377">
        <f t="shared" si="34"/>
        <v>1</v>
      </c>
      <c r="R377" t="str">
        <f t="shared" si="35"/>
        <v>Nieboer-Van de Riet-Saafan-Atwan</v>
      </c>
    </row>
    <row r="378" spans="1:18" x14ac:dyDescent="0.25">
      <c r="A378" s="1" t="s">
        <v>207</v>
      </c>
      <c r="B378" s="1">
        <v>192</v>
      </c>
      <c r="C378" s="1" t="s">
        <v>24</v>
      </c>
      <c r="D378" s="1">
        <v>1</v>
      </c>
      <c r="E378" s="1" t="s">
        <v>95</v>
      </c>
      <c r="F378" s="1">
        <v>21</v>
      </c>
      <c r="G378" s="1">
        <v>14</v>
      </c>
      <c r="H378" s="1" t="s">
        <v>135</v>
      </c>
      <c r="I378" s="1" t="s">
        <v>104</v>
      </c>
      <c r="J378" s="1" t="s">
        <v>144</v>
      </c>
      <c r="K378" s="1" t="s">
        <v>222</v>
      </c>
      <c r="L378" s="1" t="s">
        <v>355</v>
      </c>
      <c r="M378" t="str">
        <f t="shared" si="30"/>
        <v>Spengler</v>
      </c>
      <c r="N378" t="str">
        <f t="shared" si="31"/>
        <v>Slebos</v>
      </c>
      <c r="O378" t="str">
        <f t="shared" si="32"/>
        <v>Abdelmalek</v>
      </c>
      <c r="P378" t="str">
        <f t="shared" si="33"/>
        <v>Alabed</v>
      </c>
      <c r="Q378">
        <f t="shared" si="34"/>
        <v>1</v>
      </c>
      <c r="R378" t="str">
        <f t="shared" si="35"/>
        <v>Spengler-Slebos-Abdelmalek-Alabed</v>
      </c>
    </row>
    <row r="379" spans="1:18" x14ac:dyDescent="0.25">
      <c r="A379" s="1" t="s">
        <v>207</v>
      </c>
      <c r="B379" s="1">
        <v>201</v>
      </c>
      <c r="C379" s="1" t="s">
        <v>12</v>
      </c>
      <c r="D379" s="1">
        <v>1</v>
      </c>
      <c r="E379" s="1" t="s">
        <v>82</v>
      </c>
      <c r="F379" s="1">
        <v>21</v>
      </c>
      <c r="G379" s="1">
        <v>12</v>
      </c>
      <c r="H379" s="1" t="s">
        <v>134</v>
      </c>
      <c r="I379" s="1" t="s">
        <v>84</v>
      </c>
      <c r="J379" s="1" t="s">
        <v>136</v>
      </c>
      <c r="K379" s="1" t="s">
        <v>222</v>
      </c>
      <c r="L379" s="1" t="s">
        <v>355</v>
      </c>
      <c r="M379" t="str">
        <f t="shared" si="30"/>
        <v>Huang</v>
      </c>
      <c r="N379" t="str">
        <f t="shared" si="31"/>
        <v>Hirata</v>
      </c>
      <c r="O379" t="str">
        <f t="shared" si="32"/>
        <v>Lam</v>
      </c>
      <c r="P379" t="str">
        <f t="shared" si="33"/>
        <v>Choi</v>
      </c>
      <c r="Q379">
        <f t="shared" si="34"/>
        <v>1</v>
      </c>
      <c r="R379" t="str">
        <f t="shared" si="35"/>
        <v>Huang-Hirata-Lam-Choi</v>
      </c>
    </row>
    <row r="380" spans="1:18" x14ac:dyDescent="0.25">
      <c r="A380" s="1" t="s">
        <v>207</v>
      </c>
      <c r="B380" s="1">
        <v>204</v>
      </c>
      <c r="C380" s="1" t="s">
        <v>18</v>
      </c>
      <c r="D380" s="1">
        <v>1</v>
      </c>
      <c r="E380" s="1" t="s">
        <v>82</v>
      </c>
      <c r="F380" s="1">
        <v>21</v>
      </c>
      <c r="G380" s="1">
        <v>8</v>
      </c>
      <c r="H380" s="1" t="s">
        <v>134</v>
      </c>
      <c r="I380" s="1" t="s">
        <v>87</v>
      </c>
      <c r="J380" s="1" t="s">
        <v>428</v>
      </c>
      <c r="K380" s="1" t="s">
        <v>222</v>
      </c>
      <c r="L380" s="1" t="s">
        <v>355</v>
      </c>
      <c r="M380" t="str">
        <f t="shared" si="30"/>
        <v>M. Rohrbach</v>
      </c>
      <c r="N380" t="str">
        <f t="shared" si="31"/>
        <v>L. Rohrbach</v>
      </c>
      <c r="O380" t="str">
        <f t="shared" si="32"/>
        <v>C. Fung</v>
      </c>
      <c r="P380" t="str">
        <f t="shared" si="33"/>
        <v>A. Wong</v>
      </c>
      <c r="Q380">
        <f t="shared" si="34"/>
        <v>1</v>
      </c>
      <c r="R380" t="str">
        <f t="shared" si="35"/>
        <v>M. Rohrbach-L. Rohrbach-C. Fung-A. Wong</v>
      </c>
    </row>
    <row r="381" spans="1:18" x14ac:dyDescent="0.25">
      <c r="A381" s="1" t="s">
        <v>207</v>
      </c>
      <c r="B381" s="1">
        <v>207</v>
      </c>
      <c r="C381" s="1" t="s">
        <v>21</v>
      </c>
      <c r="D381" s="1">
        <v>1</v>
      </c>
      <c r="E381" s="1" t="s">
        <v>82</v>
      </c>
      <c r="F381" s="1">
        <v>21</v>
      </c>
      <c r="G381" s="1">
        <v>10</v>
      </c>
      <c r="H381" s="1" t="s">
        <v>134</v>
      </c>
      <c r="I381" s="1" t="s">
        <v>89</v>
      </c>
      <c r="J381" s="1" t="s">
        <v>404</v>
      </c>
      <c r="K381" s="1" t="s">
        <v>222</v>
      </c>
      <c r="L381" s="1" t="s">
        <v>355</v>
      </c>
      <c r="M381" t="str">
        <f t="shared" si="30"/>
        <v>Teixeira</v>
      </c>
      <c r="N381" t="str">
        <f t="shared" si="31"/>
        <v>Santos</v>
      </c>
      <c r="O381" t="str">
        <f t="shared" si="32"/>
        <v>Je. Cheung</v>
      </c>
      <c r="P381" t="str">
        <f t="shared" si="33"/>
        <v>Lau</v>
      </c>
      <c r="Q381">
        <f t="shared" si="34"/>
        <v>1</v>
      </c>
      <c r="R381" t="str">
        <f t="shared" si="35"/>
        <v>Teixeira-Santos-Je. Cheung-Lau</v>
      </c>
    </row>
    <row r="382" spans="1:18" x14ac:dyDescent="0.25">
      <c r="A382" s="1" t="s">
        <v>207</v>
      </c>
      <c r="B382" s="1">
        <v>210</v>
      </c>
      <c r="C382" s="1" t="s">
        <v>24</v>
      </c>
      <c r="D382" s="1">
        <v>1</v>
      </c>
      <c r="E382" s="1" t="s">
        <v>82</v>
      </c>
      <c r="F382" s="1">
        <v>21</v>
      </c>
      <c r="G382" s="1">
        <v>15</v>
      </c>
      <c r="H382" s="1" t="s">
        <v>134</v>
      </c>
      <c r="I382" s="1" t="s">
        <v>91</v>
      </c>
      <c r="J382" s="1" t="s">
        <v>143</v>
      </c>
      <c r="K382" s="1" t="s">
        <v>222</v>
      </c>
      <c r="L382" s="1" t="s">
        <v>355</v>
      </c>
      <c r="M382" t="str">
        <f t="shared" si="30"/>
        <v>Zerbeti</v>
      </c>
      <c r="N382" t="str">
        <f t="shared" si="31"/>
        <v>Nishida</v>
      </c>
      <c r="O382" t="str">
        <f t="shared" si="32"/>
        <v>Lui</v>
      </c>
      <c r="P382" t="str">
        <f t="shared" si="33"/>
        <v>Yan</v>
      </c>
      <c r="Q382">
        <f t="shared" si="34"/>
        <v>1</v>
      </c>
      <c r="R382" t="str">
        <f t="shared" si="35"/>
        <v>Zerbeti-Nishida-Lui-Yan</v>
      </c>
    </row>
    <row r="383" spans="1:18" x14ac:dyDescent="0.25">
      <c r="A383" s="1" t="s">
        <v>207</v>
      </c>
      <c r="B383" s="1">
        <v>213</v>
      </c>
      <c r="C383" s="1" t="s">
        <v>27</v>
      </c>
      <c r="D383" s="1">
        <v>1</v>
      </c>
      <c r="E383" s="1" t="s">
        <v>82</v>
      </c>
      <c r="F383" s="1">
        <v>21</v>
      </c>
      <c r="G383" s="1">
        <v>14</v>
      </c>
      <c r="H383" s="1" t="s">
        <v>134</v>
      </c>
      <c r="I383" s="1" t="s">
        <v>93</v>
      </c>
      <c r="J383" s="1" t="s">
        <v>403</v>
      </c>
      <c r="K383" s="1" t="s">
        <v>222</v>
      </c>
      <c r="L383" s="1" t="s">
        <v>355</v>
      </c>
      <c r="M383" t="str">
        <f t="shared" si="30"/>
        <v>Hey</v>
      </c>
      <c r="N383" t="str">
        <f t="shared" si="31"/>
        <v>Mello</v>
      </c>
      <c r="O383" t="str">
        <f t="shared" si="32"/>
        <v>Y. Cheung</v>
      </c>
      <c r="P383" t="str">
        <f t="shared" si="33"/>
        <v>Yin Ching</v>
      </c>
      <c r="Q383">
        <f t="shared" si="34"/>
        <v>1</v>
      </c>
      <c r="R383" t="str">
        <f t="shared" si="35"/>
        <v>Hey-Mello-Y. Cheung-Yin Ching</v>
      </c>
    </row>
    <row r="384" spans="1:18" x14ac:dyDescent="0.25">
      <c r="A384" s="1" t="s">
        <v>207</v>
      </c>
      <c r="B384" s="1">
        <v>219</v>
      </c>
      <c r="C384" s="1" t="s">
        <v>12</v>
      </c>
      <c r="D384" s="1">
        <v>1</v>
      </c>
      <c r="E384" s="1" t="s">
        <v>56</v>
      </c>
      <c r="F384" s="1">
        <v>21</v>
      </c>
      <c r="G384" s="1">
        <v>16</v>
      </c>
      <c r="H384" s="1" t="s">
        <v>122</v>
      </c>
      <c r="I384" s="1" t="s">
        <v>58</v>
      </c>
      <c r="J384" s="1" t="s">
        <v>124</v>
      </c>
      <c r="K384" s="1" t="s">
        <v>222</v>
      </c>
      <c r="L384" s="1" t="s">
        <v>355</v>
      </c>
      <c r="M384" t="str">
        <f t="shared" si="30"/>
        <v>Ishii</v>
      </c>
      <c r="N384" t="str">
        <f t="shared" si="31"/>
        <v>Shimizu</v>
      </c>
      <c r="O384" t="str">
        <f t="shared" si="32"/>
        <v>Brach</v>
      </c>
      <c r="P384" t="str">
        <f t="shared" si="33"/>
        <v>Castin</v>
      </c>
      <c r="Q384">
        <f t="shared" si="34"/>
        <v>1</v>
      </c>
      <c r="R384" t="str">
        <f t="shared" si="35"/>
        <v>Ishii-Shimizu-Brach-Castin</v>
      </c>
    </row>
    <row r="385" spans="1:18" x14ac:dyDescent="0.25">
      <c r="A385" s="1" t="s">
        <v>207</v>
      </c>
      <c r="B385" s="1">
        <v>222</v>
      </c>
      <c r="C385" s="1" t="s">
        <v>18</v>
      </c>
      <c r="D385" s="1">
        <v>1</v>
      </c>
      <c r="E385" s="1" t="s">
        <v>56</v>
      </c>
      <c r="F385" s="1">
        <v>24</v>
      </c>
      <c r="G385" s="1">
        <v>25</v>
      </c>
      <c r="H385" s="1" t="s">
        <v>122</v>
      </c>
      <c r="I385" s="1" t="s">
        <v>61</v>
      </c>
      <c r="J385" s="1" t="s">
        <v>127</v>
      </c>
      <c r="K385" s="1" t="s">
        <v>222</v>
      </c>
      <c r="L385" s="1" t="s">
        <v>355</v>
      </c>
      <c r="M385" t="str">
        <f t="shared" si="30"/>
        <v>Nakamura</v>
      </c>
      <c r="N385" t="str">
        <f t="shared" si="31"/>
        <v>Takei</v>
      </c>
      <c r="O385" t="str">
        <f t="shared" si="32"/>
        <v>Bermes</v>
      </c>
      <c r="P385" t="str">
        <f t="shared" si="33"/>
        <v>Ries</v>
      </c>
      <c r="Q385">
        <f t="shared" si="34"/>
        <v>0</v>
      </c>
      <c r="R385" t="str">
        <f t="shared" si="35"/>
        <v>Nakamura-Takei-Bermes-Ries</v>
      </c>
    </row>
    <row r="386" spans="1:18" x14ac:dyDescent="0.25">
      <c r="A386" s="1" t="s">
        <v>207</v>
      </c>
      <c r="B386" s="1">
        <v>225</v>
      </c>
      <c r="C386" s="1" t="s">
        <v>21</v>
      </c>
      <c r="D386" s="1">
        <v>1</v>
      </c>
      <c r="E386" s="1" t="s">
        <v>56</v>
      </c>
      <c r="F386" s="1">
        <v>21</v>
      </c>
      <c r="G386" s="1">
        <v>12</v>
      </c>
      <c r="H386" s="1" t="s">
        <v>122</v>
      </c>
      <c r="I386" s="1" t="s">
        <v>63</v>
      </c>
      <c r="J386" s="1" t="s">
        <v>412</v>
      </c>
      <c r="K386" s="1" t="s">
        <v>222</v>
      </c>
      <c r="L386" s="1" t="s">
        <v>355</v>
      </c>
      <c r="M386" t="str">
        <f t="shared" ref="M386:M449" si="36">_xlfn.TEXTBEFORE(I386,"/")</f>
        <v>Tamaki</v>
      </c>
      <c r="N386" t="str">
        <f t="shared" ref="N386:N449" si="37">_xlfn.TEXTAFTER(I386,"/ ")</f>
        <v>Pflaum</v>
      </c>
      <c r="O386" t="str">
        <f t="shared" ref="O386:O449" si="38">_xlfn.TEXTBEFORE(J386,"/")</f>
        <v>Mertens</v>
      </c>
      <c r="P386" t="str">
        <f t="shared" ref="P386:P449" si="39">_xlfn.TEXTAFTER(J386,"/ ")</f>
        <v>M. Thomé</v>
      </c>
      <c r="Q386">
        <f t="shared" ref="Q386:Q449" si="40">IF(F386&gt;G386,1,0)</f>
        <v>1</v>
      </c>
      <c r="R386" t="str">
        <f t="shared" ref="R386:R449" si="41">_xlfn.TEXTJOIN("-",TRUE,M386,N386,O386,P386)</f>
        <v>Tamaki-Pflaum-Mertens-M. Thomé</v>
      </c>
    </row>
    <row r="387" spans="1:18" x14ac:dyDescent="0.25">
      <c r="A387" s="1" t="s">
        <v>207</v>
      </c>
      <c r="B387" s="1">
        <v>228</v>
      </c>
      <c r="C387" s="1" t="s">
        <v>24</v>
      </c>
      <c r="D387" s="1">
        <v>1</v>
      </c>
      <c r="E387" s="1" t="s">
        <v>56</v>
      </c>
      <c r="F387" s="1">
        <v>21</v>
      </c>
      <c r="G387" s="1">
        <v>16</v>
      </c>
      <c r="H387" s="1" t="s">
        <v>122</v>
      </c>
      <c r="I387" s="1" t="s">
        <v>65</v>
      </c>
      <c r="J387" s="1" t="s">
        <v>413</v>
      </c>
      <c r="K387" s="1" t="s">
        <v>222</v>
      </c>
      <c r="L387" s="1" t="s">
        <v>355</v>
      </c>
      <c r="M387" t="str">
        <f t="shared" si="36"/>
        <v>Y. Sato</v>
      </c>
      <c r="N387" t="str">
        <f t="shared" si="37"/>
        <v>K. Sato</v>
      </c>
      <c r="O387" t="str">
        <f t="shared" si="38"/>
        <v>N. Thomé</v>
      </c>
      <c r="P387" t="str">
        <f t="shared" si="39"/>
        <v>Klein</v>
      </c>
      <c r="Q387">
        <f t="shared" si="40"/>
        <v>1</v>
      </c>
      <c r="R387" t="str">
        <f t="shared" si="41"/>
        <v>Y. Sato-K. Sato-N. Thomé-Klein</v>
      </c>
    </row>
    <row r="388" spans="1:18" x14ac:dyDescent="0.25">
      <c r="A388" s="1" t="s">
        <v>207</v>
      </c>
      <c r="B388" s="1">
        <v>231</v>
      </c>
      <c r="C388" s="1" t="s">
        <v>27</v>
      </c>
      <c r="D388" s="1">
        <v>1</v>
      </c>
      <c r="E388" s="1" t="s">
        <v>56</v>
      </c>
      <c r="F388" s="1">
        <v>21</v>
      </c>
      <c r="G388" s="1">
        <v>15</v>
      </c>
      <c r="H388" s="1" t="s">
        <v>122</v>
      </c>
      <c r="I388" s="1" t="s">
        <v>416</v>
      </c>
      <c r="J388" s="1" t="s">
        <v>133</v>
      </c>
      <c r="K388" s="1" t="s">
        <v>222</v>
      </c>
      <c r="L388" s="1" t="s">
        <v>355</v>
      </c>
      <c r="M388" t="str">
        <f t="shared" si="36"/>
        <v>S. Imamura</v>
      </c>
      <c r="N388" t="str">
        <f t="shared" si="37"/>
        <v>T. Sato</v>
      </c>
      <c r="O388" t="str">
        <f t="shared" si="38"/>
        <v>Clees</v>
      </c>
      <c r="P388" t="str">
        <f t="shared" si="39"/>
        <v>Urbany</v>
      </c>
      <c r="Q388">
        <f t="shared" si="40"/>
        <v>1</v>
      </c>
      <c r="R388" t="str">
        <f t="shared" si="41"/>
        <v>S. Imamura-T. Sato-Clees-Urbany</v>
      </c>
    </row>
    <row r="389" spans="1:18" x14ac:dyDescent="0.25">
      <c r="A389" s="1" t="s">
        <v>207</v>
      </c>
      <c r="B389" s="1">
        <v>237</v>
      </c>
      <c r="C389" s="1" t="s">
        <v>12</v>
      </c>
      <c r="D389" s="1">
        <v>1</v>
      </c>
      <c r="E389" s="1" t="s">
        <v>69</v>
      </c>
      <c r="F389" s="1">
        <v>21</v>
      </c>
      <c r="G389" s="1">
        <v>16</v>
      </c>
      <c r="H389" s="1" t="s">
        <v>109</v>
      </c>
      <c r="I389" s="1" t="s">
        <v>425</v>
      </c>
      <c r="J389" s="1" t="s">
        <v>111</v>
      </c>
      <c r="K389" s="1" t="s">
        <v>222</v>
      </c>
      <c r="L389" s="1" t="s">
        <v>355</v>
      </c>
      <c r="M389" t="str">
        <f t="shared" si="36"/>
        <v>Mi. Jaunpetrovičs</v>
      </c>
      <c r="N389" t="str">
        <f t="shared" si="37"/>
        <v>Repels</v>
      </c>
      <c r="O389" t="str">
        <f t="shared" si="38"/>
        <v>Ko. Kyläinpää</v>
      </c>
      <c r="P389" t="str">
        <f t="shared" si="39"/>
        <v>Ka. Kyläinpää</v>
      </c>
      <c r="Q389">
        <f t="shared" si="40"/>
        <v>1</v>
      </c>
      <c r="R389" t="str">
        <f t="shared" si="41"/>
        <v>Mi. Jaunpetrovičs-Repels-Ko. Kyläinpää-Ka. Kyläinpää</v>
      </c>
    </row>
    <row r="390" spans="1:18" x14ac:dyDescent="0.25">
      <c r="A390" s="1" t="s">
        <v>207</v>
      </c>
      <c r="B390" s="1">
        <v>240</v>
      </c>
      <c r="C390" s="1" t="s">
        <v>18</v>
      </c>
      <c r="D390" s="1">
        <v>1</v>
      </c>
      <c r="E390" s="1" t="s">
        <v>69</v>
      </c>
      <c r="F390" s="1">
        <v>17</v>
      </c>
      <c r="G390" s="1">
        <v>21</v>
      </c>
      <c r="H390" s="1" t="s">
        <v>109</v>
      </c>
      <c r="I390" s="1" t="s">
        <v>74</v>
      </c>
      <c r="J390" s="1" t="s">
        <v>114</v>
      </c>
      <c r="K390" s="1" t="s">
        <v>222</v>
      </c>
      <c r="L390" s="1" t="s">
        <v>355</v>
      </c>
      <c r="M390" t="str">
        <f t="shared" si="36"/>
        <v>Juška</v>
      </c>
      <c r="N390" t="str">
        <f t="shared" si="37"/>
        <v>Vanags</v>
      </c>
      <c r="O390" t="str">
        <f t="shared" si="38"/>
        <v>Youssef</v>
      </c>
      <c r="P390" t="str">
        <f t="shared" si="39"/>
        <v>Heikkinen</v>
      </c>
      <c r="Q390">
        <f t="shared" si="40"/>
        <v>0</v>
      </c>
      <c r="R390" t="str">
        <f t="shared" si="41"/>
        <v>Juška-Vanags-Youssef-Heikkinen</v>
      </c>
    </row>
    <row r="391" spans="1:18" x14ac:dyDescent="0.25">
      <c r="A391" s="1" t="s">
        <v>207</v>
      </c>
      <c r="B391" s="1">
        <v>243</v>
      </c>
      <c r="C391" s="1" t="s">
        <v>21</v>
      </c>
      <c r="D391" s="1">
        <v>1</v>
      </c>
      <c r="E391" s="1" t="s">
        <v>69</v>
      </c>
      <c r="F391" s="1">
        <v>21</v>
      </c>
      <c r="G391" s="1">
        <v>16</v>
      </c>
      <c r="H391" s="1" t="s">
        <v>109</v>
      </c>
      <c r="I391" s="1" t="s">
        <v>426</v>
      </c>
      <c r="J391" s="1" t="s">
        <v>116</v>
      </c>
      <c r="K391" s="1" t="s">
        <v>222</v>
      </c>
      <c r="L391" s="1" t="s">
        <v>355</v>
      </c>
      <c r="M391" t="str">
        <f t="shared" si="36"/>
        <v>Ma. Jaunpetrovičs</v>
      </c>
      <c r="N391" t="str">
        <f t="shared" si="37"/>
        <v>Kaupers</v>
      </c>
      <c r="O391" t="str">
        <f t="shared" si="38"/>
        <v>Peltonen</v>
      </c>
      <c r="P391" t="str">
        <f t="shared" si="39"/>
        <v>Seitz</v>
      </c>
      <c r="Q391">
        <f t="shared" si="40"/>
        <v>1</v>
      </c>
      <c r="R391" t="str">
        <f t="shared" si="41"/>
        <v>Ma. Jaunpetrovičs-Kaupers-Peltonen-Seitz</v>
      </c>
    </row>
    <row r="392" spans="1:18" x14ac:dyDescent="0.25">
      <c r="A392" s="1" t="s">
        <v>207</v>
      </c>
      <c r="B392" s="1">
        <v>246</v>
      </c>
      <c r="C392" s="1" t="s">
        <v>24</v>
      </c>
      <c r="D392" s="1">
        <v>1</v>
      </c>
      <c r="E392" s="1" t="s">
        <v>69</v>
      </c>
      <c r="F392" s="1">
        <v>24</v>
      </c>
      <c r="G392" s="1">
        <v>22</v>
      </c>
      <c r="H392" s="1" t="s">
        <v>109</v>
      </c>
      <c r="I392" s="1" t="s">
        <v>78</v>
      </c>
      <c r="J392" s="1" t="s">
        <v>118</v>
      </c>
      <c r="K392" s="1" t="s">
        <v>222</v>
      </c>
      <c r="L392" s="1" t="s">
        <v>355</v>
      </c>
      <c r="M392" t="str">
        <f t="shared" si="36"/>
        <v>Ernestsons</v>
      </c>
      <c r="N392" t="str">
        <f t="shared" si="37"/>
        <v>Matulis</v>
      </c>
      <c r="O392" t="str">
        <f t="shared" si="38"/>
        <v>Kauppinen</v>
      </c>
      <c r="P392" t="str">
        <f t="shared" si="39"/>
        <v>Modenius</v>
      </c>
      <c r="Q392">
        <f t="shared" si="40"/>
        <v>1</v>
      </c>
      <c r="R392" t="str">
        <f t="shared" si="41"/>
        <v>Ernestsons-Matulis-Kauppinen-Modenius</v>
      </c>
    </row>
    <row r="393" spans="1:18" x14ac:dyDescent="0.25">
      <c r="A393" s="1" t="s">
        <v>207</v>
      </c>
      <c r="B393" s="1">
        <v>249</v>
      </c>
      <c r="C393" s="1" t="s">
        <v>27</v>
      </c>
      <c r="D393" s="1">
        <v>1</v>
      </c>
      <c r="E393" s="1" t="s">
        <v>69</v>
      </c>
      <c r="F393" s="1">
        <v>6</v>
      </c>
      <c r="G393" s="1">
        <v>21</v>
      </c>
      <c r="H393" s="1" t="s">
        <v>109</v>
      </c>
      <c r="I393" s="1" t="s">
        <v>80</v>
      </c>
      <c r="J393" s="1" t="s">
        <v>120</v>
      </c>
      <c r="K393" s="1" t="s">
        <v>222</v>
      </c>
      <c r="L393" s="1" t="s">
        <v>355</v>
      </c>
      <c r="M393" t="str">
        <f t="shared" si="36"/>
        <v>Beļajevs</v>
      </c>
      <c r="N393" t="str">
        <f t="shared" si="37"/>
        <v>Briedis</v>
      </c>
      <c r="O393" t="str">
        <f t="shared" si="38"/>
        <v>Zein</v>
      </c>
      <c r="P393" t="str">
        <f t="shared" si="39"/>
        <v>Orava</v>
      </c>
      <c r="Q393">
        <f t="shared" si="40"/>
        <v>0</v>
      </c>
      <c r="R393" t="str">
        <f t="shared" si="41"/>
        <v>Beļajevs-Briedis-Zein-Orava</v>
      </c>
    </row>
    <row r="394" spans="1:18" x14ac:dyDescent="0.25">
      <c r="A394" s="1" t="s">
        <v>207</v>
      </c>
      <c r="B394" s="1">
        <v>255</v>
      </c>
      <c r="C394" s="1" t="s">
        <v>12</v>
      </c>
      <c r="D394" s="1">
        <v>1</v>
      </c>
      <c r="E394" s="1" t="s">
        <v>83</v>
      </c>
      <c r="F394" s="1">
        <v>21</v>
      </c>
      <c r="G394" s="1">
        <v>10</v>
      </c>
      <c r="H394" s="1" t="s">
        <v>121</v>
      </c>
      <c r="I394" s="1" t="s">
        <v>85</v>
      </c>
      <c r="J394" s="1" t="s">
        <v>123</v>
      </c>
      <c r="K394" s="1" t="s">
        <v>222</v>
      </c>
      <c r="L394" s="1" t="s">
        <v>355</v>
      </c>
      <c r="M394" t="str">
        <f t="shared" si="36"/>
        <v>Hanisch</v>
      </c>
      <c r="N394" t="str">
        <f t="shared" si="37"/>
        <v>Aasen</v>
      </c>
      <c r="O394" t="str">
        <f t="shared" si="38"/>
        <v>Prelich</v>
      </c>
      <c r="P394" t="str">
        <f t="shared" si="39"/>
        <v>Tomkin Clarke</v>
      </c>
      <c r="Q394">
        <f t="shared" si="40"/>
        <v>1</v>
      </c>
      <c r="R394" t="str">
        <f t="shared" si="41"/>
        <v>Hanisch-Aasen-Prelich-Tomkin Clarke</v>
      </c>
    </row>
    <row r="395" spans="1:18" x14ac:dyDescent="0.25">
      <c r="A395" s="1" t="s">
        <v>207</v>
      </c>
      <c r="B395" s="1">
        <v>258</v>
      </c>
      <c r="C395" s="1" t="s">
        <v>18</v>
      </c>
      <c r="D395" s="1">
        <v>1</v>
      </c>
      <c r="E395" s="1" t="s">
        <v>83</v>
      </c>
      <c r="F395" s="1">
        <v>21</v>
      </c>
      <c r="G395" s="1">
        <v>16</v>
      </c>
      <c r="H395" s="1" t="s">
        <v>121</v>
      </c>
      <c r="I395" s="1" t="s">
        <v>88</v>
      </c>
      <c r="J395" s="1" t="s">
        <v>126</v>
      </c>
      <c r="K395" s="1" t="s">
        <v>222</v>
      </c>
      <c r="L395" s="1" t="s">
        <v>355</v>
      </c>
      <c r="M395" t="str">
        <f t="shared" si="36"/>
        <v>Steinsholt</v>
      </c>
      <c r="N395" t="str">
        <f t="shared" si="37"/>
        <v>Kuehl</v>
      </c>
      <c r="O395" t="str">
        <f t="shared" si="38"/>
        <v>O'Gara</v>
      </c>
      <c r="P395" t="str">
        <f t="shared" si="39"/>
        <v>Mendez</v>
      </c>
      <c r="Q395">
        <f t="shared" si="40"/>
        <v>1</v>
      </c>
      <c r="R395" t="str">
        <f t="shared" si="41"/>
        <v>Steinsholt-Kuehl-O'Gara-Mendez</v>
      </c>
    </row>
    <row r="396" spans="1:18" x14ac:dyDescent="0.25">
      <c r="A396" s="1" t="s">
        <v>207</v>
      </c>
      <c r="B396" s="1">
        <v>261</v>
      </c>
      <c r="C396" s="1" t="s">
        <v>21</v>
      </c>
      <c r="D396" s="1">
        <v>1</v>
      </c>
      <c r="E396" s="1" t="s">
        <v>83</v>
      </c>
      <c r="F396" s="1">
        <v>21</v>
      </c>
      <c r="G396" s="1">
        <v>11</v>
      </c>
      <c r="H396" s="1" t="s">
        <v>121</v>
      </c>
      <c r="I396" s="1" t="s">
        <v>90</v>
      </c>
      <c r="J396" s="1" t="s">
        <v>128</v>
      </c>
      <c r="K396" s="1" t="s">
        <v>222</v>
      </c>
      <c r="L396" s="1" t="s">
        <v>355</v>
      </c>
      <c r="M396" t="str">
        <f t="shared" si="36"/>
        <v>Sund-Olsen</v>
      </c>
      <c r="N396" t="str">
        <f t="shared" si="37"/>
        <v>Strandin</v>
      </c>
      <c r="O396" t="str">
        <f t="shared" si="38"/>
        <v>Duffy</v>
      </c>
      <c r="P396" t="str">
        <f t="shared" si="39"/>
        <v>Byrne</v>
      </c>
      <c r="Q396">
        <f t="shared" si="40"/>
        <v>1</v>
      </c>
      <c r="R396" t="str">
        <f t="shared" si="41"/>
        <v>Sund-Olsen-Strandin-Duffy-Byrne</v>
      </c>
    </row>
    <row r="397" spans="1:18" x14ac:dyDescent="0.25">
      <c r="A397" s="1" t="s">
        <v>207</v>
      </c>
      <c r="B397" s="1">
        <v>264</v>
      </c>
      <c r="C397" s="1" t="s">
        <v>24</v>
      </c>
      <c r="D397" s="1">
        <v>1</v>
      </c>
      <c r="E397" s="1" t="s">
        <v>83</v>
      </c>
      <c r="F397" s="1">
        <v>21</v>
      </c>
      <c r="G397" s="1">
        <v>15</v>
      </c>
      <c r="H397" s="1" t="s">
        <v>121</v>
      </c>
      <c r="I397" s="1" t="s">
        <v>92</v>
      </c>
      <c r="J397" s="1" t="s">
        <v>130</v>
      </c>
      <c r="K397" s="1" t="s">
        <v>222</v>
      </c>
      <c r="L397" s="1" t="s">
        <v>355</v>
      </c>
      <c r="M397" t="str">
        <f t="shared" si="36"/>
        <v>Helland</v>
      </c>
      <c r="N397" t="str">
        <f t="shared" si="37"/>
        <v>Abrahamsen</v>
      </c>
      <c r="O397" t="str">
        <f t="shared" si="38"/>
        <v>Leonard</v>
      </c>
      <c r="P397" t="str">
        <f t="shared" si="39"/>
        <v>Hodkinson</v>
      </c>
      <c r="Q397">
        <f t="shared" si="40"/>
        <v>1</v>
      </c>
      <c r="R397" t="str">
        <f t="shared" si="41"/>
        <v>Helland-Abrahamsen-Leonard-Hodkinson</v>
      </c>
    </row>
    <row r="398" spans="1:18" x14ac:dyDescent="0.25">
      <c r="A398" s="1" t="s">
        <v>207</v>
      </c>
      <c r="B398" s="1">
        <v>267</v>
      </c>
      <c r="C398" s="1" t="s">
        <v>27</v>
      </c>
      <c r="D398" s="1">
        <v>1</v>
      </c>
      <c r="E398" s="1" t="s">
        <v>83</v>
      </c>
      <c r="F398" s="1">
        <v>21</v>
      </c>
      <c r="G398" s="1">
        <v>17</v>
      </c>
      <c r="H398" s="1" t="s">
        <v>121</v>
      </c>
      <c r="I398" s="1" t="s">
        <v>419</v>
      </c>
      <c r="J398" s="1" t="s">
        <v>132</v>
      </c>
      <c r="K398" s="1" t="s">
        <v>222</v>
      </c>
      <c r="L398" s="1" t="s">
        <v>355</v>
      </c>
      <c r="M398" t="str">
        <f t="shared" si="36"/>
        <v>J. Modalsli</v>
      </c>
      <c r="N398" t="str">
        <f t="shared" si="37"/>
        <v>Tønne-Johansen</v>
      </c>
      <c r="O398" t="str">
        <f t="shared" si="38"/>
        <v>Costa</v>
      </c>
      <c r="P398" t="str">
        <f t="shared" si="39"/>
        <v>Urbi</v>
      </c>
      <c r="Q398">
        <f t="shared" si="40"/>
        <v>1</v>
      </c>
      <c r="R398" t="str">
        <f t="shared" si="41"/>
        <v>J. Modalsli-Tønne-Johansen-Costa-Urbi</v>
      </c>
    </row>
    <row r="399" spans="1:18" x14ac:dyDescent="0.25">
      <c r="A399" s="1" t="s">
        <v>207</v>
      </c>
      <c r="B399" s="1">
        <v>273</v>
      </c>
      <c r="C399" s="1" t="s">
        <v>12</v>
      </c>
      <c r="D399" s="1">
        <v>1</v>
      </c>
      <c r="E399" s="1" t="s">
        <v>108</v>
      </c>
      <c r="F399" s="1">
        <v>0</v>
      </c>
      <c r="G399" s="1">
        <v>1</v>
      </c>
      <c r="H399" s="1" t="s">
        <v>96</v>
      </c>
      <c r="I399" s="1" t="s">
        <v>110</v>
      </c>
      <c r="J399" s="1" t="s">
        <v>397</v>
      </c>
      <c r="K399" s="1" t="s">
        <v>222</v>
      </c>
      <c r="L399" s="1" t="s">
        <v>355</v>
      </c>
      <c r="M399" t="str">
        <f t="shared" si="36"/>
        <v>Goar</v>
      </c>
      <c r="N399" t="str">
        <f t="shared" si="37"/>
        <v>Canovas</v>
      </c>
      <c r="O399" t="str">
        <f t="shared" si="38"/>
        <v>Yañez</v>
      </c>
      <c r="P399" t="str">
        <f t="shared" si="39"/>
        <v>F. Rivera</v>
      </c>
      <c r="Q399">
        <f t="shared" si="40"/>
        <v>0</v>
      </c>
      <c r="R399" t="str">
        <f t="shared" si="41"/>
        <v>Goar-Canovas-Yañez-F. Rivera</v>
      </c>
    </row>
    <row r="400" spans="1:18" x14ac:dyDescent="0.25">
      <c r="A400" s="1" t="s">
        <v>207</v>
      </c>
      <c r="B400" s="1">
        <v>276</v>
      </c>
      <c r="C400" s="1" t="s">
        <v>18</v>
      </c>
      <c r="D400" s="1">
        <v>1</v>
      </c>
      <c r="E400" s="1" t="s">
        <v>108</v>
      </c>
      <c r="F400" s="1">
        <v>1</v>
      </c>
      <c r="G400" s="1">
        <v>0</v>
      </c>
      <c r="H400" s="1" t="s">
        <v>96</v>
      </c>
      <c r="I400" s="1" t="s">
        <v>398</v>
      </c>
      <c r="J400" s="1" t="s">
        <v>101</v>
      </c>
      <c r="K400" s="1" t="s">
        <v>222</v>
      </c>
      <c r="L400" s="1" t="s">
        <v>355</v>
      </c>
      <c r="M400" t="str">
        <f t="shared" si="36"/>
        <v>M. Rivera</v>
      </c>
      <c r="N400" t="str">
        <f t="shared" si="37"/>
        <v>Meave</v>
      </c>
      <c r="O400" t="str">
        <f t="shared" si="38"/>
        <v>O. Herrera</v>
      </c>
      <c r="P400" t="str">
        <f t="shared" si="39"/>
        <v>Larroza</v>
      </c>
      <c r="Q400">
        <f t="shared" si="40"/>
        <v>1</v>
      </c>
      <c r="R400" t="str">
        <f t="shared" si="41"/>
        <v>M. Rivera-Meave-O. Herrera-Larroza</v>
      </c>
    </row>
    <row r="401" spans="1:18" x14ac:dyDescent="0.25">
      <c r="A401" s="1" t="s">
        <v>207</v>
      </c>
      <c r="B401" s="1">
        <v>279</v>
      </c>
      <c r="C401" s="1" t="s">
        <v>21</v>
      </c>
      <c r="D401" s="1">
        <v>1</v>
      </c>
      <c r="E401" s="1" t="s">
        <v>108</v>
      </c>
      <c r="F401" s="1">
        <v>0</v>
      </c>
      <c r="G401" s="1">
        <v>1</v>
      </c>
      <c r="H401" s="1" t="s">
        <v>96</v>
      </c>
      <c r="I401" s="1" t="s">
        <v>115</v>
      </c>
      <c r="J401" s="1" t="s">
        <v>399</v>
      </c>
      <c r="K401" s="1" t="s">
        <v>222</v>
      </c>
      <c r="L401" s="1" t="s">
        <v>355</v>
      </c>
      <c r="M401" t="str">
        <f t="shared" si="36"/>
        <v>Erick Diaz</v>
      </c>
      <c r="N401" t="str">
        <f t="shared" si="37"/>
        <v>Loïacono</v>
      </c>
      <c r="O401" t="str">
        <f t="shared" si="38"/>
        <v>D. Rivera</v>
      </c>
      <c r="P401" t="str">
        <f t="shared" si="39"/>
        <v>Ortiz</v>
      </c>
      <c r="Q401">
        <f t="shared" si="40"/>
        <v>0</v>
      </c>
      <c r="R401" t="str">
        <f t="shared" si="41"/>
        <v>Erick Diaz-Loïacono-D. Rivera-Ortiz</v>
      </c>
    </row>
    <row r="402" spans="1:18" x14ac:dyDescent="0.25">
      <c r="A402" s="1" t="s">
        <v>207</v>
      </c>
      <c r="B402" s="1">
        <v>282</v>
      </c>
      <c r="C402" s="1" t="s">
        <v>24</v>
      </c>
      <c r="D402" s="1">
        <v>1</v>
      </c>
      <c r="E402" s="1" t="s">
        <v>108</v>
      </c>
      <c r="F402" s="1">
        <v>1</v>
      </c>
      <c r="G402" s="1">
        <v>0</v>
      </c>
      <c r="H402" s="1" t="s">
        <v>96</v>
      </c>
      <c r="I402" s="1" t="s">
        <v>117</v>
      </c>
      <c r="J402" s="1" t="s">
        <v>105</v>
      </c>
      <c r="K402" s="1" t="s">
        <v>222</v>
      </c>
      <c r="L402" s="1" t="s">
        <v>355</v>
      </c>
      <c r="M402" t="str">
        <f t="shared" si="36"/>
        <v>Islas</v>
      </c>
      <c r="N402" t="str">
        <f t="shared" si="37"/>
        <v>Rueda</v>
      </c>
      <c r="O402" t="str">
        <f t="shared" si="38"/>
        <v>R. Herrera</v>
      </c>
      <c r="P402" t="str">
        <f t="shared" si="39"/>
        <v>P. Herrera</v>
      </c>
      <c r="Q402">
        <f t="shared" si="40"/>
        <v>1</v>
      </c>
      <c r="R402" t="str">
        <f t="shared" si="41"/>
        <v>Islas-Rueda-R. Herrera-P. Herrera</v>
      </c>
    </row>
    <row r="403" spans="1:18" x14ac:dyDescent="0.25">
      <c r="A403" s="1" t="s">
        <v>207</v>
      </c>
      <c r="B403" s="1">
        <v>285</v>
      </c>
      <c r="C403" s="1" t="s">
        <v>27</v>
      </c>
      <c r="D403" s="1">
        <v>1</v>
      </c>
      <c r="E403" s="1" t="s">
        <v>108</v>
      </c>
      <c r="F403" s="1">
        <v>0</v>
      </c>
      <c r="G403" s="1">
        <v>1</v>
      </c>
      <c r="H403" s="1" t="s">
        <v>96</v>
      </c>
      <c r="I403" s="1" t="s">
        <v>119</v>
      </c>
      <c r="J403" s="1" t="s">
        <v>107</v>
      </c>
      <c r="K403" s="1" t="s">
        <v>222</v>
      </c>
      <c r="L403" s="1" t="s">
        <v>355</v>
      </c>
      <c r="M403" t="str">
        <f t="shared" si="36"/>
        <v>Durazo</v>
      </c>
      <c r="N403" t="str">
        <f t="shared" si="37"/>
        <v>Einar Diaz</v>
      </c>
      <c r="O403" t="str">
        <f t="shared" si="38"/>
        <v>Mella</v>
      </c>
      <c r="P403" t="str">
        <f t="shared" si="39"/>
        <v>Vargas</v>
      </c>
      <c r="Q403">
        <f t="shared" si="40"/>
        <v>0</v>
      </c>
      <c r="R403" t="str">
        <f t="shared" si="41"/>
        <v>Durazo-Einar Diaz-Mella-Vargas</v>
      </c>
    </row>
    <row r="404" spans="1:18" x14ac:dyDescent="0.25">
      <c r="A404" s="1" t="s">
        <v>215</v>
      </c>
      <c r="B404" s="1">
        <v>3</v>
      </c>
      <c r="C404" s="1" t="s">
        <v>12</v>
      </c>
      <c r="D404" s="1">
        <v>1</v>
      </c>
      <c r="E404" s="1" t="s">
        <v>194</v>
      </c>
      <c r="F404" s="1">
        <v>21</v>
      </c>
      <c r="G404" s="1">
        <v>14</v>
      </c>
      <c r="H404" s="1" t="s">
        <v>169</v>
      </c>
      <c r="I404" s="1" t="s">
        <v>196</v>
      </c>
      <c r="J404" s="1" t="s">
        <v>171</v>
      </c>
      <c r="K404" s="1" t="s">
        <v>216</v>
      </c>
      <c r="L404" s="1" t="s">
        <v>355</v>
      </c>
      <c r="M404" t="str">
        <f t="shared" si="36"/>
        <v>Bosak</v>
      </c>
      <c r="N404" t="str">
        <f t="shared" si="37"/>
        <v>Cote</v>
      </c>
      <c r="O404" t="str">
        <f t="shared" si="38"/>
        <v>Ekman</v>
      </c>
      <c r="P404" t="str">
        <f t="shared" si="39"/>
        <v>Stenquist</v>
      </c>
      <c r="Q404">
        <f t="shared" si="40"/>
        <v>1</v>
      </c>
      <c r="R404" t="str">
        <f t="shared" si="41"/>
        <v>Bosak-Cote-Ekman-Stenquist</v>
      </c>
    </row>
    <row r="405" spans="1:18" x14ac:dyDescent="0.25">
      <c r="A405" s="1" t="s">
        <v>215</v>
      </c>
      <c r="B405" s="1">
        <v>4</v>
      </c>
      <c r="C405" s="1" t="s">
        <v>12</v>
      </c>
      <c r="D405" s="1">
        <v>2</v>
      </c>
      <c r="E405" s="1" t="s">
        <v>194</v>
      </c>
      <c r="F405" s="1">
        <v>21</v>
      </c>
      <c r="G405" s="1">
        <v>18</v>
      </c>
      <c r="H405" s="1" t="s">
        <v>169</v>
      </c>
      <c r="I405" s="1" t="s">
        <v>196</v>
      </c>
      <c r="J405" s="1" t="s">
        <v>171</v>
      </c>
      <c r="K405" s="1" t="s">
        <v>216</v>
      </c>
      <c r="L405" s="1" t="s">
        <v>355</v>
      </c>
      <c r="M405" t="str">
        <f t="shared" si="36"/>
        <v>Bosak</v>
      </c>
      <c r="N405" t="str">
        <f t="shared" si="37"/>
        <v>Cote</v>
      </c>
      <c r="O405" t="str">
        <f t="shared" si="38"/>
        <v>Ekman</v>
      </c>
      <c r="P405" t="str">
        <f t="shared" si="39"/>
        <v>Stenquist</v>
      </c>
      <c r="Q405">
        <f t="shared" si="40"/>
        <v>1</v>
      </c>
      <c r="R405" t="str">
        <f t="shared" si="41"/>
        <v>Bosak-Cote-Ekman-Stenquist</v>
      </c>
    </row>
    <row r="406" spans="1:18" x14ac:dyDescent="0.25">
      <c r="A406" s="1" t="s">
        <v>215</v>
      </c>
      <c r="B406" s="1">
        <v>6</v>
      </c>
      <c r="C406" s="1" t="s">
        <v>18</v>
      </c>
      <c r="D406" s="1">
        <v>1</v>
      </c>
      <c r="E406" s="1" t="s">
        <v>194</v>
      </c>
      <c r="F406" s="1">
        <v>22</v>
      </c>
      <c r="G406" s="1">
        <v>20</v>
      </c>
      <c r="H406" s="1" t="s">
        <v>169</v>
      </c>
      <c r="I406" s="1" t="s">
        <v>199</v>
      </c>
      <c r="J406" s="1" t="s">
        <v>174</v>
      </c>
      <c r="K406" s="1" t="s">
        <v>216</v>
      </c>
      <c r="L406" s="1" t="s">
        <v>355</v>
      </c>
      <c r="M406" t="str">
        <f t="shared" si="36"/>
        <v>Dean</v>
      </c>
      <c r="N406" t="str">
        <f t="shared" si="37"/>
        <v>Gagnon</v>
      </c>
      <c r="O406" t="str">
        <f t="shared" si="38"/>
        <v>Henström</v>
      </c>
      <c r="P406" t="str">
        <f t="shared" si="39"/>
        <v>Mjönes</v>
      </c>
      <c r="Q406">
        <f t="shared" si="40"/>
        <v>1</v>
      </c>
      <c r="R406" t="str">
        <f t="shared" si="41"/>
        <v>Dean-Gagnon-Henström-Mjönes</v>
      </c>
    </row>
    <row r="407" spans="1:18" x14ac:dyDescent="0.25">
      <c r="A407" s="1" t="s">
        <v>215</v>
      </c>
      <c r="B407" s="1">
        <v>7</v>
      </c>
      <c r="C407" s="1" t="s">
        <v>18</v>
      </c>
      <c r="D407" s="1">
        <v>2</v>
      </c>
      <c r="E407" s="1" t="s">
        <v>194</v>
      </c>
      <c r="F407" s="1">
        <v>21</v>
      </c>
      <c r="G407" s="1">
        <v>10</v>
      </c>
      <c r="H407" s="1" t="s">
        <v>169</v>
      </c>
      <c r="I407" s="1" t="s">
        <v>199</v>
      </c>
      <c r="J407" s="1" t="s">
        <v>174</v>
      </c>
      <c r="K407" s="1" t="s">
        <v>216</v>
      </c>
      <c r="L407" s="1" t="s">
        <v>355</v>
      </c>
      <c r="M407" t="str">
        <f t="shared" si="36"/>
        <v>Dean</v>
      </c>
      <c r="N407" t="str">
        <f t="shared" si="37"/>
        <v>Gagnon</v>
      </c>
      <c r="O407" t="str">
        <f t="shared" si="38"/>
        <v>Henström</v>
      </c>
      <c r="P407" t="str">
        <f t="shared" si="39"/>
        <v>Mjönes</v>
      </c>
      <c r="Q407">
        <f t="shared" si="40"/>
        <v>1</v>
      </c>
      <c r="R407" t="str">
        <f t="shared" si="41"/>
        <v>Dean-Gagnon-Henström-Mjönes</v>
      </c>
    </row>
    <row r="408" spans="1:18" x14ac:dyDescent="0.25">
      <c r="A408" s="1" t="s">
        <v>215</v>
      </c>
      <c r="B408" s="1">
        <v>9</v>
      </c>
      <c r="C408" s="1" t="s">
        <v>21</v>
      </c>
      <c r="D408" s="1">
        <v>1</v>
      </c>
      <c r="E408" s="1" t="s">
        <v>194</v>
      </c>
      <c r="F408" s="1">
        <v>21</v>
      </c>
      <c r="G408" s="1">
        <v>10</v>
      </c>
      <c r="H408" s="1" t="s">
        <v>169</v>
      </c>
      <c r="I408" s="1" t="s">
        <v>392</v>
      </c>
      <c r="J408" s="1" t="s">
        <v>176</v>
      </c>
      <c r="K408" s="1" t="s">
        <v>216</v>
      </c>
      <c r="L408" s="1" t="s">
        <v>355</v>
      </c>
      <c r="M408" t="str">
        <f t="shared" si="36"/>
        <v>Mathieu</v>
      </c>
      <c r="N408" t="str">
        <f t="shared" si="37"/>
        <v>E. Leung</v>
      </c>
      <c r="O408" t="str">
        <f t="shared" si="38"/>
        <v>Millton</v>
      </c>
      <c r="P408" t="str">
        <f t="shared" si="39"/>
        <v>Baggman</v>
      </c>
      <c r="Q408">
        <f t="shared" si="40"/>
        <v>1</v>
      </c>
      <c r="R408" t="str">
        <f t="shared" si="41"/>
        <v>Mathieu-E. Leung-Millton-Baggman</v>
      </c>
    </row>
    <row r="409" spans="1:18" x14ac:dyDescent="0.25">
      <c r="A409" s="1" t="s">
        <v>215</v>
      </c>
      <c r="B409" s="1">
        <v>10</v>
      </c>
      <c r="C409" s="1" t="s">
        <v>21</v>
      </c>
      <c r="D409" s="1">
        <v>2</v>
      </c>
      <c r="E409" s="1" t="s">
        <v>194</v>
      </c>
      <c r="F409" s="1">
        <v>21</v>
      </c>
      <c r="G409" s="1">
        <v>18</v>
      </c>
      <c r="H409" s="1" t="s">
        <v>169</v>
      </c>
      <c r="I409" s="1" t="s">
        <v>392</v>
      </c>
      <c r="J409" s="1" t="s">
        <v>176</v>
      </c>
      <c r="K409" s="1" t="s">
        <v>216</v>
      </c>
      <c r="L409" s="1" t="s">
        <v>355</v>
      </c>
      <c r="M409" t="str">
        <f t="shared" si="36"/>
        <v>Mathieu</v>
      </c>
      <c r="N409" t="str">
        <f t="shared" si="37"/>
        <v>E. Leung</v>
      </c>
      <c r="O409" t="str">
        <f t="shared" si="38"/>
        <v>Millton</v>
      </c>
      <c r="P409" t="str">
        <f t="shared" si="39"/>
        <v>Baggman</v>
      </c>
      <c r="Q409">
        <f t="shared" si="40"/>
        <v>1</v>
      </c>
      <c r="R409" t="str">
        <f t="shared" si="41"/>
        <v>Mathieu-E. Leung-Millton-Baggman</v>
      </c>
    </row>
    <row r="410" spans="1:18" x14ac:dyDescent="0.25">
      <c r="A410" s="1" t="s">
        <v>215</v>
      </c>
      <c r="B410" s="1">
        <v>12</v>
      </c>
      <c r="C410" s="1" t="s">
        <v>24</v>
      </c>
      <c r="D410" s="1">
        <v>1</v>
      </c>
      <c r="E410" s="1" t="s">
        <v>194</v>
      </c>
      <c r="F410" s="1">
        <v>21</v>
      </c>
      <c r="G410" s="1">
        <v>12</v>
      </c>
      <c r="H410" s="1" t="s">
        <v>169</v>
      </c>
      <c r="I410" s="1" t="s">
        <v>203</v>
      </c>
      <c r="J410" s="1" t="s">
        <v>178</v>
      </c>
      <c r="K410" s="1" t="s">
        <v>216</v>
      </c>
      <c r="L410" s="1" t="s">
        <v>355</v>
      </c>
      <c r="M410" t="str">
        <f t="shared" si="36"/>
        <v>Prince</v>
      </c>
      <c r="N410" t="str">
        <f t="shared" si="37"/>
        <v>Brown</v>
      </c>
      <c r="O410" t="str">
        <f t="shared" si="38"/>
        <v>Jansson</v>
      </c>
      <c r="P410" t="str">
        <f t="shared" si="39"/>
        <v>Svensson</v>
      </c>
      <c r="Q410">
        <f t="shared" si="40"/>
        <v>1</v>
      </c>
      <c r="R410" t="str">
        <f t="shared" si="41"/>
        <v>Prince-Brown-Jansson-Svensson</v>
      </c>
    </row>
    <row r="411" spans="1:18" x14ac:dyDescent="0.25">
      <c r="A411" s="1" t="s">
        <v>215</v>
      </c>
      <c r="B411" s="1">
        <v>13</v>
      </c>
      <c r="C411" s="1" t="s">
        <v>24</v>
      </c>
      <c r="D411" s="1">
        <v>2</v>
      </c>
      <c r="E411" s="1" t="s">
        <v>194</v>
      </c>
      <c r="F411" s="1">
        <v>21</v>
      </c>
      <c r="G411" s="1">
        <v>15</v>
      </c>
      <c r="H411" s="1" t="s">
        <v>169</v>
      </c>
      <c r="I411" s="1" t="s">
        <v>203</v>
      </c>
      <c r="J411" s="1" t="s">
        <v>178</v>
      </c>
      <c r="K411" s="1" t="s">
        <v>216</v>
      </c>
      <c r="L411" s="1" t="s">
        <v>355</v>
      </c>
      <c r="M411" t="str">
        <f t="shared" si="36"/>
        <v>Prince</v>
      </c>
      <c r="N411" t="str">
        <f t="shared" si="37"/>
        <v>Brown</v>
      </c>
      <c r="O411" t="str">
        <f t="shared" si="38"/>
        <v>Jansson</v>
      </c>
      <c r="P411" t="str">
        <f t="shared" si="39"/>
        <v>Svensson</v>
      </c>
      <c r="Q411">
        <f t="shared" si="40"/>
        <v>1</v>
      </c>
      <c r="R411" t="str">
        <f t="shared" si="41"/>
        <v>Prince-Brown-Jansson-Svensson</v>
      </c>
    </row>
    <row r="412" spans="1:18" x14ac:dyDescent="0.25">
      <c r="A412" s="1" t="s">
        <v>215</v>
      </c>
      <c r="B412" s="1">
        <v>15</v>
      </c>
      <c r="C412" s="1" t="s">
        <v>27</v>
      </c>
      <c r="D412" s="1">
        <v>1</v>
      </c>
      <c r="E412" s="1" t="s">
        <v>194</v>
      </c>
      <c r="F412" s="1">
        <v>21</v>
      </c>
      <c r="G412" s="1">
        <v>9</v>
      </c>
      <c r="H412" s="1" t="s">
        <v>169</v>
      </c>
      <c r="I412" s="1" t="s">
        <v>205</v>
      </c>
      <c r="J412" s="1" t="s">
        <v>180</v>
      </c>
      <c r="K412" s="1" t="s">
        <v>216</v>
      </c>
      <c r="L412" s="1" t="s">
        <v>355</v>
      </c>
      <c r="M412" t="str">
        <f t="shared" si="36"/>
        <v>Babin</v>
      </c>
      <c r="N412" t="str">
        <f t="shared" si="37"/>
        <v>Laurin</v>
      </c>
      <c r="O412" t="str">
        <f t="shared" si="38"/>
        <v>Skogward</v>
      </c>
      <c r="P412" t="str">
        <f t="shared" si="39"/>
        <v>Ljung</v>
      </c>
      <c r="Q412">
        <f t="shared" si="40"/>
        <v>1</v>
      </c>
      <c r="R412" t="str">
        <f t="shared" si="41"/>
        <v>Babin-Laurin-Skogward-Ljung</v>
      </c>
    </row>
    <row r="413" spans="1:18" x14ac:dyDescent="0.25">
      <c r="A413" s="1" t="s">
        <v>215</v>
      </c>
      <c r="B413" s="1">
        <v>21</v>
      </c>
      <c r="C413" s="1" t="s">
        <v>12</v>
      </c>
      <c r="D413" s="1">
        <v>1</v>
      </c>
      <c r="E413" s="1" t="s">
        <v>195</v>
      </c>
      <c r="F413" s="1">
        <v>21</v>
      </c>
      <c r="G413" s="1">
        <v>18</v>
      </c>
      <c r="H413" s="1" t="s">
        <v>168</v>
      </c>
      <c r="I413" s="1" t="s">
        <v>197</v>
      </c>
      <c r="J413" s="1" t="s">
        <v>170</v>
      </c>
      <c r="K413" s="1" t="s">
        <v>216</v>
      </c>
      <c r="L413" s="1" t="s">
        <v>355</v>
      </c>
      <c r="M413" t="str">
        <f t="shared" si="36"/>
        <v>Cole</v>
      </c>
      <c r="N413" t="str">
        <f t="shared" si="37"/>
        <v>Klapwijk</v>
      </c>
      <c r="O413" t="str">
        <f t="shared" si="38"/>
        <v>Clark</v>
      </c>
      <c r="P413" t="str">
        <f t="shared" si="39"/>
        <v>Florinda</v>
      </c>
      <c r="Q413">
        <f t="shared" si="40"/>
        <v>1</v>
      </c>
      <c r="R413" t="str">
        <f t="shared" si="41"/>
        <v>Cole-Klapwijk-Clark-Florinda</v>
      </c>
    </row>
    <row r="414" spans="1:18" x14ac:dyDescent="0.25">
      <c r="A414" s="1" t="s">
        <v>215</v>
      </c>
      <c r="B414" s="1">
        <v>22</v>
      </c>
      <c r="C414" s="1" t="s">
        <v>12</v>
      </c>
      <c r="D414" s="1">
        <v>2</v>
      </c>
      <c r="E414" s="1" t="s">
        <v>195</v>
      </c>
      <c r="F414" s="1">
        <v>21</v>
      </c>
      <c r="G414" s="1">
        <v>17</v>
      </c>
      <c r="H414" s="1" t="s">
        <v>168</v>
      </c>
      <c r="I414" s="1" t="s">
        <v>197</v>
      </c>
      <c r="J414" s="1" t="s">
        <v>170</v>
      </c>
      <c r="K414" s="1" t="s">
        <v>216</v>
      </c>
      <c r="L414" s="1" t="s">
        <v>355</v>
      </c>
      <c r="M414" t="str">
        <f t="shared" si="36"/>
        <v>Cole</v>
      </c>
      <c r="N414" t="str">
        <f t="shared" si="37"/>
        <v>Klapwijk</v>
      </c>
      <c r="O414" t="str">
        <f t="shared" si="38"/>
        <v>Clark</v>
      </c>
      <c r="P414" t="str">
        <f t="shared" si="39"/>
        <v>Florinda</v>
      </c>
      <c r="Q414">
        <f t="shared" si="40"/>
        <v>1</v>
      </c>
      <c r="R414" t="str">
        <f t="shared" si="41"/>
        <v>Cole-Klapwijk-Clark-Florinda</v>
      </c>
    </row>
    <row r="415" spans="1:18" x14ac:dyDescent="0.25">
      <c r="A415" s="1" t="s">
        <v>215</v>
      </c>
      <c r="B415" s="1">
        <v>24</v>
      </c>
      <c r="C415" s="1" t="s">
        <v>18</v>
      </c>
      <c r="D415" s="1">
        <v>1</v>
      </c>
      <c r="E415" s="1" t="s">
        <v>195</v>
      </c>
      <c r="F415" s="1">
        <v>17</v>
      </c>
      <c r="G415" s="1">
        <v>21</v>
      </c>
      <c r="H415" s="1" t="s">
        <v>168</v>
      </c>
      <c r="I415" s="1" t="s">
        <v>200</v>
      </c>
      <c r="J415" s="1" t="s">
        <v>173</v>
      </c>
      <c r="K415" s="1" t="s">
        <v>216</v>
      </c>
      <c r="L415" s="1" t="s">
        <v>355</v>
      </c>
      <c r="M415" t="str">
        <f t="shared" si="36"/>
        <v>Finocchi</v>
      </c>
      <c r="N415" t="str">
        <f t="shared" si="37"/>
        <v>Picone</v>
      </c>
      <c r="O415" t="str">
        <f t="shared" si="38"/>
        <v>Améziane</v>
      </c>
      <c r="P415" t="str">
        <f t="shared" si="39"/>
        <v>Mareschal</v>
      </c>
      <c r="Q415">
        <f t="shared" si="40"/>
        <v>0</v>
      </c>
      <c r="R415" t="str">
        <f t="shared" si="41"/>
        <v>Finocchi-Picone-Améziane-Mareschal</v>
      </c>
    </row>
    <row r="416" spans="1:18" x14ac:dyDescent="0.25">
      <c r="A416" s="1" t="s">
        <v>215</v>
      </c>
      <c r="B416" s="1">
        <v>25</v>
      </c>
      <c r="C416" s="1" t="s">
        <v>18</v>
      </c>
      <c r="D416" s="1">
        <v>2</v>
      </c>
      <c r="E416" s="1" t="s">
        <v>195</v>
      </c>
      <c r="F416" s="1">
        <v>21</v>
      </c>
      <c r="G416" s="1">
        <v>13</v>
      </c>
      <c r="H416" s="1" t="s">
        <v>168</v>
      </c>
      <c r="I416" s="1" t="s">
        <v>200</v>
      </c>
      <c r="J416" s="1" t="s">
        <v>173</v>
      </c>
      <c r="K416" s="1" t="s">
        <v>216</v>
      </c>
      <c r="L416" s="1" t="s">
        <v>355</v>
      </c>
      <c r="M416" t="str">
        <f t="shared" si="36"/>
        <v>Finocchi</v>
      </c>
      <c r="N416" t="str">
        <f t="shared" si="37"/>
        <v>Picone</v>
      </c>
      <c r="O416" t="str">
        <f t="shared" si="38"/>
        <v>Améziane</v>
      </c>
      <c r="P416" t="str">
        <f t="shared" si="39"/>
        <v>Mareschal</v>
      </c>
      <c r="Q416">
        <f t="shared" si="40"/>
        <v>1</v>
      </c>
      <c r="R416" t="str">
        <f t="shared" si="41"/>
        <v>Finocchi-Picone-Améziane-Mareschal</v>
      </c>
    </row>
    <row r="417" spans="1:18" x14ac:dyDescent="0.25">
      <c r="A417" s="1" t="s">
        <v>215</v>
      </c>
      <c r="B417" s="1">
        <v>27</v>
      </c>
      <c r="C417" s="1" t="s">
        <v>21</v>
      </c>
      <c r="D417" s="1">
        <v>1</v>
      </c>
      <c r="E417" s="1" t="s">
        <v>195</v>
      </c>
      <c r="F417" s="1">
        <v>21</v>
      </c>
      <c r="G417" s="1">
        <v>18</v>
      </c>
      <c r="H417" s="1" t="s">
        <v>168</v>
      </c>
      <c r="I417" s="1" t="s">
        <v>202</v>
      </c>
      <c r="J417" s="1" t="s">
        <v>175</v>
      </c>
      <c r="K417" s="1" t="s">
        <v>216</v>
      </c>
      <c r="L417" s="1" t="s">
        <v>355</v>
      </c>
      <c r="M417" t="str">
        <f t="shared" si="36"/>
        <v>Bondi</v>
      </c>
      <c r="N417" t="str">
        <f t="shared" si="37"/>
        <v>Gross</v>
      </c>
      <c r="O417" t="str">
        <f t="shared" si="38"/>
        <v>Caux-Ramon</v>
      </c>
      <c r="P417" t="str">
        <f t="shared" si="39"/>
        <v>Lacombe</v>
      </c>
      <c r="Q417">
        <f t="shared" si="40"/>
        <v>1</v>
      </c>
      <c r="R417" t="str">
        <f t="shared" si="41"/>
        <v>Bondi-Gross-Caux-Ramon-Lacombe</v>
      </c>
    </row>
    <row r="418" spans="1:18" x14ac:dyDescent="0.25">
      <c r="A418" s="1" t="s">
        <v>215</v>
      </c>
      <c r="B418" s="1">
        <v>28</v>
      </c>
      <c r="C418" s="1" t="s">
        <v>21</v>
      </c>
      <c r="D418" s="1">
        <v>2</v>
      </c>
      <c r="E418" s="1" t="s">
        <v>195</v>
      </c>
      <c r="F418" s="1">
        <v>21</v>
      </c>
      <c r="G418" s="1">
        <v>15</v>
      </c>
      <c r="H418" s="1" t="s">
        <v>168</v>
      </c>
      <c r="I418" s="1" t="s">
        <v>202</v>
      </c>
      <c r="J418" s="1" t="s">
        <v>175</v>
      </c>
      <c r="K418" s="1" t="s">
        <v>216</v>
      </c>
      <c r="L418" s="1" t="s">
        <v>355</v>
      </c>
      <c r="M418" t="str">
        <f t="shared" si="36"/>
        <v>Bondi</v>
      </c>
      <c r="N418" t="str">
        <f t="shared" si="37"/>
        <v>Gross</v>
      </c>
      <c r="O418" t="str">
        <f t="shared" si="38"/>
        <v>Caux-Ramon</v>
      </c>
      <c r="P418" t="str">
        <f t="shared" si="39"/>
        <v>Lacombe</v>
      </c>
      <c r="Q418">
        <f t="shared" si="40"/>
        <v>1</v>
      </c>
      <c r="R418" t="str">
        <f t="shared" si="41"/>
        <v>Bondi-Gross-Caux-Ramon-Lacombe</v>
      </c>
    </row>
    <row r="419" spans="1:18" x14ac:dyDescent="0.25">
      <c r="A419" s="1" t="s">
        <v>215</v>
      </c>
      <c r="B419" s="1">
        <v>30</v>
      </c>
      <c r="C419" s="1" t="s">
        <v>24</v>
      </c>
      <c r="D419" s="1">
        <v>1</v>
      </c>
      <c r="E419" s="1" t="s">
        <v>195</v>
      </c>
      <c r="F419" s="1">
        <v>21</v>
      </c>
      <c r="G419" s="1">
        <v>15</v>
      </c>
      <c r="H419" s="1" t="s">
        <v>168</v>
      </c>
      <c r="I419" s="1" t="s">
        <v>204</v>
      </c>
      <c r="J419" s="1" t="s">
        <v>177</v>
      </c>
      <c r="K419" s="1" t="s">
        <v>216</v>
      </c>
      <c r="L419" s="1" t="s">
        <v>355</v>
      </c>
      <c r="M419" t="str">
        <f t="shared" si="36"/>
        <v>Hamilton</v>
      </c>
      <c r="N419" t="str">
        <f t="shared" si="37"/>
        <v>Marino</v>
      </c>
      <c r="O419" t="str">
        <f t="shared" si="38"/>
        <v>Danekas</v>
      </c>
      <c r="P419" t="str">
        <f t="shared" si="39"/>
        <v>Lecrosnier</v>
      </c>
      <c r="Q419">
        <f t="shared" si="40"/>
        <v>1</v>
      </c>
      <c r="R419" t="str">
        <f t="shared" si="41"/>
        <v>Hamilton-Marino-Danekas-Lecrosnier</v>
      </c>
    </row>
    <row r="420" spans="1:18" x14ac:dyDescent="0.25">
      <c r="A420" s="1" t="s">
        <v>215</v>
      </c>
      <c r="B420" s="1">
        <v>31</v>
      </c>
      <c r="C420" s="1" t="s">
        <v>24</v>
      </c>
      <c r="D420" s="1">
        <v>2</v>
      </c>
      <c r="E420" s="1" t="s">
        <v>195</v>
      </c>
      <c r="F420" s="1">
        <v>21</v>
      </c>
      <c r="G420" s="1">
        <v>18</v>
      </c>
      <c r="H420" s="1" t="s">
        <v>168</v>
      </c>
      <c r="I420" s="1" t="s">
        <v>204</v>
      </c>
      <c r="J420" s="1" t="s">
        <v>177</v>
      </c>
      <c r="K420" s="1" t="s">
        <v>216</v>
      </c>
      <c r="L420" s="1" t="s">
        <v>355</v>
      </c>
      <c r="M420" t="str">
        <f t="shared" si="36"/>
        <v>Hamilton</v>
      </c>
      <c r="N420" t="str">
        <f t="shared" si="37"/>
        <v>Marino</v>
      </c>
      <c r="O420" t="str">
        <f t="shared" si="38"/>
        <v>Danekas</v>
      </c>
      <c r="P420" t="str">
        <f t="shared" si="39"/>
        <v>Lecrosnier</v>
      </c>
      <c r="Q420">
        <f t="shared" si="40"/>
        <v>1</v>
      </c>
      <c r="R420" t="str">
        <f t="shared" si="41"/>
        <v>Hamilton-Marino-Danekas-Lecrosnier</v>
      </c>
    </row>
    <row r="421" spans="1:18" x14ac:dyDescent="0.25">
      <c r="A421" s="1" t="s">
        <v>215</v>
      </c>
      <c r="B421" s="1">
        <v>33</v>
      </c>
      <c r="C421" s="1" t="s">
        <v>27</v>
      </c>
      <c r="D421" s="1">
        <v>1</v>
      </c>
      <c r="E421" s="1" t="s">
        <v>195</v>
      </c>
      <c r="F421" s="1">
        <v>21</v>
      </c>
      <c r="G421" s="1">
        <v>17</v>
      </c>
      <c r="H421" s="1" t="s">
        <v>168</v>
      </c>
      <c r="I421" s="1" t="s">
        <v>206</v>
      </c>
      <c r="J421" s="1" t="s">
        <v>179</v>
      </c>
      <c r="K421" s="1" t="s">
        <v>216</v>
      </c>
      <c r="L421" s="1" t="s">
        <v>355</v>
      </c>
      <c r="M421" t="str">
        <f t="shared" si="36"/>
        <v>Nelson</v>
      </c>
      <c r="N421" t="str">
        <f t="shared" si="37"/>
        <v>Rose</v>
      </c>
      <c r="O421" t="str">
        <f t="shared" si="38"/>
        <v>Renimel</v>
      </c>
      <c r="P421" t="str">
        <f t="shared" si="39"/>
        <v>Sandoz</v>
      </c>
      <c r="Q421">
        <f t="shared" si="40"/>
        <v>1</v>
      </c>
      <c r="R421" t="str">
        <f t="shared" si="41"/>
        <v>Nelson-Rose-Renimel-Sandoz</v>
      </c>
    </row>
    <row r="422" spans="1:18" x14ac:dyDescent="0.25">
      <c r="A422" s="1" t="s">
        <v>215</v>
      </c>
      <c r="B422" s="1">
        <v>34</v>
      </c>
      <c r="C422" s="1" t="s">
        <v>27</v>
      </c>
      <c r="D422" s="1">
        <v>2</v>
      </c>
      <c r="E422" s="1" t="s">
        <v>195</v>
      </c>
      <c r="F422" s="1">
        <v>21</v>
      </c>
      <c r="G422" s="1">
        <v>11</v>
      </c>
      <c r="H422" s="1" t="s">
        <v>168</v>
      </c>
      <c r="I422" s="1" t="s">
        <v>206</v>
      </c>
      <c r="J422" s="1" t="s">
        <v>179</v>
      </c>
      <c r="K422" s="1" t="s">
        <v>216</v>
      </c>
      <c r="L422" s="1" t="s">
        <v>355</v>
      </c>
      <c r="M422" t="str">
        <f t="shared" si="36"/>
        <v>Nelson</v>
      </c>
      <c r="N422" t="str">
        <f t="shared" si="37"/>
        <v>Rose</v>
      </c>
      <c r="O422" t="str">
        <f t="shared" si="38"/>
        <v>Renimel</v>
      </c>
      <c r="P422" t="str">
        <f t="shared" si="39"/>
        <v>Sandoz</v>
      </c>
      <c r="Q422">
        <f t="shared" si="40"/>
        <v>1</v>
      </c>
      <c r="R422" t="str">
        <f t="shared" si="41"/>
        <v>Nelson-Rose-Renimel-Sandoz</v>
      </c>
    </row>
    <row r="423" spans="1:18" x14ac:dyDescent="0.25">
      <c r="A423" s="1" t="s">
        <v>215</v>
      </c>
      <c r="B423" s="1">
        <v>39</v>
      </c>
      <c r="C423" s="1" t="s">
        <v>12</v>
      </c>
      <c r="D423" s="1">
        <v>1</v>
      </c>
      <c r="E423" s="1" t="s">
        <v>146</v>
      </c>
      <c r="F423" s="1">
        <v>19</v>
      </c>
      <c r="G423" s="1">
        <v>21</v>
      </c>
      <c r="H423" s="1" t="s">
        <v>156</v>
      </c>
      <c r="I423" s="1" t="s">
        <v>148</v>
      </c>
      <c r="J423" s="1" t="s">
        <v>158</v>
      </c>
      <c r="K423" s="1" t="s">
        <v>216</v>
      </c>
      <c r="L423" s="1" t="s">
        <v>355</v>
      </c>
      <c r="M423" t="str">
        <f t="shared" si="36"/>
        <v>Eisenträger</v>
      </c>
      <c r="N423" t="str">
        <f t="shared" si="37"/>
        <v>Siemer</v>
      </c>
      <c r="O423" t="str">
        <f t="shared" si="38"/>
        <v>Bachler</v>
      </c>
      <c r="P423" t="str">
        <f t="shared" si="39"/>
        <v>Dziruni</v>
      </c>
      <c r="Q423">
        <f t="shared" si="40"/>
        <v>0</v>
      </c>
      <c r="R423" t="str">
        <f t="shared" si="41"/>
        <v>Eisenträger-Siemer-Bachler-Dziruni</v>
      </c>
    </row>
    <row r="424" spans="1:18" x14ac:dyDescent="0.25">
      <c r="A424" s="1" t="s">
        <v>215</v>
      </c>
      <c r="B424" s="1">
        <v>40</v>
      </c>
      <c r="C424" s="1" t="s">
        <v>12</v>
      </c>
      <c r="D424" s="1">
        <v>2</v>
      </c>
      <c r="E424" s="1" t="s">
        <v>146</v>
      </c>
      <c r="F424" s="1">
        <v>11</v>
      </c>
      <c r="G424" s="1">
        <v>10</v>
      </c>
      <c r="H424" s="1" t="s">
        <v>156</v>
      </c>
      <c r="I424" s="1" t="s">
        <v>148</v>
      </c>
      <c r="J424" s="1" t="s">
        <v>158</v>
      </c>
      <c r="K424" s="1" t="s">
        <v>216</v>
      </c>
      <c r="L424" s="1" t="s">
        <v>355</v>
      </c>
      <c r="M424" t="str">
        <f t="shared" si="36"/>
        <v>Eisenträger</v>
      </c>
      <c r="N424" t="str">
        <f t="shared" si="37"/>
        <v>Siemer</v>
      </c>
      <c r="O424" t="str">
        <f t="shared" si="38"/>
        <v>Bachler</v>
      </c>
      <c r="P424" t="str">
        <f t="shared" si="39"/>
        <v>Dziruni</v>
      </c>
      <c r="Q424">
        <f t="shared" si="40"/>
        <v>1</v>
      </c>
      <c r="R424" t="str">
        <f t="shared" si="41"/>
        <v>Eisenträger-Siemer-Bachler-Dziruni</v>
      </c>
    </row>
    <row r="425" spans="1:18" x14ac:dyDescent="0.25">
      <c r="A425" s="1" t="s">
        <v>215</v>
      </c>
      <c r="B425" s="1">
        <v>42</v>
      </c>
      <c r="C425" s="1" t="s">
        <v>18</v>
      </c>
      <c r="D425" s="1">
        <v>1</v>
      </c>
      <c r="E425" s="1" t="s">
        <v>146</v>
      </c>
      <c r="F425" s="1">
        <v>27</v>
      </c>
      <c r="G425" s="1">
        <v>29</v>
      </c>
      <c r="H425" s="1" t="s">
        <v>156</v>
      </c>
      <c r="I425" s="1" t="s">
        <v>151</v>
      </c>
      <c r="J425" s="1" t="s">
        <v>161</v>
      </c>
      <c r="K425" s="1" t="s">
        <v>216</v>
      </c>
      <c r="L425" s="1" t="s">
        <v>355</v>
      </c>
      <c r="M425" t="str">
        <f t="shared" si="36"/>
        <v>Grönebaum</v>
      </c>
      <c r="N425" t="str">
        <f t="shared" si="37"/>
        <v>Prüfer</v>
      </c>
      <c r="O425" t="str">
        <f t="shared" si="38"/>
        <v>Handschmann</v>
      </c>
      <c r="P425" t="str">
        <f t="shared" si="39"/>
        <v>Jindra</v>
      </c>
      <c r="Q425">
        <f t="shared" si="40"/>
        <v>0</v>
      </c>
      <c r="R425" t="str">
        <f t="shared" si="41"/>
        <v>Grönebaum-Prüfer-Handschmann-Jindra</v>
      </c>
    </row>
    <row r="426" spans="1:18" x14ac:dyDescent="0.25">
      <c r="A426" s="1" t="s">
        <v>215</v>
      </c>
      <c r="B426" s="1">
        <v>43</v>
      </c>
      <c r="C426" s="1" t="s">
        <v>18</v>
      </c>
      <c r="D426" s="1">
        <v>2</v>
      </c>
      <c r="E426" s="1" t="s">
        <v>146</v>
      </c>
      <c r="F426" s="1">
        <v>15</v>
      </c>
      <c r="G426" s="1">
        <v>21</v>
      </c>
      <c r="H426" s="1" t="s">
        <v>156</v>
      </c>
      <c r="I426" s="1" t="s">
        <v>151</v>
      </c>
      <c r="J426" s="1" t="s">
        <v>161</v>
      </c>
      <c r="K426" s="1" t="s">
        <v>216</v>
      </c>
      <c r="L426" s="1" t="s">
        <v>355</v>
      </c>
      <c r="M426" t="str">
        <f t="shared" si="36"/>
        <v>Grönebaum</v>
      </c>
      <c r="N426" t="str">
        <f t="shared" si="37"/>
        <v>Prüfer</v>
      </c>
      <c r="O426" t="str">
        <f t="shared" si="38"/>
        <v>Handschmann</v>
      </c>
      <c r="P426" t="str">
        <f t="shared" si="39"/>
        <v>Jindra</v>
      </c>
      <c r="Q426">
        <f t="shared" si="40"/>
        <v>0</v>
      </c>
      <c r="R426" t="str">
        <f t="shared" si="41"/>
        <v>Grönebaum-Prüfer-Handschmann-Jindra</v>
      </c>
    </row>
    <row r="427" spans="1:18" x14ac:dyDescent="0.25">
      <c r="A427" s="1" t="s">
        <v>215</v>
      </c>
      <c r="B427" s="1">
        <v>45</v>
      </c>
      <c r="C427" s="1" t="s">
        <v>21</v>
      </c>
      <c r="D427" s="1">
        <v>1</v>
      </c>
      <c r="E427" s="1" t="s">
        <v>146</v>
      </c>
      <c r="F427" s="1">
        <v>21</v>
      </c>
      <c r="G427" s="1">
        <v>18</v>
      </c>
      <c r="H427" s="1" t="s">
        <v>156</v>
      </c>
      <c r="I427" s="1" t="s">
        <v>153</v>
      </c>
      <c r="J427" s="1" t="s">
        <v>163</v>
      </c>
      <c r="K427" s="1" t="s">
        <v>216</v>
      </c>
      <c r="L427" s="1" t="s">
        <v>355</v>
      </c>
      <c r="M427" t="str">
        <f t="shared" si="36"/>
        <v>Claus</v>
      </c>
      <c r="N427" t="str">
        <f t="shared" si="37"/>
        <v>Lauterbach</v>
      </c>
      <c r="O427" t="str">
        <f t="shared" si="38"/>
        <v>Eynard</v>
      </c>
      <c r="P427" t="str">
        <f t="shared" si="39"/>
        <v>Stoisser</v>
      </c>
      <c r="Q427">
        <f t="shared" si="40"/>
        <v>1</v>
      </c>
      <c r="R427" t="str">
        <f t="shared" si="41"/>
        <v>Claus-Lauterbach-Eynard-Stoisser</v>
      </c>
    </row>
    <row r="428" spans="1:18" x14ac:dyDescent="0.25">
      <c r="A428" s="1" t="s">
        <v>215</v>
      </c>
      <c r="B428" s="1">
        <v>46</v>
      </c>
      <c r="C428" s="1" t="s">
        <v>21</v>
      </c>
      <c r="D428" s="1">
        <v>2</v>
      </c>
      <c r="E428" s="1" t="s">
        <v>146</v>
      </c>
      <c r="F428" s="1">
        <v>21</v>
      </c>
      <c r="G428" s="1">
        <v>17</v>
      </c>
      <c r="H428" s="1" t="s">
        <v>156</v>
      </c>
      <c r="I428" s="1" t="s">
        <v>153</v>
      </c>
      <c r="J428" s="1" t="s">
        <v>163</v>
      </c>
      <c r="K428" s="1" t="s">
        <v>216</v>
      </c>
      <c r="L428" s="1" t="s">
        <v>355</v>
      </c>
      <c r="M428" t="str">
        <f t="shared" si="36"/>
        <v>Claus</v>
      </c>
      <c r="N428" t="str">
        <f t="shared" si="37"/>
        <v>Lauterbach</v>
      </c>
      <c r="O428" t="str">
        <f t="shared" si="38"/>
        <v>Eynard</v>
      </c>
      <c r="P428" t="str">
        <f t="shared" si="39"/>
        <v>Stoisser</v>
      </c>
      <c r="Q428">
        <f t="shared" si="40"/>
        <v>1</v>
      </c>
      <c r="R428" t="str">
        <f t="shared" si="41"/>
        <v>Claus-Lauterbach-Eynard-Stoisser</v>
      </c>
    </row>
    <row r="429" spans="1:18" x14ac:dyDescent="0.25">
      <c r="A429" s="1" t="s">
        <v>215</v>
      </c>
      <c r="B429" s="1">
        <v>48</v>
      </c>
      <c r="C429" s="1" t="s">
        <v>24</v>
      </c>
      <c r="D429" s="1">
        <v>1</v>
      </c>
      <c r="E429" s="1" t="s">
        <v>146</v>
      </c>
      <c r="F429" s="1">
        <v>21</v>
      </c>
      <c r="G429" s="1">
        <v>12</v>
      </c>
      <c r="H429" s="1" t="s">
        <v>156</v>
      </c>
      <c r="I429" s="1" t="s">
        <v>209</v>
      </c>
      <c r="J429" s="1" t="s">
        <v>165</v>
      </c>
      <c r="K429" s="1" t="s">
        <v>216</v>
      </c>
      <c r="L429" s="1" t="s">
        <v>355</v>
      </c>
      <c r="M429" t="str">
        <f t="shared" si="36"/>
        <v>Christiani</v>
      </c>
      <c r="N429" t="str">
        <f t="shared" si="37"/>
        <v>Harder</v>
      </c>
      <c r="O429" t="str">
        <f t="shared" si="38"/>
        <v>Gangkofner</v>
      </c>
      <c r="P429" t="str">
        <f t="shared" si="39"/>
        <v>Mitterwald</v>
      </c>
      <c r="Q429">
        <f t="shared" si="40"/>
        <v>1</v>
      </c>
      <c r="R429" t="str">
        <f t="shared" si="41"/>
        <v>Christiani-Harder-Gangkofner-Mitterwald</v>
      </c>
    </row>
    <row r="430" spans="1:18" x14ac:dyDescent="0.25">
      <c r="A430" s="1" t="s">
        <v>215</v>
      </c>
      <c r="B430" s="1">
        <v>49</v>
      </c>
      <c r="C430" s="1" t="s">
        <v>24</v>
      </c>
      <c r="D430" s="1">
        <v>2</v>
      </c>
      <c r="E430" s="1" t="s">
        <v>146</v>
      </c>
      <c r="F430" s="1">
        <v>21</v>
      </c>
      <c r="G430" s="1">
        <v>19</v>
      </c>
      <c r="H430" s="1" t="s">
        <v>156</v>
      </c>
      <c r="I430" s="1" t="s">
        <v>209</v>
      </c>
      <c r="J430" s="1" t="s">
        <v>165</v>
      </c>
      <c r="K430" s="1" t="s">
        <v>216</v>
      </c>
      <c r="L430" s="1" t="s">
        <v>355</v>
      </c>
      <c r="M430" t="str">
        <f t="shared" si="36"/>
        <v>Christiani</v>
      </c>
      <c r="N430" t="str">
        <f t="shared" si="37"/>
        <v>Harder</v>
      </c>
      <c r="O430" t="str">
        <f t="shared" si="38"/>
        <v>Gangkofner</v>
      </c>
      <c r="P430" t="str">
        <f t="shared" si="39"/>
        <v>Mitterwald</v>
      </c>
      <c r="Q430">
        <f t="shared" si="40"/>
        <v>1</v>
      </c>
      <c r="R430" t="str">
        <f t="shared" si="41"/>
        <v>Christiani-Harder-Gangkofner-Mitterwald</v>
      </c>
    </row>
    <row r="431" spans="1:18" x14ac:dyDescent="0.25">
      <c r="A431" s="1" t="s">
        <v>215</v>
      </c>
      <c r="B431" s="1">
        <v>51</v>
      </c>
      <c r="C431" s="1" t="s">
        <v>27</v>
      </c>
      <c r="D431" s="1">
        <v>1</v>
      </c>
      <c r="E431" s="1" t="s">
        <v>146</v>
      </c>
      <c r="F431" s="1">
        <v>21</v>
      </c>
      <c r="G431" s="1">
        <v>18</v>
      </c>
      <c r="H431" s="1" t="s">
        <v>156</v>
      </c>
      <c r="I431" s="1" t="s">
        <v>210</v>
      </c>
      <c r="J431" s="1" t="s">
        <v>167</v>
      </c>
      <c r="K431" s="1" t="s">
        <v>216</v>
      </c>
      <c r="L431" s="1" t="s">
        <v>355</v>
      </c>
      <c r="M431" t="str">
        <f t="shared" si="36"/>
        <v>Klement</v>
      </c>
      <c r="N431" t="str">
        <f t="shared" si="37"/>
        <v>Krehle</v>
      </c>
      <c r="O431" t="str">
        <f t="shared" si="38"/>
        <v>Anderle</v>
      </c>
      <c r="P431" t="str">
        <f t="shared" si="39"/>
        <v>Leidenfrost</v>
      </c>
      <c r="Q431">
        <f t="shared" si="40"/>
        <v>1</v>
      </c>
      <c r="R431" t="str">
        <f t="shared" si="41"/>
        <v>Klement-Krehle-Anderle-Leidenfrost</v>
      </c>
    </row>
    <row r="432" spans="1:18" x14ac:dyDescent="0.25">
      <c r="A432" s="1" t="s">
        <v>215</v>
      </c>
      <c r="B432" s="1">
        <v>52</v>
      </c>
      <c r="C432" s="1" t="s">
        <v>27</v>
      </c>
      <c r="D432" s="1">
        <v>2</v>
      </c>
      <c r="E432" s="1" t="s">
        <v>146</v>
      </c>
      <c r="F432" s="1">
        <v>21</v>
      </c>
      <c r="G432" s="1">
        <v>15</v>
      </c>
      <c r="H432" s="1" t="s">
        <v>156</v>
      </c>
      <c r="I432" s="1" t="s">
        <v>210</v>
      </c>
      <c r="J432" s="1" t="s">
        <v>167</v>
      </c>
      <c r="K432" s="1" t="s">
        <v>216</v>
      </c>
      <c r="L432" s="1" t="s">
        <v>355</v>
      </c>
      <c r="M432" t="str">
        <f t="shared" si="36"/>
        <v>Klement</v>
      </c>
      <c r="N432" t="str">
        <f t="shared" si="37"/>
        <v>Krehle</v>
      </c>
      <c r="O432" t="str">
        <f t="shared" si="38"/>
        <v>Anderle</v>
      </c>
      <c r="P432" t="str">
        <f t="shared" si="39"/>
        <v>Leidenfrost</v>
      </c>
      <c r="Q432">
        <f t="shared" si="40"/>
        <v>1</v>
      </c>
      <c r="R432" t="str">
        <f t="shared" si="41"/>
        <v>Klement-Krehle-Anderle-Leidenfrost</v>
      </c>
    </row>
    <row r="433" spans="1:18" x14ac:dyDescent="0.25">
      <c r="A433" s="1" t="s">
        <v>215</v>
      </c>
      <c r="B433" s="1">
        <v>60</v>
      </c>
      <c r="C433" s="1" t="s">
        <v>18</v>
      </c>
      <c r="D433" s="1">
        <v>1</v>
      </c>
      <c r="E433" s="1" t="s">
        <v>147</v>
      </c>
      <c r="F433" s="1">
        <v>21</v>
      </c>
      <c r="G433" s="1">
        <v>19</v>
      </c>
      <c r="H433" s="1" t="s">
        <v>155</v>
      </c>
      <c r="I433" s="1" t="s">
        <v>149</v>
      </c>
      <c r="J433" s="1" t="s">
        <v>157</v>
      </c>
      <c r="K433" s="1" t="s">
        <v>216</v>
      </c>
      <c r="L433" s="1" t="s">
        <v>355</v>
      </c>
      <c r="M433" t="str">
        <f t="shared" si="36"/>
        <v>Felix</v>
      </c>
      <c r="N433" t="str">
        <f t="shared" si="37"/>
        <v>Baumeler</v>
      </c>
      <c r="O433" t="str">
        <f t="shared" si="38"/>
        <v>Bazzani</v>
      </c>
      <c r="P433" t="str">
        <f t="shared" si="39"/>
        <v>Borsotti</v>
      </c>
      <c r="Q433">
        <f t="shared" si="40"/>
        <v>1</v>
      </c>
      <c r="R433" t="str">
        <f t="shared" si="41"/>
        <v>Felix-Baumeler-Bazzani-Borsotti</v>
      </c>
    </row>
    <row r="434" spans="1:18" x14ac:dyDescent="0.25">
      <c r="A434" s="1" t="s">
        <v>215</v>
      </c>
      <c r="B434" s="1">
        <v>61</v>
      </c>
      <c r="C434" s="1" t="s">
        <v>18</v>
      </c>
      <c r="D434" s="1">
        <v>2</v>
      </c>
      <c r="E434" s="1" t="s">
        <v>147</v>
      </c>
      <c r="F434" s="1">
        <v>17</v>
      </c>
      <c r="G434" s="1">
        <v>21</v>
      </c>
      <c r="H434" s="1" t="s">
        <v>155</v>
      </c>
      <c r="I434" s="1" t="s">
        <v>149</v>
      </c>
      <c r="J434" s="1" t="s">
        <v>157</v>
      </c>
      <c r="K434" s="1" t="s">
        <v>216</v>
      </c>
      <c r="L434" s="1" t="s">
        <v>355</v>
      </c>
      <c r="M434" t="str">
        <f t="shared" si="36"/>
        <v>Felix</v>
      </c>
      <c r="N434" t="str">
        <f t="shared" si="37"/>
        <v>Baumeler</v>
      </c>
      <c r="O434" t="str">
        <f t="shared" si="38"/>
        <v>Bazzani</v>
      </c>
      <c r="P434" t="str">
        <f t="shared" si="39"/>
        <v>Borsotti</v>
      </c>
      <c r="Q434">
        <f t="shared" si="40"/>
        <v>0</v>
      </c>
      <c r="R434" t="str">
        <f t="shared" si="41"/>
        <v>Felix-Baumeler-Bazzani-Borsotti</v>
      </c>
    </row>
    <row r="435" spans="1:18" x14ac:dyDescent="0.25">
      <c r="A435" s="1" t="s">
        <v>215</v>
      </c>
      <c r="B435" s="1">
        <v>60</v>
      </c>
      <c r="C435" s="1" t="s">
        <v>18</v>
      </c>
      <c r="D435" s="1">
        <v>1</v>
      </c>
      <c r="E435" s="1" t="s">
        <v>147</v>
      </c>
      <c r="F435" s="1">
        <v>21</v>
      </c>
      <c r="G435" s="1">
        <v>15</v>
      </c>
      <c r="H435" s="1" t="s">
        <v>155</v>
      </c>
      <c r="I435" s="1" t="s">
        <v>152</v>
      </c>
      <c r="J435" s="1" t="s">
        <v>160</v>
      </c>
      <c r="K435" s="1" t="s">
        <v>216</v>
      </c>
      <c r="L435" s="1" t="s">
        <v>355</v>
      </c>
      <c r="M435" t="str">
        <f t="shared" si="36"/>
        <v>Rimle</v>
      </c>
      <c r="N435" t="str">
        <f t="shared" si="37"/>
        <v>Peter</v>
      </c>
      <c r="O435" t="str">
        <f t="shared" si="38"/>
        <v>Dudine</v>
      </c>
      <c r="P435" t="str">
        <f t="shared" si="39"/>
        <v>Zanellato</v>
      </c>
      <c r="Q435">
        <f t="shared" si="40"/>
        <v>1</v>
      </c>
      <c r="R435" t="str">
        <f t="shared" si="41"/>
        <v>Rimle-Peter-Dudine-Zanellato</v>
      </c>
    </row>
    <row r="436" spans="1:18" x14ac:dyDescent="0.25">
      <c r="A436" s="1" t="s">
        <v>215</v>
      </c>
      <c r="B436" s="1">
        <v>61</v>
      </c>
      <c r="C436" s="1" t="s">
        <v>18</v>
      </c>
      <c r="D436" s="1">
        <v>2</v>
      </c>
      <c r="E436" s="1" t="s">
        <v>147</v>
      </c>
      <c r="F436" s="1">
        <v>21</v>
      </c>
      <c r="G436" s="1">
        <v>17</v>
      </c>
      <c r="H436" s="1" t="s">
        <v>155</v>
      </c>
      <c r="I436" s="1" t="s">
        <v>152</v>
      </c>
      <c r="J436" s="1" t="s">
        <v>160</v>
      </c>
      <c r="K436" s="1" t="s">
        <v>216</v>
      </c>
      <c r="L436" s="1" t="s">
        <v>355</v>
      </c>
      <c r="M436" t="str">
        <f t="shared" si="36"/>
        <v>Rimle</v>
      </c>
      <c r="N436" t="str">
        <f t="shared" si="37"/>
        <v>Peter</v>
      </c>
      <c r="O436" t="str">
        <f t="shared" si="38"/>
        <v>Dudine</v>
      </c>
      <c r="P436" t="str">
        <f t="shared" si="39"/>
        <v>Zanellato</v>
      </c>
      <c r="Q436">
        <f t="shared" si="40"/>
        <v>1</v>
      </c>
      <c r="R436" t="str">
        <f t="shared" si="41"/>
        <v>Rimle-Peter-Dudine-Zanellato</v>
      </c>
    </row>
    <row r="437" spans="1:18" x14ac:dyDescent="0.25">
      <c r="A437" s="1" t="s">
        <v>215</v>
      </c>
      <c r="B437" s="1">
        <v>63</v>
      </c>
      <c r="C437" s="1" t="s">
        <v>21</v>
      </c>
      <c r="D437" s="1">
        <v>1</v>
      </c>
      <c r="E437" s="1" t="s">
        <v>147</v>
      </c>
      <c r="F437" s="1">
        <v>26</v>
      </c>
      <c r="G437" s="1">
        <v>24</v>
      </c>
      <c r="H437" s="1" t="s">
        <v>155</v>
      </c>
      <c r="I437" s="1" t="s">
        <v>154</v>
      </c>
      <c r="J437" s="1" t="s">
        <v>364</v>
      </c>
      <c r="K437" s="1" t="s">
        <v>216</v>
      </c>
      <c r="L437" s="1" t="s">
        <v>355</v>
      </c>
      <c r="M437" t="str">
        <f t="shared" si="36"/>
        <v>Pasetti</v>
      </c>
      <c r="N437" t="str">
        <f t="shared" si="37"/>
        <v>Widin</v>
      </c>
      <c r="O437" t="str">
        <f t="shared" si="38"/>
        <v>mercadini</v>
      </c>
      <c r="P437" t="str">
        <f t="shared" si="39"/>
        <v>Sacchini</v>
      </c>
      <c r="Q437">
        <f t="shared" si="40"/>
        <v>1</v>
      </c>
      <c r="R437" t="str">
        <f t="shared" si="41"/>
        <v>Pasetti-Widin-mercadini-Sacchini</v>
      </c>
    </row>
    <row r="438" spans="1:18" x14ac:dyDescent="0.25">
      <c r="A438" s="1" t="s">
        <v>215</v>
      </c>
      <c r="B438" s="1">
        <v>64</v>
      </c>
      <c r="C438" s="1" t="s">
        <v>21</v>
      </c>
      <c r="D438" s="1">
        <v>2</v>
      </c>
      <c r="E438" s="1" t="s">
        <v>147</v>
      </c>
      <c r="F438" s="1">
        <v>21</v>
      </c>
      <c r="G438" s="1">
        <v>19</v>
      </c>
      <c r="H438" s="1" t="s">
        <v>155</v>
      </c>
      <c r="I438" s="1" t="s">
        <v>154</v>
      </c>
      <c r="J438" s="1" t="s">
        <v>364</v>
      </c>
      <c r="K438" s="1" t="s">
        <v>216</v>
      </c>
      <c r="L438" s="1" t="s">
        <v>355</v>
      </c>
      <c r="M438" t="str">
        <f t="shared" si="36"/>
        <v>Pasetti</v>
      </c>
      <c r="N438" t="str">
        <f t="shared" si="37"/>
        <v>Widin</v>
      </c>
      <c r="O438" t="str">
        <f t="shared" si="38"/>
        <v>mercadini</v>
      </c>
      <c r="P438" t="str">
        <f t="shared" si="39"/>
        <v>Sacchini</v>
      </c>
      <c r="Q438">
        <f t="shared" si="40"/>
        <v>1</v>
      </c>
      <c r="R438" t="str">
        <f t="shared" si="41"/>
        <v>Pasetti-Widin-mercadini-Sacchini</v>
      </c>
    </row>
    <row r="439" spans="1:18" x14ac:dyDescent="0.25">
      <c r="A439" s="1" t="s">
        <v>215</v>
      </c>
      <c r="B439" s="1">
        <v>66</v>
      </c>
      <c r="C439" s="1" t="s">
        <v>24</v>
      </c>
      <c r="D439" s="1">
        <v>1</v>
      </c>
      <c r="E439" s="1" t="s">
        <v>147</v>
      </c>
      <c r="F439" s="1">
        <v>21</v>
      </c>
      <c r="G439" s="1">
        <v>19</v>
      </c>
      <c r="H439" s="1" t="s">
        <v>155</v>
      </c>
      <c r="I439" s="1" t="s">
        <v>385</v>
      </c>
      <c r="J439" s="1" t="s">
        <v>164</v>
      </c>
      <c r="K439" s="1" t="s">
        <v>216</v>
      </c>
      <c r="L439" s="1" t="s">
        <v>355</v>
      </c>
      <c r="M439" t="str">
        <f t="shared" si="36"/>
        <v>J. Eigenmann</v>
      </c>
      <c r="N439" t="str">
        <f t="shared" si="37"/>
        <v>Tognini</v>
      </c>
      <c r="O439" t="str">
        <f t="shared" si="38"/>
        <v>Grazi</v>
      </c>
      <c r="P439" t="str">
        <f t="shared" si="39"/>
        <v>Pareschi</v>
      </c>
      <c r="Q439">
        <f t="shared" si="40"/>
        <v>1</v>
      </c>
      <c r="R439" t="str">
        <f t="shared" si="41"/>
        <v>J. Eigenmann-Tognini-Grazi-Pareschi</v>
      </c>
    </row>
    <row r="440" spans="1:18" x14ac:dyDescent="0.25">
      <c r="A440" s="1" t="s">
        <v>215</v>
      </c>
      <c r="B440" s="1">
        <v>67</v>
      </c>
      <c r="C440" s="1" t="s">
        <v>24</v>
      </c>
      <c r="D440" s="1">
        <v>2</v>
      </c>
      <c r="E440" s="1" t="s">
        <v>147</v>
      </c>
      <c r="F440" s="1">
        <v>21</v>
      </c>
      <c r="G440" s="1">
        <v>12</v>
      </c>
      <c r="H440" s="1" t="s">
        <v>155</v>
      </c>
      <c r="I440" s="1" t="s">
        <v>385</v>
      </c>
      <c r="J440" s="1" t="s">
        <v>164</v>
      </c>
      <c r="K440" s="1" t="s">
        <v>216</v>
      </c>
      <c r="L440" s="1" t="s">
        <v>355</v>
      </c>
      <c r="M440" t="str">
        <f t="shared" si="36"/>
        <v>J. Eigenmann</v>
      </c>
      <c r="N440" t="str">
        <f t="shared" si="37"/>
        <v>Tognini</v>
      </c>
      <c r="O440" t="str">
        <f t="shared" si="38"/>
        <v>Grazi</v>
      </c>
      <c r="P440" t="str">
        <f t="shared" si="39"/>
        <v>Pareschi</v>
      </c>
      <c r="Q440">
        <f t="shared" si="40"/>
        <v>1</v>
      </c>
      <c r="R440" t="str">
        <f t="shared" si="41"/>
        <v>J. Eigenmann-Tognini-Grazi-Pareschi</v>
      </c>
    </row>
    <row r="441" spans="1:18" x14ac:dyDescent="0.25">
      <c r="A441" s="1" t="s">
        <v>215</v>
      </c>
      <c r="B441" s="1">
        <v>69</v>
      </c>
      <c r="C441" s="1" t="s">
        <v>27</v>
      </c>
      <c r="D441" s="1">
        <v>1</v>
      </c>
      <c r="E441" s="1" t="s">
        <v>147</v>
      </c>
      <c r="F441" s="1">
        <v>19</v>
      </c>
      <c r="G441" s="1">
        <v>21</v>
      </c>
      <c r="H441" s="1" t="s">
        <v>155</v>
      </c>
      <c r="I441" s="1" t="s">
        <v>212</v>
      </c>
      <c r="J441" s="1" t="s">
        <v>166</v>
      </c>
      <c r="K441" s="1" t="s">
        <v>216</v>
      </c>
      <c r="L441" s="1" t="s">
        <v>355</v>
      </c>
      <c r="M441" t="str">
        <f t="shared" si="36"/>
        <v>Rieser</v>
      </c>
      <c r="N441" t="str">
        <f t="shared" si="37"/>
        <v>Engel</v>
      </c>
      <c r="O441" t="str">
        <f t="shared" si="38"/>
        <v>Merlin</v>
      </c>
      <c r="P441" t="str">
        <f t="shared" si="39"/>
        <v>Molli</v>
      </c>
      <c r="Q441">
        <f t="shared" si="40"/>
        <v>0</v>
      </c>
      <c r="R441" t="str">
        <f t="shared" si="41"/>
        <v>Rieser-Engel-Merlin-Molli</v>
      </c>
    </row>
    <row r="442" spans="1:18" x14ac:dyDescent="0.25">
      <c r="A442" s="1" t="s">
        <v>215</v>
      </c>
      <c r="B442" s="1">
        <v>70</v>
      </c>
      <c r="C442" s="1" t="s">
        <v>27</v>
      </c>
      <c r="D442" s="1">
        <v>2</v>
      </c>
      <c r="E442" s="1" t="s">
        <v>147</v>
      </c>
      <c r="F442" s="1">
        <v>21</v>
      </c>
      <c r="G442" s="1">
        <v>23</v>
      </c>
      <c r="H442" s="1" t="s">
        <v>155</v>
      </c>
      <c r="I442" s="1" t="s">
        <v>212</v>
      </c>
      <c r="J442" s="1" t="s">
        <v>166</v>
      </c>
      <c r="K442" s="1" t="s">
        <v>216</v>
      </c>
      <c r="L442" s="1" t="s">
        <v>355</v>
      </c>
      <c r="M442" t="str">
        <f t="shared" si="36"/>
        <v>Rieser</v>
      </c>
      <c r="N442" t="str">
        <f t="shared" si="37"/>
        <v>Engel</v>
      </c>
      <c r="O442" t="str">
        <f t="shared" si="38"/>
        <v>Merlin</v>
      </c>
      <c r="P442" t="str">
        <f t="shared" si="39"/>
        <v>Molli</v>
      </c>
      <c r="Q442">
        <f t="shared" si="40"/>
        <v>0</v>
      </c>
      <c r="R442" t="str">
        <f t="shared" si="41"/>
        <v>Rieser-Engel-Merlin-Molli</v>
      </c>
    </row>
    <row r="443" spans="1:18" x14ac:dyDescent="0.25">
      <c r="A443" s="1" t="s">
        <v>215</v>
      </c>
      <c r="B443" s="1">
        <v>147</v>
      </c>
      <c r="C443" s="1" t="s">
        <v>12</v>
      </c>
      <c r="D443" s="1">
        <v>1</v>
      </c>
      <c r="E443" s="1" t="s">
        <v>70</v>
      </c>
      <c r="F443" s="1">
        <v>1</v>
      </c>
      <c r="G443" s="1">
        <v>0</v>
      </c>
      <c r="H443" s="1" t="s">
        <v>96</v>
      </c>
      <c r="I443" s="1" t="s">
        <v>72</v>
      </c>
      <c r="J443" s="1" t="s">
        <v>397</v>
      </c>
      <c r="K443" s="1" t="s">
        <v>221</v>
      </c>
      <c r="L443" s="1" t="s">
        <v>355</v>
      </c>
      <c r="M443" t="str">
        <f t="shared" si="36"/>
        <v>Zholkovsky</v>
      </c>
      <c r="N443" t="str">
        <f t="shared" si="37"/>
        <v>Kimhi</v>
      </c>
      <c r="O443" t="str">
        <f t="shared" si="38"/>
        <v>Yañez</v>
      </c>
      <c r="P443" t="str">
        <f t="shared" si="39"/>
        <v>F. Rivera</v>
      </c>
      <c r="Q443">
        <f t="shared" si="40"/>
        <v>1</v>
      </c>
      <c r="R443" t="str">
        <f t="shared" si="41"/>
        <v>Zholkovsky-Kimhi-Yañez-F. Rivera</v>
      </c>
    </row>
    <row r="444" spans="1:18" x14ac:dyDescent="0.25">
      <c r="A444" s="1" t="s">
        <v>215</v>
      </c>
      <c r="B444" s="1">
        <v>151</v>
      </c>
      <c r="C444" s="1" t="s">
        <v>18</v>
      </c>
      <c r="D444" s="1">
        <v>2</v>
      </c>
      <c r="E444" s="1" t="s">
        <v>70</v>
      </c>
      <c r="F444" s="1">
        <v>1</v>
      </c>
      <c r="G444" s="1">
        <v>0</v>
      </c>
      <c r="H444" s="1" t="s">
        <v>96</v>
      </c>
      <c r="I444" s="1" t="s">
        <v>75</v>
      </c>
      <c r="J444" s="1" t="s">
        <v>101</v>
      </c>
      <c r="K444" s="1" t="s">
        <v>221</v>
      </c>
      <c r="L444" s="1" t="s">
        <v>355</v>
      </c>
      <c r="M444" t="str">
        <f t="shared" si="36"/>
        <v>Wish</v>
      </c>
      <c r="N444" t="str">
        <f t="shared" si="37"/>
        <v>Sendik</v>
      </c>
      <c r="O444" t="str">
        <f t="shared" si="38"/>
        <v>O. Herrera</v>
      </c>
      <c r="P444" t="str">
        <f t="shared" si="39"/>
        <v>Larroza</v>
      </c>
      <c r="Q444">
        <f t="shared" si="40"/>
        <v>1</v>
      </c>
      <c r="R444" t="str">
        <f t="shared" si="41"/>
        <v>Wish-Sendik-O. Herrera-Larroza</v>
      </c>
    </row>
    <row r="445" spans="1:18" x14ac:dyDescent="0.25">
      <c r="A445" s="1" t="s">
        <v>215</v>
      </c>
      <c r="B445" s="1">
        <v>153</v>
      </c>
      <c r="C445" s="1" t="s">
        <v>21</v>
      </c>
      <c r="D445" s="1">
        <v>1</v>
      </c>
      <c r="E445" s="1" t="s">
        <v>70</v>
      </c>
      <c r="F445" s="1">
        <v>1</v>
      </c>
      <c r="G445" s="1">
        <v>0</v>
      </c>
      <c r="H445" s="1" t="s">
        <v>96</v>
      </c>
      <c r="I445" s="1" t="s">
        <v>77</v>
      </c>
      <c r="J445" s="1" t="s">
        <v>399</v>
      </c>
      <c r="K445" s="1" t="s">
        <v>221</v>
      </c>
      <c r="L445" s="1" t="s">
        <v>355</v>
      </c>
      <c r="M445" t="str">
        <f t="shared" si="36"/>
        <v>Lurie</v>
      </c>
      <c r="N445" t="str">
        <f t="shared" si="37"/>
        <v>Melech</v>
      </c>
      <c r="O445" t="str">
        <f t="shared" si="38"/>
        <v>D. Rivera</v>
      </c>
      <c r="P445" t="str">
        <f t="shared" si="39"/>
        <v>Ortiz</v>
      </c>
      <c r="Q445">
        <f t="shared" si="40"/>
        <v>1</v>
      </c>
      <c r="R445" t="str">
        <f t="shared" si="41"/>
        <v>Lurie-Melech-D. Rivera-Ortiz</v>
      </c>
    </row>
    <row r="446" spans="1:18" x14ac:dyDescent="0.25">
      <c r="A446" s="1" t="s">
        <v>215</v>
      </c>
      <c r="B446" s="1">
        <v>157</v>
      </c>
      <c r="C446" s="1" t="s">
        <v>24</v>
      </c>
      <c r="D446" s="1">
        <v>2</v>
      </c>
      <c r="E446" s="1" t="s">
        <v>70</v>
      </c>
      <c r="F446" s="1">
        <v>1</v>
      </c>
      <c r="G446" s="1">
        <v>0</v>
      </c>
      <c r="H446" s="1" t="s">
        <v>96</v>
      </c>
      <c r="I446" s="1" t="s">
        <v>79</v>
      </c>
      <c r="J446" s="1" t="s">
        <v>105</v>
      </c>
      <c r="K446" s="1" t="s">
        <v>221</v>
      </c>
      <c r="L446" s="1" t="s">
        <v>355</v>
      </c>
      <c r="M446" t="str">
        <f t="shared" si="36"/>
        <v>Benishti</v>
      </c>
      <c r="N446" t="str">
        <f t="shared" si="37"/>
        <v>Tirosh</v>
      </c>
      <c r="O446" t="str">
        <f t="shared" si="38"/>
        <v>R. Herrera</v>
      </c>
      <c r="P446" t="str">
        <f t="shared" si="39"/>
        <v>P. Herrera</v>
      </c>
      <c r="Q446">
        <f t="shared" si="40"/>
        <v>1</v>
      </c>
      <c r="R446" t="str">
        <f t="shared" si="41"/>
        <v>Benishti-Tirosh-R. Herrera-P. Herrera</v>
      </c>
    </row>
    <row r="447" spans="1:18" x14ac:dyDescent="0.25">
      <c r="A447" s="1" t="s">
        <v>215</v>
      </c>
      <c r="B447" s="1">
        <v>159</v>
      </c>
      <c r="C447" s="1" t="s">
        <v>27</v>
      </c>
      <c r="D447" s="1">
        <v>1</v>
      </c>
      <c r="E447" s="1" t="s">
        <v>70</v>
      </c>
      <c r="F447" s="1">
        <v>0</v>
      </c>
      <c r="G447" s="1">
        <v>1</v>
      </c>
      <c r="H447" s="1" t="s">
        <v>96</v>
      </c>
      <c r="I447" s="1" t="s">
        <v>81</v>
      </c>
      <c r="J447" s="1" t="s">
        <v>107</v>
      </c>
      <c r="K447" s="1" t="s">
        <v>221</v>
      </c>
      <c r="L447" s="1" t="s">
        <v>355</v>
      </c>
      <c r="M447" t="str">
        <f t="shared" si="36"/>
        <v>Sone</v>
      </c>
      <c r="N447" t="str">
        <f t="shared" si="37"/>
        <v>Gitler</v>
      </c>
      <c r="O447" t="str">
        <f t="shared" si="38"/>
        <v>Mella</v>
      </c>
      <c r="P447" t="str">
        <f t="shared" si="39"/>
        <v>Vargas</v>
      </c>
      <c r="Q447">
        <f t="shared" si="40"/>
        <v>0</v>
      </c>
      <c r="R447" t="str">
        <f t="shared" si="41"/>
        <v>Sone-Gitler-Mella-Vargas</v>
      </c>
    </row>
    <row r="448" spans="1:18" x14ac:dyDescent="0.25">
      <c r="A448" s="1" t="s">
        <v>215</v>
      </c>
      <c r="B448" s="1">
        <v>165</v>
      </c>
      <c r="C448" s="1" t="s">
        <v>12</v>
      </c>
      <c r="D448" s="1">
        <v>1</v>
      </c>
      <c r="E448" s="1" t="s">
        <v>57</v>
      </c>
      <c r="F448" s="1">
        <v>18</v>
      </c>
      <c r="G448" s="1">
        <v>21</v>
      </c>
      <c r="H448" s="1" t="s">
        <v>83</v>
      </c>
      <c r="I448" s="1" t="s">
        <v>59</v>
      </c>
      <c r="J448" s="1" t="s">
        <v>85</v>
      </c>
      <c r="K448" s="1" t="s">
        <v>221</v>
      </c>
      <c r="L448" s="1" t="s">
        <v>355</v>
      </c>
      <c r="M448" t="str">
        <f t="shared" si="36"/>
        <v>Razvan</v>
      </c>
      <c r="N448" t="str">
        <f t="shared" si="37"/>
        <v>Cimpian</v>
      </c>
      <c r="O448" t="str">
        <f t="shared" si="38"/>
        <v>Hanisch</v>
      </c>
      <c r="P448" t="str">
        <f t="shared" si="39"/>
        <v>Aasen</v>
      </c>
      <c r="Q448">
        <f t="shared" si="40"/>
        <v>0</v>
      </c>
      <c r="R448" t="str">
        <f t="shared" si="41"/>
        <v>Razvan-Cimpian-Hanisch-Aasen</v>
      </c>
    </row>
    <row r="449" spans="1:18" x14ac:dyDescent="0.25">
      <c r="A449" s="1" t="s">
        <v>215</v>
      </c>
      <c r="B449" s="1">
        <v>168</v>
      </c>
      <c r="C449" s="1" t="s">
        <v>18</v>
      </c>
      <c r="D449" s="1">
        <v>1</v>
      </c>
      <c r="E449" s="1" t="s">
        <v>57</v>
      </c>
      <c r="F449" s="1">
        <v>21</v>
      </c>
      <c r="G449" s="1">
        <v>18</v>
      </c>
      <c r="H449" s="1" t="s">
        <v>83</v>
      </c>
      <c r="I449" s="1" t="s">
        <v>62</v>
      </c>
      <c r="J449" s="1" t="s">
        <v>88</v>
      </c>
      <c r="K449" s="1" t="s">
        <v>221</v>
      </c>
      <c r="L449" s="1" t="s">
        <v>355</v>
      </c>
      <c r="M449" t="str">
        <f t="shared" si="36"/>
        <v>Colac</v>
      </c>
      <c r="N449" t="str">
        <f t="shared" si="37"/>
        <v>Popa</v>
      </c>
      <c r="O449" t="str">
        <f t="shared" si="38"/>
        <v>Steinsholt</v>
      </c>
      <c r="P449" t="str">
        <f t="shared" si="39"/>
        <v>Kuehl</v>
      </c>
      <c r="Q449">
        <f t="shared" si="40"/>
        <v>1</v>
      </c>
      <c r="R449" t="str">
        <f t="shared" si="41"/>
        <v>Colac-Popa-Steinsholt-Kuehl</v>
      </c>
    </row>
    <row r="450" spans="1:18" x14ac:dyDescent="0.25">
      <c r="A450" s="1" t="s">
        <v>215</v>
      </c>
      <c r="B450" s="1">
        <v>171</v>
      </c>
      <c r="C450" s="1" t="s">
        <v>21</v>
      </c>
      <c r="D450" s="1">
        <v>1</v>
      </c>
      <c r="E450" s="1" t="s">
        <v>57</v>
      </c>
      <c r="F450" s="1">
        <v>14</v>
      </c>
      <c r="G450" s="1">
        <v>21</v>
      </c>
      <c r="H450" s="1" t="s">
        <v>83</v>
      </c>
      <c r="I450" s="1" t="s">
        <v>64</v>
      </c>
      <c r="J450" s="1" t="s">
        <v>90</v>
      </c>
      <c r="K450" s="1" t="s">
        <v>221</v>
      </c>
      <c r="L450" s="1" t="s">
        <v>355</v>
      </c>
      <c r="M450" t="str">
        <f t="shared" ref="M450:M513" si="42">_xlfn.TEXTBEFORE(I450,"/")</f>
        <v>Gyergyoi</v>
      </c>
      <c r="N450" t="str">
        <f t="shared" ref="N450:N513" si="43">_xlfn.TEXTAFTER(I450,"/ ")</f>
        <v>Limbovici</v>
      </c>
      <c r="O450" t="str">
        <f t="shared" ref="O450:O513" si="44">_xlfn.TEXTBEFORE(J450,"/")</f>
        <v>Sund-Olsen</v>
      </c>
      <c r="P450" t="str">
        <f t="shared" ref="P450:P513" si="45">_xlfn.TEXTAFTER(J450,"/ ")</f>
        <v>Strandin</v>
      </c>
      <c r="Q450">
        <f t="shared" ref="Q450:Q513" si="46">IF(F450&gt;G450,1,0)</f>
        <v>0</v>
      </c>
      <c r="R450" t="str">
        <f t="shared" ref="R450:R513" si="47">_xlfn.TEXTJOIN("-",TRUE,M450,N450,O450,P450)</f>
        <v>Gyergyoi-Limbovici-Sund-Olsen-Strandin</v>
      </c>
    </row>
    <row r="451" spans="1:18" x14ac:dyDescent="0.25">
      <c r="A451" s="1" t="s">
        <v>215</v>
      </c>
      <c r="B451" s="1">
        <v>174</v>
      </c>
      <c r="C451" s="1" t="s">
        <v>24</v>
      </c>
      <c r="D451" s="1">
        <v>1</v>
      </c>
      <c r="E451" s="1" t="s">
        <v>57</v>
      </c>
      <c r="F451" s="1">
        <v>21</v>
      </c>
      <c r="G451" s="1">
        <v>13</v>
      </c>
      <c r="H451" s="1" t="s">
        <v>83</v>
      </c>
      <c r="I451" s="1" t="s">
        <v>66</v>
      </c>
      <c r="J451" s="1" t="s">
        <v>92</v>
      </c>
      <c r="K451" s="1" t="s">
        <v>221</v>
      </c>
      <c r="L451" s="1" t="s">
        <v>355</v>
      </c>
      <c r="M451" t="str">
        <f t="shared" si="42"/>
        <v>Aldea</v>
      </c>
      <c r="N451" t="str">
        <f t="shared" si="43"/>
        <v>Bizdideanu</v>
      </c>
      <c r="O451" t="str">
        <f t="shared" si="44"/>
        <v>Helland</v>
      </c>
      <c r="P451" t="str">
        <f t="shared" si="45"/>
        <v>Abrahamsen</v>
      </c>
      <c r="Q451">
        <f t="shared" si="46"/>
        <v>1</v>
      </c>
      <c r="R451" t="str">
        <f t="shared" si="47"/>
        <v>Aldea-Bizdideanu-Helland-Abrahamsen</v>
      </c>
    </row>
    <row r="452" spans="1:18" x14ac:dyDescent="0.25">
      <c r="A452" s="1" t="s">
        <v>215</v>
      </c>
      <c r="B452" s="1">
        <v>177</v>
      </c>
      <c r="C452" s="1" t="s">
        <v>27</v>
      </c>
      <c r="D452" s="1">
        <v>1</v>
      </c>
      <c r="E452" s="1" t="s">
        <v>57</v>
      </c>
      <c r="F452" s="1">
        <v>21</v>
      </c>
      <c r="G452" s="1">
        <v>17</v>
      </c>
      <c r="H452" s="1" t="s">
        <v>83</v>
      </c>
      <c r="I452" s="1" t="s">
        <v>68</v>
      </c>
      <c r="J452" s="1" t="s">
        <v>419</v>
      </c>
      <c r="K452" s="1" t="s">
        <v>221</v>
      </c>
      <c r="L452" s="1" t="s">
        <v>355</v>
      </c>
      <c r="M452" t="str">
        <f t="shared" si="42"/>
        <v>Bliort</v>
      </c>
      <c r="N452" t="str">
        <f t="shared" si="43"/>
        <v>Cornoiu</v>
      </c>
      <c r="O452" t="str">
        <f t="shared" si="44"/>
        <v>J. Modalsli</v>
      </c>
      <c r="P452" t="str">
        <f t="shared" si="45"/>
        <v>Tønne-Johansen</v>
      </c>
      <c r="Q452">
        <f t="shared" si="46"/>
        <v>1</v>
      </c>
      <c r="R452" t="str">
        <f t="shared" si="47"/>
        <v>Bliort-Cornoiu-J. Modalsli-Tønne-Johansen</v>
      </c>
    </row>
    <row r="453" spans="1:18" x14ac:dyDescent="0.25">
      <c r="A453" s="1" t="s">
        <v>215</v>
      </c>
      <c r="B453" s="1">
        <v>183</v>
      </c>
      <c r="C453" s="1" t="s">
        <v>12</v>
      </c>
      <c r="D453" s="1">
        <v>1</v>
      </c>
      <c r="E453" s="1" t="s">
        <v>95</v>
      </c>
      <c r="F453" s="1">
        <v>17</v>
      </c>
      <c r="G453" s="1">
        <v>21</v>
      </c>
      <c r="H453" s="1" t="s">
        <v>69</v>
      </c>
      <c r="I453" s="1" t="s">
        <v>97</v>
      </c>
      <c r="J453" s="1" t="s">
        <v>425</v>
      </c>
      <c r="K453" s="1" t="s">
        <v>221</v>
      </c>
      <c r="L453" s="1" t="s">
        <v>355</v>
      </c>
      <c r="M453" t="str">
        <f t="shared" si="42"/>
        <v>J. Brus</v>
      </c>
      <c r="N453" t="str">
        <f t="shared" si="43"/>
        <v>R. Brus</v>
      </c>
      <c r="O453" t="str">
        <f t="shared" si="44"/>
        <v>Mi. Jaunpetrovičs</v>
      </c>
      <c r="P453" t="str">
        <f t="shared" si="45"/>
        <v>Repels</v>
      </c>
      <c r="Q453">
        <f t="shared" si="46"/>
        <v>0</v>
      </c>
      <c r="R453" t="str">
        <f t="shared" si="47"/>
        <v>J. Brus-R. Brus-Mi. Jaunpetrovičs-Repels</v>
      </c>
    </row>
    <row r="454" spans="1:18" x14ac:dyDescent="0.25">
      <c r="A454" s="1" t="s">
        <v>215</v>
      </c>
      <c r="B454" s="1">
        <v>186</v>
      </c>
      <c r="C454" s="1" t="s">
        <v>18</v>
      </c>
      <c r="D454" s="1">
        <v>1</v>
      </c>
      <c r="E454" s="1" t="s">
        <v>95</v>
      </c>
      <c r="F454" s="1">
        <v>18</v>
      </c>
      <c r="G454" s="1">
        <v>21</v>
      </c>
      <c r="H454" s="1" t="s">
        <v>69</v>
      </c>
      <c r="I454" s="1" t="s">
        <v>100</v>
      </c>
      <c r="J454" s="1" t="s">
        <v>74</v>
      </c>
      <c r="K454" s="1" t="s">
        <v>221</v>
      </c>
      <c r="L454" s="1" t="s">
        <v>355</v>
      </c>
      <c r="M454" t="str">
        <f t="shared" si="42"/>
        <v>Schouten</v>
      </c>
      <c r="N454" t="str">
        <f t="shared" si="43"/>
        <v>van Manen</v>
      </c>
      <c r="O454" t="str">
        <f t="shared" si="44"/>
        <v>Juška</v>
      </c>
      <c r="P454" t="str">
        <f t="shared" si="45"/>
        <v>Vanags</v>
      </c>
      <c r="Q454">
        <f t="shared" si="46"/>
        <v>0</v>
      </c>
      <c r="R454" t="str">
        <f t="shared" si="47"/>
        <v>Schouten-van Manen-Juška-Vanags</v>
      </c>
    </row>
    <row r="455" spans="1:18" x14ac:dyDescent="0.25">
      <c r="A455" s="1" t="s">
        <v>215</v>
      </c>
      <c r="B455" s="1">
        <v>189</v>
      </c>
      <c r="C455" s="1" t="s">
        <v>21</v>
      </c>
      <c r="D455" s="1">
        <v>1</v>
      </c>
      <c r="E455" s="1" t="s">
        <v>95</v>
      </c>
      <c r="F455" s="1">
        <v>21</v>
      </c>
      <c r="G455" s="1">
        <v>23</v>
      </c>
      <c r="H455" s="1" t="s">
        <v>69</v>
      </c>
      <c r="I455" s="1" t="s">
        <v>102</v>
      </c>
      <c r="J455" s="1" t="s">
        <v>426</v>
      </c>
      <c r="K455" s="1" t="s">
        <v>221</v>
      </c>
      <c r="L455" s="1" t="s">
        <v>355</v>
      </c>
      <c r="M455" t="str">
        <f t="shared" si="42"/>
        <v>Nieboer</v>
      </c>
      <c r="N455" t="str">
        <f t="shared" si="43"/>
        <v>Van de Riet</v>
      </c>
      <c r="O455" t="str">
        <f t="shared" si="44"/>
        <v>Ma. Jaunpetrovičs</v>
      </c>
      <c r="P455" t="str">
        <f t="shared" si="45"/>
        <v>Kaupers</v>
      </c>
      <c r="Q455">
        <f t="shared" si="46"/>
        <v>0</v>
      </c>
      <c r="R455" t="str">
        <f t="shared" si="47"/>
        <v>Nieboer-Van de Riet-Ma. Jaunpetrovičs-Kaupers</v>
      </c>
    </row>
    <row r="456" spans="1:18" x14ac:dyDescent="0.25">
      <c r="A456" s="1" t="s">
        <v>215</v>
      </c>
      <c r="B456" s="1">
        <v>192</v>
      </c>
      <c r="C456" s="1" t="s">
        <v>24</v>
      </c>
      <c r="D456" s="1">
        <v>1</v>
      </c>
      <c r="E456" s="1" t="s">
        <v>95</v>
      </c>
      <c r="F456" s="1">
        <v>21</v>
      </c>
      <c r="G456" s="1">
        <v>19</v>
      </c>
      <c r="H456" s="1" t="s">
        <v>69</v>
      </c>
      <c r="I456" s="1" t="s">
        <v>104</v>
      </c>
      <c r="J456" s="1" t="s">
        <v>78</v>
      </c>
      <c r="K456" s="1" t="s">
        <v>221</v>
      </c>
      <c r="L456" s="1" t="s">
        <v>355</v>
      </c>
      <c r="M456" t="str">
        <f t="shared" si="42"/>
        <v>Spengler</v>
      </c>
      <c r="N456" t="str">
        <f t="shared" si="43"/>
        <v>Slebos</v>
      </c>
      <c r="O456" t="str">
        <f t="shared" si="44"/>
        <v>Ernestsons</v>
      </c>
      <c r="P456" t="str">
        <f t="shared" si="45"/>
        <v>Matulis</v>
      </c>
      <c r="Q456">
        <f t="shared" si="46"/>
        <v>1</v>
      </c>
      <c r="R456" t="str">
        <f t="shared" si="47"/>
        <v>Spengler-Slebos-Ernestsons-Matulis</v>
      </c>
    </row>
    <row r="457" spans="1:18" x14ac:dyDescent="0.25">
      <c r="A457" s="1" t="s">
        <v>215</v>
      </c>
      <c r="B457" s="1">
        <v>195</v>
      </c>
      <c r="C457" s="1" t="s">
        <v>27</v>
      </c>
      <c r="D457" s="1">
        <v>1</v>
      </c>
      <c r="E457" s="1" t="s">
        <v>95</v>
      </c>
      <c r="F457" s="1">
        <v>21</v>
      </c>
      <c r="G457" s="1">
        <v>15</v>
      </c>
      <c r="H457" s="1" t="s">
        <v>69</v>
      </c>
      <c r="I457" s="1" t="s">
        <v>106</v>
      </c>
      <c r="J457" s="1" t="s">
        <v>80</v>
      </c>
      <c r="K457" s="1" t="s">
        <v>221</v>
      </c>
      <c r="L457" s="1" t="s">
        <v>355</v>
      </c>
      <c r="M457" t="str">
        <f t="shared" si="42"/>
        <v>Kedar</v>
      </c>
      <c r="N457" t="str">
        <f t="shared" si="43"/>
        <v>Elbertsen</v>
      </c>
      <c r="O457" t="str">
        <f t="shared" si="44"/>
        <v>Beļajevs</v>
      </c>
      <c r="P457" t="str">
        <f t="shared" si="45"/>
        <v>Briedis</v>
      </c>
      <c r="Q457">
        <f t="shared" si="46"/>
        <v>1</v>
      </c>
      <c r="R457" t="str">
        <f t="shared" si="47"/>
        <v>Kedar-Elbertsen-Beļajevs-Briedis</v>
      </c>
    </row>
    <row r="458" spans="1:18" x14ac:dyDescent="0.25">
      <c r="A458" s="1" t="s">
        <v>215</v>
      </c>
      <c r="B458" s="1">
        <v>201</v>
      </c>
      <c r="C458" s="1" t="s">
        <v>12</v>
      </c>
      <c r="D458" s="1">
        <v>1</v>
      </c>
      <c r="E458" s="1" t="s">
        <v>82</v>
      </c>
      <c r="F458" s="1">
        <v>18</v>
      </c>
      <c r="G458" s="1">
        <v>21</v>
      </c>
      <c r="H458" s="1" t="s">
        <v>56</v>
      </c>
      <c r="I458" s="1" t="s">
        <v>84</v>
      </c>
      <c r="J458" s="1" t="s">
        <v>58</v>
      </c>
      <c r="K458" s="1" t="s">
        <v>221</v>
      </c>
      <c r="L458" s="1" t="s">
        <v>355</v>
      </c>
      <c r="M458" t="str">
        <f t="shared" si="42"/>
        <v>Huang</v>
      </c>
      <c r="N458" t="str">
        <f t="shared" si="43"/>
        <v>Hirata</v>
      </c>
      <c r="O458" t="str">
        <f t="shared" si="44"/>
        <v>Ishii</v>
      </c>
      <c r="P458" t="str">
        <f t="shared" si="45"/>
        <v>Shimizu</v>
      </c>
      <c r="Q458">
        <f t="shared" si="46"/>
        <v>0</v>
      </c>
      <c r="R458" t="str">
        <f t="shared" si="47"/>
        <v>Huang-Hirata-Ishii-Shimizu</v>
      </c>
    </row>
    <row r="459" spans="1:18" x14ac:dyDescent="0.25">
      <c r="A459" s="1" t="s">
        <v>215</v>
      </c>
      <c r="B459" s="1">
        <v>204</v>
      </c>
      <c r="C459" s="1" t="s">
        <v>18</v>
      </c>
      <c r="D459" s="1">
        <v>1</v>
      </c>
      <c r="E459" s="1" t="s">
        <v>82</v>
      </c>
      <c r="F459" s="1">
        <v>21</v>
      </c>
      <c r="G459" s="1">
        <v>12</v>
      </c>
      <c r="H459" s="1" t="s">
        <v>56</v>
      </c>
      <c r="I459" s="1" t="s">
        <v>87</v>
      </c>
      <c r="J459" s="1" t="s">
        <v>61</v>
      </c>
      <c r="K459" s="1" t="s">
        <v>221</v>
      </c>
      <c r="L459" s="1" t="s">
        <v>355</v>
      </c>
      <c r="M459" t="str">
        <f t="shared" si="42"/>
        <v>M. Rohrbach</v>
      </c>
      <c r="N459" t="str">
        <f t="shared" si="43"/>
        <v>L. Rohrbach</v>
      </c>
      <c r="O459" t="str">
        <f t="shared" si="44"/>
        <v>Nakamura</v>
      </c>
      <c r="P459" t="str">
        <f t="shared" si="45"/>
        <v>Takei</v>
      </c>
      <c r="Q459">
        <f t="shared" si="46"/>
        <v>1</v>
      </c>
      <c r="R459" t="str">
        <f t="shared" si="47"/>
        <v>M. Rohrbach-L. Rohrbach-Nakamura-Takei</v>
      </c>
    </row>
    <row r="460" spans="1:18" x14ac:dyDescent="0.25">
      <c r="A460" s="1" t="s">
        <v>215</v>
      </c>
      <c r="B460" s="1">
        <v>207</v>
      </c>
      <c r="C460" s="1" t="s">
        <v>21</v>
      </c>
      <c r="D460" s="1">
        <v>1</v>
      </c>
      <c r="E460" s="1" t="s">
        <v>82</v>
      </c>
      <c r="F460" s="1">
        <v>21</v>
      </c>
      <c r="G460" s="1">
        <v>15</v>
      </c>
      <c r="H460" s="1" t="s">
        <v>56</v>
      </c>
      <c r="I460" s="1" t="s">
        <v>89</v>
      </c>
      <c r="J460" s="1" t="s">
        <v>63</v>
      </c>
      <c r="K460" s="1" t="s">
        <v>221</v>
      </c>
      <c r="L460" s="1" t="s">
        <v>355</v>
      </c>
      <c r="M460" t="str">
        <f t="shared" si="42"/>
        <v>Teixeira</v>
      </c>
      <c r="N460" t="str">
        <f t="shared" si="43"/>
        <v>Santos</v>
      </c>
      <c r="O460" t="str">
        <f t="shared" si="44"/>
        <v>Tamaki</v>
      </c>
      <c r="P460" t="str">
        <f t="shared" si="45"/>
        <v>Pflaum</v>
      </c>
      <c r="Q460">
        <f t="shared" si="46"/>
        <v>1</v>
      </c>
      <c r="R460" t="str">
        <f t="shared" si="47"/>
        <v>Teixeira-Santos-Tamaki-Pflaum</v>
      </c>
    </row>
    <row r="461" spans="1:18" x14ac:dyDescent="0.25">
      <c r="A461" s="1" t="s">
        <v>215</v>
      </c>
      <c r="B461" s="1">
        <v>210</v>
      </c>
      <c r="C461" s="1" t="s">
        <v>24</v>
      </c>
      <c r="D461" s="1">
        <v>1</v>
      </c>
      <c r="E461" s="1" t="s">
        <v>82</v>
      </c>
      <c r="F461" s="1">
        <v>17</v>
      </c>
      <c r="G461" s="1">
        <v>21</v>
      </c>
      <c r="H461" s="1" t="s">
        <v>56</v>
      </c>
      <c r="I461" s="1" t="s">
        <v>91</v>
      </c>
      <c r="J461" s="1" t="s">
        <v>65</v>
      </c>
      <c r="K461" s="1" t="s">
        <v>221</v>
      </c>
      <c r="L461" s="1" t="s">
        <v>355</v>
      </c>
      <c r="M461" t="str">
        <f t="shared" si="42"/>
        <v>Zerbeti</v>
      </c>
      <c r="N461" t="str">
        <f t="shared" si="43"/>
        <v>Nishida</v>
      </c>
      <c r="O461" t="str">
        <f t="shared" si="44"/>
        <v>Y. Sato</v>
      </c>
      <c r="P461" t="str">
        <f t="shared" si="45"/>
        <v>K. Sato</v>
      </c>
      <c r="Q461">
        <f t="shared" si="46"/>
        <v>0</v>
      </c>
      <c r="R461" t="str">
        <f t="shared" si="47"/>
        <v>Zerbeti-Nishida-Y. Sato-K. Sato</v>
      </c>
    </row>
    <row r="462" spans="1:18" x14ac:dyDescent="0.25">
      <c r="A462" s="1" t="s">
        <v>215</v>
      </c>
      <c r="B462" s="1">
        <v>213</v>
      </c>
      <c r="C462" s="1" t="s">
        <v>27</v>
      </c>
      <c r="D462" s="1">
        <v>1</v>
      </c>
      <c r="E462" s="1" t="s">
        <v>82</v>
      </c>
      <c r="F462" s="1">
        <v>16</v>
      </c>
      <c r="G462" s="1">
        <v>21</v>
      </c>
      <c r="H462" s="1" t="s">
        <v>56</v>
      </c>
      <c r="I462" s="1" t="s">
        <v>93</v>
      </c>
      <c r="J462" s="1" t="s">
        <v>416</v>
      </c>
      <c r="K462" s="1" t="s">
        <v>221</v>
      </c>
      <c r="L462" s="1" t="s">
        <v>355</v>
      </c>
      <c r="M462" t="str">
        <f t="shared" si="42"/>
        <v>Hey</v>
      </c>
      <c r="N462" t="str">
        <f t="shared" si="43"/>
        <v>Mello</v>
      </c>
      <c r="O462" t="str">
        <f t="shared" si="44"/>
        <v>S. Imamura</v>
      </c>
      <c r="P462" t="str">
        <f t="shared" si="45"/>
        <v>T. Sato</v>
      </c>
      <c r="Q462">
        <f t="shared" si="46"/>
        <v>0</v>
      </c>
      <c r="R462" t="str">
        <f t="shared" si="47"/>
        <v>Hey-Mello-S. Imamura-T. Sato</v>
      </c>
    </row>
    <row r="463" spans="1:18" x14ac:dyDescent="0.25">
      <c r="A463" s="1" t="s">
        <v>215</v>
      </c>
      <c r="B463" s="1">
        <v>255</v>
      </c>
      <c r="C463" s="1" t="s">
        <v>12</v>
      </c>
      <c r="D463" s="1">
        <v>1</v>
      </c>
      <c r="E463" s="1" t="s">
        <v>109</v>
      </c>
      <c r="F463" s="1">
        <v>21</v>
      </c>
      <c r="G463" s="1">
        <v>15</v>
      </c>
      <c r="H463" s="1" t="s">
        <v>135</v>
      </c>
      <c r="I463" s="1" t="s">
        <v>111</v>
      </c>
      <c r="J463" s="1" t="s">
        <v>137</v>
      </c>
      <c r="K463" s="1" t="s">
        <v>226</v>
      </c>
      <c r="L463" s="1" t="s">
        <v>355</v>
      </c>
      <c r="M463" t="str">
        <f t="shared" si="42"/>
        <v>Ko. Kyläinpää</v>
      </c>
      <c r="N463" t="str">
        <f t="shared" si="43"/>
        <v>Ka. Kyläinpää</v>
      </c>
      <c r="O463" t="str">
        <f t="shared" si="44"/>
        <v>El-Gendy</v>
      </c>
      <c r="P463" t="str">
        <f t="shared" si="45"/>
        <v>Seddik</v>
      </c>
      <c r="Q463">
        <f t="shared" si="46"/>
        <v>1</v>
      </c>
      <c r="R463" t="str">
        <f t="shared" si="47"/>
        <v>Ko. Kyläinpää-Ka. Kyläinpää-El-Gendy-Seddik</v>
      </c>
    </row>
    <row r="464" spans="1:18" x14ac:dyDescent="0.25">
      <c r="A464" s="1" t="s">
        <v>215</v>
      </c>
      <c r="B464" s="1">
        <v>258</v>
      </c>
      <c r="C464" s="1" t="s">
        <v>18</v>
      </c>
      <c r="D464" s="1">
        <v>1</v>
      </c>
      <c r="E464" s="1" t="s">
        <v>109</v>
      </c>
      <c r="F464" s="1">
        <v>22</v>
      </c>
      <c r="G464" s="1">
        <v>20</v>
      </c>
      <c r="H464" s="1" t="s">
        <v>135</v>
      </c>
      <c r="I464" s="1" t="s">
        <v>114</v>
      </c>
      <c r="J464" s="1" t="s">
        <v>140</v>
      </c>
      <c r="K464" s="1" t="s">
        <v>226</v>
      </c>
      <c r="L464" s="1" t="s">
        <v>355</v>
      </c>
      <c r="M464" t="str">
        <f t="shared" si="42"/>
        <v>Youssef</v>
      </c>
      <c r="N464" t="str">
        <f t="shared" si="43"/>
        <v>Heikkinen</v>
      </c>
      <c r="O464" t="str">
        <f t="shared" si="44"/>
        <v>Nader</v>
      </c>
      <c r="P464" t="str">
        <f t="shared" si="45"/>
        <v>Naim</v>
      </c>
      <c r="Q464">
        <f t="shared" si="46"/>
        <v>1</v>
      </c>
      <c r="R464" t="str">
        <f t="shared" si="47"/>
        <v>Youssef-Heikkinen-Nader-Naim</v>
      </c>
    </row>
    <row r="465" spans="1:18" x14ac:dyDescent="0.25">
      <c r="A465" s="1" t="s">
        <v>215</v>
      </c>
      <c r="B465" s="1">
        <v>261</v>
      </c>
      <c r="C465" s="1" t="s">
        <v>21</v>
      </c>
      <c r="D465" s="1">
        <v>1</v>
      </c>
      <c r="E465" s="1" t="s">
        <v>109</v>
      </c>
      <c r="F465" s="1">
        <v>21</v>
      </c>
      <c r="G465" s="1">
        <v>18</v>
      </c>
      <c r="H465" s="1" t="s">
        <v>135</v>
      </c>
      <c r="I465" s="1" t="s">
        <v>116</v>
      </c>
      <c r="J465" s="1" t="s">
        <v>142</v>
      </c>
      <c r="K465" s="1" t="s">
        <v>226</v>
      </c>
      <c r="L465" s="1" t="s">
        <v>355</v>
      </c>
      <c r="M465" t="str">
        <f t="shared" si="42"/>
        <v>Peltonen</v>
      </c>
      <c r="N465" t="str">
        <f t="shared" si="43"/>
        <v>Seitz</v>
      </c>
      <c r="O465" t="str">
        <f t="shared" si="44"/>
        <v>Saafan</v>
      </c>
      <c r="P465" t="str">
        <f t="shared" si="45"/>
        <v>Atwan</v>
      </c>
      <c r="Q465">
        <f t="shared" si="46"/>
        <v>1</v>
      </c>
      <c r="R465" t="str">
        <f t="shared" si="47"/>
        <v>Peltonen-Seitz-Saafan-Atwan</v>
      </c>
    </row>
    <row r="466" spans="1:18" x14ac:dyDescent="0.25">
      <c r="A466" s="1" t="s">
        <v>215</v>
      </c>
      <c r="B466" s="1">
        <v>264</v>
      </c>
      <c r="C466" s="1" t="s">
        <v>24</v>
      </c>
      <c r="D466" s="1">
        <v>1</v>
      </c>
      <c r="E466" s="1" t="s">
        <v>109</v>
      </c>
      <c r="F466" s="1">
        <v>21</v>
      </c>
      <c r="G466" s="1">
        <v>17</v>
      </c>
      <c r="H466" s="1" t="s">
        <v>135</v>
      </c>
      <c r="I466" s="1" t="s">
        <v>118</v>
      </c>
      <c r="J466" s="1" t="s">
        <v>144</v>
      </c>
      <c r="K466" s="1" t="s">
        <v>226</v>
      </c>
      <c r="L466" s="1" t="s">
        <v>355</v>
      </c>
      <c r="M466" t="str">
        <f t="shared" si="42"/>
        <v>Kauppinen</v>
      </c>
      <c r="N466" t="str">
        <f t="shared" si="43"/>
        <v>Modenius</v>
      </c>
      <c r="O466" t="str">
        <f t="shared" si="44"/>
        <v>Abdelmalek</v>
      </c>
      <c r="P466" t="str">
        <f t="shared" si="45"/>
        <v>Alabed</v>
      </c>
      <c r="Q466">
        <f t="shared" si="46"/>
        <v>1</v>
      </c>
      <c r="R466" t="str">
        <f t="shared" si="47"/>
        <v>Kauppinen-Modenius-Abdelmalek-Alabed</v>
      </c>
    </row>
    <row r="467" spans="1:18" x14ac:dyDescent="0.25">
      <c r="A467" s="1" t="s">
        <v>215</v>
      </c>
      <c r="B467" s="1">
        <v>273</v>
      </c>
      <c r="C467" s="1" t="s">
        <v>12</v>
      </c>
      <c r="D467" s="1">
        <v>1</v>
      </c>
      <c r="E467" s="1" t="s">
        <v>122</v>
      </c>
      <c r="F467" s="1">
        <v>1</v>
      </c>
      <c r="G467" s="1">
        <v>0</v>
      </c>
      <c r="H467" s="1" t="s">
        <v>134</v>
      </c>
      <c r="I467" s="1" t="s">
        <v>124</v>
      </c>
      <c r="J467" s="1" t="s">
        <v>136</v>
      </c>
      <c r="K467" s="1" t="s">
        <v>226</v>
      </c>
      <c r="L467" s="1" t="s">
        <v>355</v>
      </c>
      <c r="M467" t="str">
        <f t="shared" si="42"/>
        <v>Brach</v>
      </c>
      <c r="N467" t="str">
        <f t="shared" si="43"/>
        <v>Castin</v>
      </c>
      <c r="O467" t="str">
        <f t="shared" si="44"/>
        <v>Lam</v>
      </c>
      <c r="P467" t="str">
        <f t="shared" si="45"/>
        <v>Choi</v>
      </c>
      <c r="Q467">
        <f t="shared" si="46"/>
        <v>1</v>
      </c>
      <c r="R467" t="str">
        <f t="shared" si="47"/>
        <v>Brach-Castin-Lam-Choi</v>
      </c>
    </row>
    <row r="468" spans="1:18" x14ac:dyDescent="0.25">
      <c r="A468" s="1" t="s">
        <v>215</v>
      </c>
      <c r="B468" s="1">
        <v>277</v>
      </c>
      <c r="C468" s="1" t="s">
        <v>18</v>
      </c>
      <c r="D468" s="1">
        <v>2</v>
      </c>
      <c r="E468" s="1" t="s">
        <v>122</v>
      </c>
      <c r="F468" s="1">
        <v>1</v>
      </c>
      <c r="G468" s="1">
        <v>0</v>
      </c>
      <c r="H468" s="1" t="s">
        <v>134</v>
      </c>
      <c r="I468" s="1" t="s">
        <v>127</v>
      </c>
      <c r="J468" s="1" t="s">
        <v>428</v>
      </c>
      <c r="K468" s="1" t="s">
        <v>226</v>
      </c>
      <c r="L468" s="1" t="s">
        <v>355</v>
      </c>
      <c r="M468" t="str">
        <f t="shared" si="42"/>
        <v>Bermes</v>
      </c>
      <c r="N468" t="str">
        <f t="shared" si="43"/>
        <v>Ries</v>
      </c>
      <c r="O468" t="str">
        <f t="shared" si="44"/>
        <v>C. Fung</v>
      </c>
      <c r="P468" t="str">
        <f t="shared" si="45"/>
        <v>A. Wong</v>
      </c>
      <c r="Q468">
        <f t="shared" si="46"/>
        <v>1</v>
      </c>
      <c r="R468" t="str">
        <f t="shared" si="47"/>
        <v>Bermes-Ries-C. Fung-A. Wong</v>
      </c>
    </row>
    <row r="469" spans="1:18" x14ac:dyDescent="0.25">
      <c r="A469" s="1" t="s">
        <v>215</v>
      </c>
      <c r="B469" s="1">
        <v>279</v>
      </c>
      <c r="C469" s="1" t="s">
        <v>21</v>
      </c>
      <c r="D469" s="1">
        <v>1</v>
      </c>
      <c r="E469" s="1" t="s">
        <v>122</v>
      </c>
      <c r="F469" s="1">
        <v>1</v>
      </c>
      <c r="G469" s="1">
        <v>0</v>
      </c>
      <c r="H469" s="1" t="s">
        <v>134</v>
      </c>
      <c r="I469" s="1" t="s">
        <v>412</v>
      </c>
      <c r="J469" s="1" t="s">
        <v>404</v>
      </c>
      <c r="K469" s="1" t="s">
        <v>226</v>
      </c>
      <c r="L469" s="1" t="s">
        <v>355</v>
      </c>
      <c r="M469" t="str">
        <f t="shared" si="42"/>
        <v>Mertens</v>
      </c>
      <c r="N469" t="str">
        <f t="shared" si="43"/>
        <v>M. Thomé</v>
      </c>
      <c r="O469" t="str">
        <f t="shared" si="44"/>
        <v>Je. Cheung</v>
      </c>
      <c r="P469" t="str">
        <f t="shared" si="45"/>
        <v>Lau</v>
      </c>
      <c r="Q469">
        <f t="shared" si="46"/>
        <v>1</v>
      </c>
      <c r="R469" t="str">
        <f t="shared" si="47"/>
        <v>Mertens-M. Thomé-Je. Cheung-Lau</v>
      </c>
    </row>
    <row r="470" spans="1:18" x14ac:dyDescent="0.25">
      <c r="A470" s="1" t="s">
        <v>215</v>
      </c>
      <c r="B470" s="1">
        <v>76</v>
      </c>
      <c r="C470" s="1" t="s">
        <v>12</v>
      </c>
      <c r="D470" s="1">
        <v>2</v>
      </c>
      <c r="E470" s="1" t="s">
        <v>14</v>
      </c>
      <c r="F470" s="1">
        <v>21</v>
      </c>
      <c r="G470" s="1">
        <v>14</v>
      </c>
      <c r="H470" s="1" t="s">
        <v>44</v>
      </c>
      <c r="I470" s="1" t="s">
        <v>16</v>
      </c>
      <c r="J470" s="1" t="s">
        <v>46</v>
      </c>
      <c r="K470" s="1" t="s">
        <v>229</v>
      </c>
      <c r="L470" s="1" t="s">
        <v>355</v>
      </c>
      <c r="M470" t="str">
        <f t="shared" si="42"/>
        <v>Beeks</v>
      </c>
      <c r="N470" t="str">
        <f t="shared" si="43"/>
        <v>Elbourne</v>
      </c>
      <c r="O470" t="str">
        <f t="shared" si="44"/>
        <v>Stachiewicz</v>
      </c>
      <c r="P470" t="str">
        <f t="shared" si="45"/>
        <v>Łochowski</v>
      </c>
      <c r="Q470">
        <f t="shared" si="46"/>
        <v>1</v>
      </c>
      <c r="R470" t="str">
        <f t="shared" si="47"/>
        <v>Beeks-Elbourne-Stachiewicz-Łochowski</v>
      </c>
    </row>
    <row r="471" spans="1:18" x14ac:dyDescent="0.25">
      <c r="A471" s="1" t="s">
        <v>215</v>
      </c>
      <c r="B471" s="1">
        <v>78</v>
      </c>
      <c r="C471" s="1" t="s">
        <v>18</v>
      </c>
      <c r="D471" s="1">
        <v>1</v>
      </c>
      <c r="E471" s="1" t="s">
        <v>14</v>
      </c>
      <c r="F471" s="1">
        <v>21</v>
      </c>
      <c r="G471" s="1">
        <v>14</v>
      </c>
      <c r="H471" s="1" t="s">
        <v>44</v>
      </c>
      <c r="I471" s="1" t="s">
        <v>20</v>
      </c>
      <c r="J471" s="1" t="s">
        <v>49</v>
      </c>
      <c r="K471" s="1" t="s">
        <v>229</v>
      </c>
      <c r="L471" s="1" t="s">
        <v>355</v>
      </c>
      <c r="M471" t="str">
        <f t="shared" si="42"/>
        <v>Rowlands</v>
      </c>
      <c r="N471" t="str">
        <f t="shared" si="43"/>
        <v>Hutko</v>
      </c>
      <c r="O471" t="str">
        <f t="shared" si="44"/>
        <v>Dudzik</v>
      </c>
      <c r="P471" t="str">
        <f t="shared" si="45"/>
        <v>Cichocki</v>
      </c>
      <c r="Q471">
        <f t="shared" si="46"/>
        <v>1</v>
      </c>
      <c r="R471" t="str">
        <f t="shared" si="47"/>
        <v>Rowlands-Hutko-Dudzik-Cichocki</v>
      </c>
    </row>
    <row r="472" spans="1:18" x14ac:dyDescent="0.25">
      <c r="A472" s="1" t="s">
        <v>215</v>
      </c>
      <c r="B472" s="1">
        <v>81</v>
      </c>
      <c r="C472" s="1" t="s">
        <v>21</v>
      </c>
      <c r="D472" s="1">
        <v>1</v>
      </c>
      <c r="E472" s="1" t="s">
        <v>14</v>
      </c>
      <c r="F472" s="1">
        <v>21</v>
      </c>
      <c r="G472" s="1">
        <v>15</v>
      </c>
      <c r="H472" s="1" t="s">
        <v>44</v>
      </c>
      <c r="I472" s="1" t="s">
        <v>23</v>
      </c>
      <c r="J472" s="1" t="s">
        <v>51</v>
      </c>
      <c r="K472" s="1" t="s">
        <v>229</v>
      </c>
      <c r="L472" s="1" t="s">
        <v>355</v>
      </c>
      <c r="M472" t="str">
        <f t="shared" si="42"/>
        <v>Cook</v>
      </c>
      <c r="N472" t="str">
        <f t="shared" si="43"/>
        <v>Kerridge</v>
      </c>
      <c r="O472" t="str">
        <f t="shared" si="44"/>
        <v>Jordan</v>
      </c>
      <c r="P472" t="str">
        <f t="shared" si="45"/>
        <v>Ebert</v>
      </c>
      <c r="Q472">
        <f t="shared" si="46"/>
        <v>1</v>
      </c>
      <c r="R472" t="str">
        <f t="shared" si="47"/>
        <v>Cook-Kerridge-Jordan-Ebert</v>
      </c>
    </row>
    <row r="473" spans="1:18" x14ac:dyDescent="0.25">
      <c r="A473" s="1" t="s">
        <v>215</v>
      </c>
      <c r="B473" s="1">
        <v>84</v>
      </c>
      <c r="C473" s="1" t="s">
        <v>24</v>
      </c>
      <c r="D473" s="1">
        <v>1</v>
      </c>
      <c r="E473" s="1" t="s">
        <v>14</v>
      </c>
      <c r="F473" s="1">
        <v>21</v>
      </c>
      <c r="G473" s="1">
        <v>10</v>
      </c>
      <c r="H473" s="1" t="s">
        <v>44</v>
      </c>
      <c r="I473" s="1" t="s">
        <v>26</v>
      </c>
      <c r="J473" s="1" t="s">
        <v>53</v>
      </c>
      <c r="K473" s="1" t="s">
        <v>229</v>
      </c>
      <c r="L473" s="1" t="s">
        <v>355</v>
      </c>
      <c r="M473" t="str">
        <f t="shared" si="42"/>
        <v>Jackson</v>
      </c>
      <c r="N473" t="str">
        <f t="shared" si="43"/>
        <v>Douglas</v>
      </c>
      <c r="O473" t="str">
        <f t="shared" si="44"/>
        <v>Szymański</v>
      </c>
      <c r="P473" t="str">
        <f t="shared" si="45"/>
        <v>Urbański</v>
      </c>
      <c r="Q473">
        <f t="shared" si="46"/>
        <v>1</v>
      </c>
      <c r="R473" t="str">
        <f t="shared" si="47"/>
        <v>Jackson-Douglas-Szymański-Urbański</v>
      </c>
    </row>
    <row r="474" spans="1:18" x14ac:dyDescent="0.25">
      <c r="A474" s="1" t="s">
        <v>215</v>
      </c>
      <c r="B474" s="1">
        <v>87</v>
      </c>
      <c r="C474" s="1" t="s">
        <v>27</v>
      </c>
      <c r="D474" s="1">
        <v>1</v>
      </c>
      <c r="E474" s="1" t="s">
        <v>14</v>
      </c>
      <c r="F474" s="1">
        <v>21</v>
      </c>
      <c r="G474" s="1">
        <v>13</v>
      </c>
      <c r="H474" s="1" t="s">
        <v>44</v>
      </c>
      <c r="I474" s="1" t="s">
        <v>29</v>
      </c>
      <c r="J474" s="1" t="s">
        <v>55</v>
      </c>
      <c r="K474" s="1" t="s">
        <v>229</v>
      </c>
      <c r="L474" s="1" t="s">
        <v>355</v>
      </c>
      <c r="M474" t="str">
        <f t="shared" si="42"/>
        <v>Sayyed</v>
      </c>
      <c r="N474" t="str">
        <f t="shared" si="43"/>
        <v>Powell</v>
      </c>
      <c r="O474" t="str">
        <f t="shared" si="44"/>
        <v>Pętlak</v>
      </c>
      <c r="P474" t="str">
        <f t="shared" si="45"/>
        <v>Stachurski</v>
      </c>
      <c r="Q474">
        <f t="shared" si="46"/>
        <v>1</v>
      </c>
      <c r="R474" t="str">
        <f t="shared" si="47"/>
        <v>Sayyed-Powell-Pętlak-Stachurski</v>
      </c>
    </row>
    <row r="475" spans="1:18" x14ac:dyDescent="0.25">
      <c r="A475" s="1" t="s">
        <v>215</v>
      </c>
      <c r="B475" s="1">
        <v>93</v>
      </c>
      <c r="C475" s="1" t="s">
        <v>12</v>
      </c>
      <c r="D475" s="1">
        <v>1</v>
      </c>
      <c r="E475" s="1" t="s">
        <v>182</v>
      </c>
      <c r="F475" s="1">
        <v>1</v>
      </c>
      <c r="G475" s="1">
        <v>0</v>
      </c>
      <c r="H475" s="1" t="s">
        <v>31</v>
      </c>
      <c r="I475" s="1" t="s">
        <v>184</v>
      </c>
      <c r="J475" s="1" t="s">
        <v>420</v>
      </c>
      <c r="K475" s="1" t="s">
        <v>229</v>
      </c>
      <c r="L475" s="1" t="s">
        <v>355</v>
      </c>
      <c r="M475" t="str">
        <f t="shared" si="42"/>
        <v>Campos</v>
      </c>
      <c r="N475" t="str">
        <f t="shared" si="43"/>
        <v>Forschner</v>
      </c>
      <c r="O475" t="str">
        <f t="shared" si="44"/>
        <v>W. Chang</v>
      </c>
      <c r="P475" t="str">
        <f t="shared" si="45"/>
        <v>Chou</v>
      </c>
      <c r="Q475">
        <f t="shared" si="46"/>
        <v>1</v>
      </c>
      <c r="R475" t="str">
        <f t="shared" si="47"/>
        <v>Campos-Forschner-W. Chang-Chou</v>
      </c>
    </row>
    <row r="476" spans="1:18" x14ac:dyDescent="0.25">
      <c r="A476" s="1" t="s">
        <v>215</v>
      </c>
      <c r="B476" s="1">
        <v>97</v>
      </c>
      <c r="C476" s="1" t="s">
        <v>18</v>
      </c>
      <c r="D476" s="1">
        <v>2</v>
      </c>
      <c r="E476" s="1" t="s">
        <v>182</v>
      </c>
      <c r="F476" s="1">
        <v>1</v>
      </c>
      <c r="G476" s="1">
        <v>0</v>
      </c>
      <c r="H476" s="1" t="s">
        <v>31</v>
      </c>
      <c r="I476" s="1" t="s">
        <v>187</v>
      </c>
      <c r="J476" s="1" t="s">
        <v>422</v>
      </c>
      <c r="K476" s="1" t="s">
        <v>229</v>
      </c>
      <c r="L476" s="1" t="s">
        <v>355</v>
      </c>
      <c r="M476" t="str">
        <f t="shared" si="42"/>
        <v>E. Cuesta</v>
      </c>
      <c r="N476" t="str">
        <f t="shared" si="43"/>
        <v>G. Cuesta</v>
      </c>
      <c r="O476" t="str">
        <f t="shared" si="44"/>
        <v>R. Lee</v>
      </c>
      <c r="P476" t="str">
        <f t="shared" si="45"/>
        <v>P. Chen</v>
      </c>
      <c r="Q476">
        <f t="shared" si="46"/>
        <v>1</v>
      </c>
      <c r="R476" t="str">
        <f t="shared" si="47"/>
        <v>E. Cuesta-G. Cuesta-R. Lee-P. Chen</v>
      </c>
    </row>
    <row r="477" spans="1:18" x14ac:dyDescent="0.25">
      <c r="A477" s="1" t="s">
        <v>215</v>
      </c>
      <c r="B477" s="1">
        <v>99</v>
      </c>
      <c r="C477" s="1" t="s">
        <v>21</v>
      </c>
      <c r="D477" s="1">
        <v>1</v>
      </c>
      <c r="E477" s="1" t="s">
        <v>182</v>
      </c>
      <c r="F477" s="1">
        <v>1</v>
      </c>
      <c r="G477" s="1">
        <v>0</v>
      </c>
      <c r="H477" s="1" t="s">
        <v>31</v>
      </c>
      <c r="I477" s="1" t="s">
        <v>379</v>
      </c>
      <c r="J477" s="1" t="s">
        <v>411</v>
      </c>
      <c r="K477" s="1" t="s">
        <v>229</v>
      </c>
      <c r="L477" s="1" t="s">
        <v>355</v>
      </c>
      <c r="M477" t="str">
        <f t="shared" si="42"/>
        <v>Navio</v>
      </c>
      <c r="N477" t="str">
        <f t="shared" si="43"/>
        <v>M. Egea</v>
      </c>
      <c r="O477" t="str">
        <f t="shared" si="44"/>
        <v>Kao</v>
      </c>
      <c r="P477" t="str">
        <f t="shared" si="45"/>
        <v>Min. Chen</v>
      </c>
      <c r="Q477">
        <f t="shared" si="46"/>
        <v>1</v>
      </c>
      <c r="R477" t="str">
        <f t="shared" si="47"/>
        <v>Navio-M. Egea-Kao-Min. Chen</v>
      </c>
    </row>
    <row r="478" spans="1:18" x14ac:dyDescent="0.25">
      <c r="A478" s="1" t="s">
        <v>215</v>
      </c>
      <c r="B478" s="1">
        <v>103</v>
      </c>
      <c r="C478" s="1" t="s">
        <v>24</v>
      </c>
      <c r="D478" s="1">
        <v>2</v>
      </c>
      <c r="E478" s="1" t="s">
        <v>182</v>
      </c>
      <c r="F478" s="1">
        <v>1</v>
      </c>
      <c r="G478" s="1">
        <v>0</v>
      </c>
      <c r="H478" s="1" t="s">
        <v>31</v>
      </c>
      <c r="I478" s="1" t="s">
        <v>380</v>
      </c>
      <c r="J478" s="1" t="s">
        <v>361</v>
      </c>
      <c r="K478" s="1" t="s">
        <v>229</v>
      </c>
      <c r="L478" s="1" t="s">
        <v>355</v>
      </c>
      <c r="M478" t="str">
        <f t="shared" si="42"/>
        <v>Luna</v>
      </c>
      <c r="N478" t="str">
        <f t="shared" si="43"/>
        <v>D. Egea</v>
      </c>
      <c r="O478" t="str">
        <f t="shared" si="44"/>
        <v>Ma</v>
      </c>
      <c r="P478" t="str">
        <f t="shared" si="45"/>
        <v>Hu</v>
      </c>
      <c r="Q478">
        <f t="shared" si="46"/>
        <v>1</v>
      </c>
      <c r="R478" t="str">
        <f t="shared" si="47"/>
        <v>Luna-D. Egea-Ma-Hu</v>
      </c>
    </row>
    <row r="479" spans="1:18" x14ac:dyDescent="0.25">
      <c r="A479" s="1" t="s">
        <v>215</v>
      </c>
      <c r="B479" s="1">
        <v>105</v>
      </c>
      <c r="C479" s="1" t="s">
        <v>27</v>
      </c>
      <c r="D479" s="1">
        <v>1</v>
      </c>
      <c r="E479" s="1" t="s">
        <v>182</v>
      </c>
      <c r="F479" s="1">
        <v>0</v>
      </c>
      <c r="G479" s="1">
        <v>1</v>
      </c>
      <c r="H479" s="1" t="s">
        <v>31</v>
      </c>
      <c r="I479" s="1" t="s">
        <v>193</v>
      </c>
      <c r="J479" s="1" t="s">
        <v>415</v>
      </c>
      <c r="K479" s="1" t="s">
        <v>229</v>
      </c>
      <c r="L479" s="1" t="s">
        <v>355</v>
      </c>
      <c r="M479" t="str">
        <f t="shared" si="42"/>
        <v>Muratel</v>
      </c>
      <c r="N479" t="str">
        <f t="shared" si="43"/>
        <v>Gonzalez</v>
      </c>
      <c r="O479" t="str">
        <f t="shared" si="44"/>
        <v>Peng</v>
      </c>
      <c r="P479" t="str">
        <f t="shared" si="45"/>
        <v>W. Kuo</v>
      </c>
      <c r="Q479">
        <f t="shared" si="46"/>
        <v>0</v>
      </c>
      <c r="R479" t="str">
        <f t="shared" si="47"/>
        <v>Muratel-Gonzalez-Peng-W. Kuo</v>
      </c>
    </row>
    <row r="480" spans="1:18" x14ac:dyDescent="0.25">
      <c r="A480" s="1" t="s">
        <v>215</v>
      </c>
      <c r="B480" s="1">
        <v>111</v>
      </c>
      <c r="C480" s="1" t="s">
        <v>12</v>
      </c>
      <c r="D480" s="1">
        <v>1</v>
      </c>
      <c r="E480" s="1" t="s">
        <v>13</v>
      </c>
      <c r="F480" s="1">
        <v>21</v>
      </c>
      <c r="G480" s="1">
        <v>12</v>
      </c>
      <c r="H480" s="1" t="s">
        <v>43</v>
      </c>
      <c r="I480" s="1" t="s">
        <v>408</v>
      </c>
      <c r="J480" s="1" t="s">
        <v>45</v>
      </c>
      <c r="K480" s="1" t="s">
        <v>229</v>
      </c>
      <c r="L480" s="1" t="s">
        <v>355</v>
      </c>
      <c r="M480" t="str">
        <f t="shared" si="42"/>
        <v>Kaldor</v>
      </c>
      <c r="N480" t="str">
        <f t="shared" si="43"/>
        <v>J. Read</v>
      </c>
      <c r="O480" t="str">
        <f t="shared" si="44"/>
        <v>Cabala</v>
      </c>
      <c r="P480" t="str">
        <f t="shared" si="45"/>
        <v>Nerad</v>
      </c>
      <c r="Q480">
        <f t="shared" si="46"/>
        <v>1</v>
      </c>
      <c r="R480" t="str">
        <f t="shared" si="47"/>
        <v>Kaldor-J. Read-Cabala-Nerad</v>
      </c>
    </row>
    <row r="481" spans="1:18" x14ac:dyDescent="0.25">
      <c r="A481" s="1" t="s">
        <v>215</v>
      </c>
      <c r="B481" s="1">
        <v>114</v>
      </c>
      <c r="C481" s="1" t="s">
        <v>18</v>
      </c>
      <c r="D481" s="1">
        <v>1</v>
      </c>
      <c r="E481" s="1" t="s">
        <v>13</v>
      </c>
      <c r="F481" s="1">
        <v>21</v>
      </c>
      <c r="G481" s="1">
        <v>17</v>
      </c>
      <c r="H481" s="1" t="s">
        <v>43</v>
      </c>
      <c r="I481" s="1" t="s">
        <v>19</v>
      </c>
      <c r="J481" s="1" t="s">
        <v>48</v>
      </c>
      <c r="K481" s="1" t="s">
        <v>229</v>
      </c>
      <c r="L481" s="1" t="s">
        <v>355</v>
      </c>
      <c r="M481" t="str">
        <f t="shared" si="42"/>
        <v>Geyer</v>
      </c>
      <c r="N481" t="str">
        <f t="shared" si="43"/>
        <v>Noble</v>
      </c>
      <c r="O481" t="str">
        <f t="shared" si="44"/>
        <v>Mezzey</v>
      </c>
      <c r="P481" t="str">
        <f t="shared" si="45"/>
        <v>Visek</v>
      </c>
      <c r="Q481">
        <f t="shared" si="46"/>
        <v>1</v>
      </c>
      <c r="R481" t="str">
        <f t="shared" si="47"/>
        <v>Geyer-Noble-Mezzey-Visek</v>
      </c>
    </row>
    <row r="482" spans="1:18" x14ac:dyDescent="0.25">
      <c r="A482" s="1" t="s">
        <v>215</v>
      </c>
      <c r="B482" s="1">
        <v>117</v>
      </c>
      <c r="C482" s="1" t="s">
        <v>21</v>
      </c>
      <c r="D482" s="1">
        <v>1</v>
      </c>
      <c r="E482" s="1" t="s">
        <v>13</v>
      </c>
      <c r="F482" s="1">
        <v>21</v>
      </c>
      <c r="G482" s="1">
        <v>8</v>
      </c>
      <c r="H482" s="1" t="s">
        <v>43</v>
      </c>
      <c r="I482" s="1" t="s">
        <v>427</v>
      </c>
      <c r="J482" s="1" t="s">
        <v>50</v>
      </c>
      <c r="K482" s="1" t="s">
        <v>229</v>
      </c>
      <c r="L482" s="1" t="s">
        <v>355</v>
      </c>
      <c r="M482" t="str">
        <f t="shared" si="42"/>
        <v>Briant</v>
      </c>
      <c r="N482" t="str">
        <f t="shared" si="43"/>
        <v>N. Wong</v>
      </c>
      <c r="O482" t="str">
        <f t="shared" si="44"/>
        <v>Grohman</v>
      </c>
      <c r="P482" t="str">
        <f t="shared" si="45"/>
        <v>Soukup</v>
      </c>
      <c r="Q482">
        <f t="shared" si="46"/>
        <v>1</v>
      </c>
      <c r="R482" t="str">
        <f t="shared" si="47"/>
        <v>Briant-N. Wong-Grohman-Soukup</v>
      </c>
    </row>
    <row r="483" spans="1:18" x14ac:dyDescent="0.25">
      <c r="A483" s="1" t="s">
        <v>215</v>
      </c>
      <c r="B483" s="1">
        <v>120</v>
      </c>
      <c r="C483" s="1" t="s">
        <v>24</v>
      </c>
      <c r="D483" s="1">
        <v>1</v>
      </c>
      <c r="E483" s="1" t="s">
        <v>13</v>
      </c>
      <c r="F483" s="1">
        <v>21</v>
      </c>
      <c r="G483" s="1">
        <v>13</v>
      </c>
      <c r="H483" s="1" t="s">
        <v>43</v>
      </c>
      <c r="I483" s="1" t="s">
        <v>387</v>
      </c>
      <c r="J483" s="1" t="s">
        <v>52</v>
      </c>
      <c r="K483" s="1" t="s">
        <v>229</v>
      </c>
      <c r="L483" s="1" t="s">
        <v>355</v>
      </c>
      <c r="M483" t="str">
        <f t="shared" si="42"/>
        <v>Al. Capp</v>
      </c>
      <c r="N483" t="str">
        <f t="shared" si="43"/>
        <v>Ragg</v>
      </c>
      <c r="O483" t="str">
        <f t="shared" si="44"/>
        <v>Daling</v>
      </c>
      <c r="P483" t="str">
        <f t="shared" si="45"/>
        <v>Olsansky</v>
      </c>
      <c r="Q483">
        <f t="shared" si="46"/>
        <v>1</v>
      </c>
      <c r="R483" t="str">
        <f t="shared" si="47"/>
        <v>Al. Capp-Ragg-Daling-Olsansky</v>
      </c>
    </row>
    <row r="484" spans="1:18" x14ac:dyDescent="0.25">
      <c r="A484" s="1" t="s">
        <v>215</v>
      </c>
      <c r="B484" s="1">
        <v>123</v>
      </c>
      <c r="C484" s="1" t="s">
        <v>27</v>
      </c>
      <c r="D484" s="1">
        <v>1</v>
      </c>
      <c r="E484" s="1" t="s">
        <v>13</v>
      </c>
      <c r="F484" s="1">
        <v>21</v>
      </c>
      <c r="G484" s="1">
        <v>11</v>
      </c>
      <c r="H484" s="1" t="s">
        <v>43</v>
      </c>
      <c r="I484" s="1" t="s">
        <v>28</v>
      </c>
      <c r="J484" s="1" t="s">
        <v>54</v>
      </c>
      <c r="K484" s="1" t="s">
        <v>229</v>
      </c>
      <c r="L484" s="1" t="s">
        <v>355</v>
      </c>
      <c r="M484" t="str">
        <f t="shared" si="42"/>
        <v>Nirens</v>
      </c>
      <c r="N484" t="str">
        <f t="shared" si="43"/>
        <v>Wise</v>
      </c>
      <c r="O484" t="str">
        <f t="shared" si="44"/>
        <v>Kovarik</v>
      </c>
      <c r="P484" t="str">
        <f t="shared" si="45"/>
        <v>Macanek</v>
      </c>
      <c r="Q484">
        <f t="shared" si="46"/>
        <v>1</v>
      </c>
      <c r="R484" t="str">
        <f t="shared" si="47"/>
        <v>Nirens-Wise-Kovarik-Macanek</v>
      </c>
    </row>
    <row r="485" spans="1:18" x14ac:dyDescent="0.25">
      <c r="A485" s="1" t="s">
        <v>215</v>
      </c>
      <c r="B485" s="1">
        <v>129</v>
      </c>
      <c r="C485" s="1" t="s">
        <v>12</v>
      </c>
      <c r="D485" s="1">
        <v>1</v>
      </c>
      <c r="E485" s="1" t="s">
        <v>30</v>
      </c>
      <c r="F485" s="1">
        <v>13</v>
      </c>
      <c r="G485" s="1">
        <v>21</v>
      </c>
      <c r="H485" s="1" t="s">
        <v>181</v>
      </c>
      <c r="I485" s="1" t="s">
        <v>32</v>
      </c>
      <c r="J485" s="1" t="s">
        <v>183</v>
      </c>
      <c r="K485" s="1" t="s">
        <v>229</v>
      </c>
      <c r="L485" s="1" t="s">
        <v>355</v>
      </c>
      <c r="M485" t="str">
        <f t="shared" si="42"/>
        <v>Vandaele</v>
      </c>
      <c r="N485" t="str">
        <f t="shared" si="43"/>
        <v>Van den Bergh</v>
      </c>
      <c r="O485" t="str">
        <f t="shared" si="44"/>
        <v>Christensen</v>
      </c>
      <c r="P485" t="str">
        <f t="shared" si="45"/>
        <v>Søvndal</v>
      </c>
      <c r="Q485">
        <f t="shared" si="46"/>
        <v>0</v>
      </c>
      <c r="R485" t="str">
        <f t="shared" si="47"/>
        <v>Vandaele-Van den Bergh-Christensen-Søvndal</v>
      </c>
    </row>
    <row r="486" spans="1:18" x14ac:dyDescent="0.25">
      <c r="A486" s="1" t="s">
        <v>215</v>
      </c>
      <c r="B486" s="1">
        <v>132</v>
      </c>
      <c r="C486" s="1" t="s">
        <v>18</v>
      </c>
      <c r="D486" s="1">
        <v>1</v>
      </c>
      <c r="E486" s="1" t="s">
        <v>30</v>
      </c>
      <c r="F486" s="1">
        <v>17</v>
      </c>
      <c r="G486" s="1">
        <v>16</v>
      </c>
      <c r="H486" s="1" t="s">
        <v>181</v>
      </c>
      <c r="I486" s="1" t="s">
        <v>35</v>
      </c>
      <c r="J486" s="1" t="s">
        <v>186</v>
      </c>
      <c r="K486" s="1" t="s">
        <v>229</v>
      </c>
      <c r="L486" s="1" t="s">
        <v>355</v>
      </c>
      <c r="M486" t="str">
        <f t="shared" si="42"/>
        <v>Theunis</v>
      </c>
      <c r="N486" t="str">
        <f t="shared" si="43"/>
        <v>Declercq</v>
      </c>
      <c r="O486" t="str">
        <f t="shared" si="44"/>
        <v>Norlyk</v>
      </c>
      <c r="P486" t="str">
        <f t="shared" si="45"/>
        <v>Linnet</v>
      </c>
      <c r="Q486">
        <f t="shared" si="46"/>
        <v>1</v>
      </c>
      <c r="R486" t="str">
        <f t="shared" si="47"/>
        <v>Theunis-Declercq-Norlyk-Linnet</v>
      </c>
    </row>
    <row r="487" spans="1:18" x14ac:dyDescent="0.25">
      <c r="A487" s="1" t="s">
        <v>215</v>
      </c>
      <c r="B487" s="1">
        <v>135</v>
      </c>
      <c r="C487" s="1" t="s">
        <v>21</v>
      </c>
      <c r="D487" s="1">
        <v>1</v>
      </c>
      <c r="E487" s="1" t="s">
        <v>30</v>
      </c>
      <c r="F487" s="1">
        <v>17</v>
      </c>
      <c r="G487" s="1">
        <v>21</v>
      </c>
      <c r="H487" s="1" t="s">
        <v>181</v>
      </c>
      <c r="I487" s="1" t="s">
        <v>409</v>
      </c>
      <c r="J487" s="1" t="s">
        <v>188</v>
      </c>
      <c r="K487" s="1" t="s">
        <v>229</v>
      </c>
      <c r="L487" s="1" t="s">
        <v>355</v>
      </c>
      <c r="M487" t="str">
        <f t="shared" si="42"/>
        <v>Jor. Neyens</v>
      </c>
      <c r="N487" t="str">
        <f t="shared" si="43"/>
        <v>Vlassaks</v>
      </c>
      <c r="O487" t="str">
        <f t="shared" si="44"/>
        <v>Klinkby</v>
      </c>
      <c r="P487" t="str">
        <f t="shared" si="45"/>
        <v>Hammar</v>
      </c>
      <c r="Q487">
        <f t="shared" si="46"/>
        <v>0</v>
      </c>
      <c r="R487" t="str">
        <f t="shared" si="47"/>
        <v>Jor. Neyens-Vlassaks-Klinkby-Hammar</v>
      </c>
    </row>
    <row r="488" spans="1:18" x14ac:dyDescent="0.25">
      <c r="A488" s="1" t="s">
        <v>215</v>
      </c>
      <c r="B488" s="1">
        <v>138</v>
      </c>
      <c r="C488" s="1" t="s">
        <v>24</v>
      </c>
      <c r="D488" s="1">
        <v>1</v>
      </c>
      <c r="E488" s="1" t="s">
        <v>30</v>
      </c>
      <c r="F488" s="1">
        <v>13</v>
      </c>
      <c r="G488" s="1">
        <v>21</v>
      </c>
      <c r="H488" s="1" t="s">
        <v>181</v>
      </c>
      <c r="I488" s="1" t="s">
        <v>39</v>
      </c>
      <c r="J488" s="1" t="s">
        <v>190</v>
      </c>
      <c r="K488" s="1" t="s">
        <v>229</v>
      </c>
      <c r="L488" s="1" t="s">
        <v>355</v>
      </c>
      <c r="M488" t="str">
        <f t="shared" si="42"/>
        <v>Vandamme</v>
      </c>
      <c r="N488" t="str">
        <f t="shared" si="43"/>
        <v>Hublet</v>
      </c>
      <c r="O488" t="str">
        <f t="shared" si="44"/>
        <v>Knudsen</v>
      </c>
      <c r="P488" t="str">
        <f t="shared" si="45"/>
        <v>Damgaard</v>
      </c>
      <c r="Q488">
        <f t="shared" si="46"/>
        <v>0</v>
      </c>
      <c r="R488" t="str">
        <f t="shared" si="47"/>
        <v>Vandamme-Hublet-Knudsen-Damgaard</v>
      </c>
    </row>
    <row r="489" spans="1:18" x14ac:dyDescent="0.25">
      <c r="A489" s="1" t="s">
        <v>215</v>
      </c>
      <c r="B489" s="1">
        <v>141</v>
      </c>
      <c r="C489" s="1" t="s">
        <v>27</v>
      </c>
      <c r="D489" s="1">
        <v>1</v>
      </c>
      <c r="E489" s="1" t="s">
        <v>30</v>
      </c>
      <c r="F489" s="1">
        <v>21</v>
      </c>
      <c r="G489" s="1">
        <v>16</v>
      </c>
      <c r="H489" s="1" t="s">
        <v>181</v>
      </c>
      <c r="I489" s="1" t="s">
        <v>41</v>
      </c>
      <c r="J489" s="1" t="s">
        <v>396</v>
      </c>
      <c r="K489" s="1" t="s">
        <v>229</v>
      </c>
      <c r="L489" s="1" t="s">
        <v>355</v>
      </c>
      <c r="M489" t="str">
        <f t="shared" si="42"/>
        <v>M. Paes</v>
      </c>
      <c r="N489" t="str">
        <f t="shared" si="43"/>
        <v>D. Paes</v>
      </c>
      <c r="O489" t="str">
        <f t="shared" si="44"/>
        <v>Høy</v>
      </c>
      <c r="P489" t="str">
        <f t="shared" si="45"/>
        <v>J. Nielsen</v>
      </c>
      <c r="Q489">
        <f t="shared" si="46"/>
        <v>1</v>
      </c>
      <c r="R489" t="str">
        <f t="shared" si="47"/>
        <v>M. Paes-D. Paes-Høy-J. Nielsen</v>
      </c>
    </row>
    <row r="490" spans="1:18" x14ac:dyDescent="0.25">
      <c r="A490" s="1" t="s">
        <v>217</v>
      </c>
      <c r="B490" s="1">
        <v>3</v>
      </c>
      <c r="C490" s="1" t="s">
        <v>12</v>
      </c>
      <c r="D490" s="1">
        <v>1</v>
      </c>
      <c r="E490" s="1" t="s">
        <v>194</v>
      </c>
      <c r="F490" s="1">
        <v>22</v>
      </c>
      <c r="G490" s="1">
        <v>20</v>
      </c>
      <c r="H490" s="1" t="s">
        <v>147</v>
      </c>
      <c r="I490" s="1" t="s">
        <v>196</v>
      </c>
      <c r="J490" s="1" t="s">
        <v>149</v>
      </c>
      <c r="K490" s="1" t="s">
        <v>218</v>
      </c>
      <c r="L490" s="1" t="s">
        <v>355</v>
      </c>
      <c r="M490" t="str">
        <f t="shared" si="42"/>
        <v>Bosak</v>
      </c>
      <c r="N490" t="str">
        <f t="shared" si="43"/>
        <v>Cote</v>
      </c>
      <c r="O490" t="str">
        <f t="shared" si="44"/>
        <v>Felix</v>
      </c>
      <c r="P490" t="str">
        <f t="shared" si="45"/>
        <v>Baumeler</v>
      </c>
      <c r="Q490">
        <f t="shared" si="46"/>
        <v>1</v>
      </c>
      <c r="R490" t="str">
        <f t="shared" si="47"/>
        <v>Bosak-Cote-Felix-Baumeler</v>
      </c>
    </row>
    <row r="491" spans="1:18" x14ac:dyDescent="0.25">
      <c r="A491" s="1" t="s">
        <v>217</v>
      </c>
      <c r="B491" s="1">
        <v>4</v>
      </c>
      <c r="C491" s="1" t="s">
        <v>12</v>
      </c>
      <c r="D491" s="1">
        <v>2</v>
      </c>
      <c r="E491" s="1" t="s">
        <v>194</v>
      </c>
      <c r="F491" s="1">
        <v>29</v>
      </c>
      <c r="G491" s="1">
        <v>27</v>
      </c>
      <c r="H491" s="1" t="s">
        <v>147</v>
      </c>
      <c r="I491" s="1" t="s">
        <v>196</v>
      </c>
      <c r="J491" s="1" t="s">
        <v>149</v>
      </c>
      <c r="K491" s="1" t="s">
        <v>218</v>
      </c>
      <c r="L491" s="1" t="s">
        <v>355</v>
      </c>
      <c r="M491" t="str">
        <f t="shared" si="42"/>
        <v>Bosak</v>
      </c>
      <c r="N491" t="str">
        <f t="shared" si="43"/>
        <v>Cote</v>
      </c>
      <c r="O491" t="str">
        <f t="shared" si="44"/>
        <v>Felix</v>
      </c>
      <c r="P491" t="str">
        <f t="shared" si="45"/>
        <v>Baumeler</v>
      </c>
      <c r="Q491">
        <f t="shared" si="46"/>
        <v>1</v>
      </c>
      <c r="R491" t="str">
        <f t="shared" si="47"/>
        <v>Bosak-Cote-Felix-Baumeler</v>
      </c>
    </row>
    <row r="492" spans="1:18" x14ac:dyDescent="0.25">
      <c r="A492" s="1" t="s">
        <v>217</v>
      </c>
      <c r="B492" s="1">
        <v>6</v>
      </c>
      <c r="C492" s="1" t="s">
        <v>18</v>
      </c>
      <c r="D492" s="1">
        <v>1</v>
      </c>
      <c r="E492" s="1" t="s">
        <v>194</v>
      </c>
      <c r="F492" s="1">
        <v>21</v>
      </c>
      <c r="G492" s="1">
        <v>16</v>
      </c>
      <c r="H492" s="1" t="s">
        <v>147</v>
      </c>
      <c r="I492" s="1" t="s">
        <v>199</v>
      </c>
      <c r="J492" s="1" t="s">
        <v>152</v>
      </c>
      <c r="K492" s="1" t="s">
        <v>218</v>
      </c>
      <c r="L492" s="1" t="s">
        <v>355</v>
      </c>
      <c r="M492" t="str">
        <f t="shared" si="42"/>
        <v>Dean</v>
      </c>
      <c r="N492" t="str">
        <f t="shared" si="43"/>
        <v>Gagnon</v>
      </c>
      <c r="O492" t="str">
        <f t="shared" si="44"/>
        <v>Rimle</v>
      </c>
      <c r="P492" t="str">
        <f t="shared" si="45"/>
        <v>Peter</v>
      </c>
      <c r="Q492">
        <f t="shared" si="46"/>
        <v>1</v>
      </c>
      <c r="R492" t="str">
        <f t="shared" si="47"/>
        <v>Dean-Gagnon-Rimle-Peter</v>
      </c>
    </row>
    <row r="493" spans="1:18" x14ac:dyDescent="0.25">
      <c r="A493" s="1" t="s">
        <v>217</v>
      </c>
      <c r="B493" s="1">
        <v>7</v>
      </c>
      <c r="C493" s="1" t="s">
        <v>18</v>
      </c>
      <c r="D493" s="1">
        <v>2</v>
      </c>
      <c r="E493" s="1" t="s">
        <v>194</v>
      </c>
      <c r="F493" s="1">
        <v>21</v>
      </c>
      <c r="G493" s="1">
        <v>15</v>
      </c>
      <c r="H493" s="1" t="s">
        <v>147</v>
      </c>
      <c r="I493" s="1" t="s">
        <v>199</v>
      </c>
      <c r="J493" s="1" t="s">
        <v>152</v>
      </c>
      <c r="K493" s="1" t="s">
        <v>218</v>
      </c>
      <c r="L493" s="1" t="s">
        <v>355</v>
      </c>
      <c r="M493" t="str">
        <f t="shared" si="42"/>
        <v>Dean</v>
      </c>
      <c r="N493" t="str">
        <f t="shared" si="43"/>
        <v>Gagnon</v>
      </c>
      <c r="O493" t="str">
        <f t="shared" si="44"/>
        <v>Rimle</v>
      </c>
      <c r="P493" t="str">
        <f t="shared" si="45"/>
        <v>Peter</v>
      </c>
      <c r="Q493">
        <f t="shared" si="46"/>
        <v>1</v>
      </c>
      <c r="R493" t="str">
        <f t="shared" si="47"/>
        <v>Dean-Gagnon-Rimle-Peter</v>
      </c>
    </row>
    <row r="494" spans="1:18" x14ac:dyDescent="0.25">
      <c r="A494" s="1" t="s">
        <v>217</v>
      </c>
      <c r="B494" s="1">
        <v>9</v>
      </c>
      <c r="C494" s="1" t="s">
        <v>21</v>
      </c>
      <c r="D494" s="1">
        <v>1</v>
      </c>
      <c r="E494" s="1" t="s">
        <v>194</v>
      </c>
      <c r="F494" s="1">
        <v>21</v>
      </c>
      <c r="G494" s="1">
        <v>11</v>
      </c>
      <c r="H494" s="1" t="s">
        <v>147</v>
      </c>
      <c r="I494" s="1" t="s">
        <v>392</v>
      </c>
      <c r="J494" s="1" t="s">
        <v>154</v>
      </c>
      <c r="K494" s="1" t="s">
        <v>218</v>
      </c>
      <c r="L494" s="1" t="s">
        <v>355</v>
      </c>
      <c r="M494" t="str">
        <f t="shared" si="42"/>
        <v>Mathieu</v>
      </c>
      <c r="N494" t="str">
        <f t="shared" si="43"/>
        <v>E. Leung</v>
      </c>
      <c r="O494" t="str">
        <f t="shared" si="44"/>
        <v>Pasetti</v>
      </c>
      <c r="P494" t="str">
        <f t="shared" si="45"/>
        <v>Widin</v>
      </c>
      <c r="Q494">
        <f t="shared" si="46"/>
        <v>1</v>
      </c>
      <c r="R494" t="str">
        <f t="shared" si="47"/>
        <v>Mathieu-E. Leung-Pasetti-Widin</v>
      </c>
    </row>
    <row r="495" spans="1:18" x14ac:dyDescent="0.25">
      <c r="A495" s="1" t="s">
        <v>217</v>
      </c>
      <c r="B495" s="1">
        <v>10</v>
      </c>
      <c r="C495" s="1" t="s">
        <v>21</v>
      </c>
      <c r="D495" s="1">
        <v>2</v>
      </c>
      <c r="E495" s="1" t="s">
        <v>194</v>
      </c>
      <c r="F495" s="1">
        <v>21</v>
      </c>
      <c r="G495" s="1">
        <v>13</v>
      </c>
      <c r="H495" s="1" t="s">
        <v>147</v>
      </c>
      <c r="I495" s="1" t="s">
        <v>392</v>
      </c>
      <c r="J495" s="1" t="s">
        <v>154</v>
      </c>
      <c r="K495" s="1" t="s">
        <v>218</v>
      </c>
      <c r="L495" s="1" t="s">
        <v>355</v>
      </c>
      <c r="M495" t="str">
        <f t="shared" si="42"/>
        <v>Mathieu</v>
      </c>
      <c r="N495" t="str">
        <f t="shared" si="43"/>
        <v>E. Leung</v>
      </c>
      <c r="O495" t="str">
        <f t="shared" si="44"/>
        <v>Pasetti</v>
      </c>
      <c r="P495" t="str">
        <f t="shared" si="45"/>
        <v>Widin</v>
      </c>
      <c r="Q495">
        <f t="shared" si="46"/>
        <v>1</v>
      </c>
      <c r="R495" t="str">
        <f t="shared" si="47"/>
        <v>Mathieu-E. Leung-Pasetti-Widin</v>
      </c>
    </row>
    <row r="496" spans="1:18" x14ac:dyDescent="0.25">
      <c r="A496" s="1" t="s">
        <v>217</v>
      </c>
      <c r="B496" s="1">
        <v>12</v>
      </c>
      <c r="C496" s="1" t="s">
        <v>24</v>
      </c>
      <c r="D496" s="1">
        <v>1</v>
      </c>
      <c r="E496" s="1" t="s">
        <v>194</v>
      </c>
      <c r="F496" s="1">
        <v>21</v>
      </c>
      <c r="G496" s="1">
        <v>14</v>
      </c>
      <c r="H496" s="1" t="s">
        <v>147</v>
      </c>
      <c r="I496" s="1" t="s">
        <v>203</v>
      </c>
      <c r="J496" s="1" t="s">
        <v>385</v>
      </c>
      <c r="K496" s="1" t="s">
        <v>218</v>
      </c>
      <c r="L496" s="1" t="s">
        <v>355</v>
      </c>
      <c r="M496" t="str">
        <f t="shared" si="42"/>
        <v>Prince</v>
      </c>
      <c r="N496" t="str">
        <f t="shared" si="43"/>
        <v>Brown</v>
      </c>
      <c r="O496" t="str">
        <f t="shared" si="44"/>
        <v>J. Eigenmann</v>
      </c>
      <c r="P496" t="str">
        <f t="shared" si="45"/>
        <v>Tognini</v>
      </c>
      <c r="Q496">
        <f t="shared" si="46"/>
        <v>1</v>
      </c>
      <c r="R496" t="str">
        <f t="shared" si="47"/>
        <v>Prince-Brown-J. Eigenmann-Tognini</v>
      </c>
    </row>
    <row r="497" spans="1:18" x14ac:dyDescent="0.25">
      <c r="A497" s="1" t="s">
        <v>217</v>
      </c>
      <c r="B497" s="1">
        <v>13</v>
      </c>
      <c r="C497" s="1" t="s">
        <v>24</v>
      </c>
      <c r="D497" s="1">
        <v>2</v>
      </c>
      <c r="E497" s="1" t="s">
        <v>194</v>
      </c>
      <c r="F497" s="1">
        <v>21</v>
      </c>
      <c r="G497" s="1">
        <v>12</v>
      </c>
      <c r="H497" s="1" t="s">
        <v>147</v>
      </c>
      <c r="I497" s="1" t="s">
        <v>203</v>
      </c>
      <c r="J497" s="1" t="s">
        <v>385</v>
      </c>
      <c r="K497" s="1" t="s">
        <v>218</v>
      </c>
      <c r="L497" s="1" t="s">
        <v>355</v>
      </c>
      <c r="M497" t="str">
        <f t="shared" si="42"/>
        <v>Prince</v>
      </c>
      <c r="N497" t="str">
        <f t="shared" si="43"/>
        <v>Brown</v>
      </c>
      <c r="O497" t="str">
        <f t="shared" si="44"/>
        <v>J. Eigenmann</v>
      </c>
      <c r="P497" t="str">
        <f t="shared" si="45"/>
        <v>Tognini</v>
      </c>
      <c r="Q497">
        <f t="shared" si="46"/>
        <v>1</v>
      </c>
      <c r="R497" t="str">
        <f t="shared" si="47"/>
        <v>Prince-Brown-J. Eigenmann-Tognini</v>
      </c>
    </row>
    <row r="498" spans="1:18" x14ac:dyDescent="0.25">
      <c r="A498" s="1" t="s">
        <v>217</v>
      </c>
      <c r="B498" s="1">
        <v>15</v>
      </c>
      <c r="C498" s="1" t="s">
        <v>27</v>
      </c>
      <c r="D498" s="1">
        <v>1</v>
      </c>
      <c r="E498" s="1" t="s">
        <v>194</v>
      </c>
      <c r="F498" s="1">
        <v>21</v>
      </c>
      <c r="G498" s="1">
        <v>11</v>
      </c>
      <c r="H498" s="1" t="s">
        <v>147</v>
      </c>
      <c r="I498" s="1" t="s">
        <v>205</v>
      </c>
      <c r="J498" s="1" t="s">
        <v>212</v>
      </c>
      <c r="K498" s="1" t="s">
        <v>218</v>
      </c>
      <c r="L498" s="1" t="s">
        <v>355</v>
      </c>
      <c r="M498" t="str">
        <f t="shared" si="42"/>
        <v>Babin</v>
      </c>
      <c r="N498" t="str">
        <f t="shared" si="43"/>
        <v>Laurin</v>
      </c>
      <c r="O498" t="str">
        <f t="shared" si="44"/>
        <v>Rieser</v>
      </c>
      <c r="P498" t="str">
        <f t="shared" si="45"/>
        <v>Engel</v>
      </c>
      <c r="Q498">
        <f t="shared" si="46"/>
        <v>1</v>
      </c>
      <c r="R498" t="str">
        <f t="shared" si="47"/>
        <v>Babin-Laurin-Rieser-Engel</v>
      </c>
    </row>
    <row r="499" spans="1:18" x14ac:dyDescent="0.25">
      <c r="A499" s="1" t="s">
        <v>217</v>
      </c>
      <c r="B499" s="1">
        <v>16</v>
      </c>
      <c r="C499" s="1" t="s">
        <v>27</v>
      </c>
      <c r="D499" s="1">
        <v>2</v>
      </c>
      <c r="E499" s="1" t="s">
        <v>194</v>
      </c>
      <c r="F499" s="1">
        <v>21</v>
      </c>
      <c r="G499" s="1">
        <v>15</v>
      </c>
      <c r="H499" s="1" t="s">
        <v>147</v>
      </c>
      <c r="I499" s="1" t="s">
        <v>205</v>
      </c>
      <c r="J499" s="1" t="s">
        <v>212</v>
      </c>
      <c r="K499" s="1" t="s">
        <v>218</v>
      </c>
      <c r="L499" s="1" t="s">
        <v>355</v>
      </c>
      <c r="M499" t="str">
        <f t="shared" si="42"/>
        <v>Babin</v>
      </c>
      <c r="N499" t="str">
        <f t="shared" si="43"/>
        <v>Laurin</v>
      </c>
      <c r="O499" t="str">
        <f t="shared" si="44"/>
        <v>Rieser</v>
      </c>
      <c r="P499" t="str">
        <f t="shared" si="45"/>
        <v>Engel</v>
      </c>
      <c r="Q499">
        <f t="shared" si="46"/>
        <v>1</v>
      </c>
      <c r="R499" t="str">
        <f t="shared" si="47"/>
        <v>Babin-Laurin-Rieser-Engel</v>
      </c>
    </row>
    <row r="500" spans="1:18" x14ac:dyDescent="0.25">
      <c r="A500" s="1" t="s">
        <v>217</v>
      </c>
      <c r="B500" s="1">
        <v>21</v>
      </c>
      <c r="C500" s="1" t="s">
        <v>12</v>
      </c>
      <c r="D500" s="1">
        <v>1</v>
      </c>
      <c r="E500" s="1" t="s">
        <v>195</v>
      </c>
      <c r="F500" s="1">
        <v>16</v>
      </c>
      <c r="G500" s="1">
        <v>21</v>
      </c>
      <c r="H500" s="1" t="s">
        <v>146</v>
      </c>
      <c r="I500" s="1" t="s">
        <v>197</v>
      </c>
      <c r="J500" s="1" t="s">
        <v>148</v>
      </c>
      <c r="K500" s="1" t="s">
        <v>218</v>
      </c>
      <c r="L500" s="1" t="s">
        <v>355</v>
      </c>
      <c r="M500" t="str">
        <f t="shared" si="42"/>
        <v>Cole</v>
      </c>
      <c r="N500" t="str">
        <f t="shared" si="43"/>
        <v>Klapwijk</v>
      </c>
      <c r="O500" t="str">
        <f t="shared" si="44"/>
        <v>Eisenträger</v>
      </c>
      <c r="P500" t="str">
        <f t="shared" si="45"/>
        <v>Siemer</v>
      </c>
      <c r="Q500">
        <f t="shared" si="46"/>
        <v>0</v>
      </c>
      <c r="R500" t="str">
        <f t="shared" si="47"/>
        <v>Cole-Klapwijk-Eisenträger-Siemer</v>
      </c>
    </row>
    <row r="501" spans="1:18" x14ac:dyDescent="0.25">
      <c r="A501" s="1" t="s">
        <v>217</v>
      </c>
      <c r="B501" s="1">
        <v>22</v>
      </c>
      <c r="C501" s="1" t="s">
        <v>12</v>
      </c>
      <c r="D501" s="1">
        <v>2</v>
      </c>
      <c r="E501" s="1" t="s">
        <v>195</v>
      </c>
      <c r="F501" s="1">
        <v>18</v>
      </c>
      <c r="G501" s="1">
        <v>21</v>
      </c>
      <c r="H501" s="1" t="s">
        <v>146</v>
      </c>
      <c r="I501" s="1" t="s">
        <v>197</v>
      </c>
      <c r="J501" s="1" t="s">
        <v>148</v>
      </c>
      <c r="K501" s="1" t="s">
        <v>218</v>
      </c>
      <c r="L501" s="1" t="s">
        <v>355</v>
      </c>
      <c r="M501" t="str">
        <f t="shared" si="42"/>
        <v>Cole</v>
      </c>
      <c r="N501" t="str">
        <f t="shared" si="43"/>
        <v>Klapwijk</v>
      </c>
      <c r="O501" t="str">
        <f t="shared" si="44"/>
        <v>Eisenträger</v>
      </c>
      <c r="P501" t="str">
        <f t="shared" si="45"/>
        <v>Siemer</v>
      </c>
      <c r="Q501">
        <f t="shared" si="46"/>
        <v>0</v>
      </c>
      <c r="R501" t="str">
        <f t="shared" si="47"/>
        <v>Cole-Klapwijk-Eisenträger-Siemer</v>
      </c>
    </row>
    <row r="502" spans="1:18" x14ac:dyDescent="0.25">
      <c r="A502" s="1" t="s">
        <v>217</v>
      </c>
      <c r="B502" s="1">
        <v>24</v>
      </c>
      <c r="C502" s="1" t="s">
        <v>18</v>
      </c>
      <c r="D502" s="1">
        <v>1</v>
      </c>
      <c r="E502" s="1" t="s">
        <v>195</v>
      </c>
      <c r="F502" s="1">
        <v>22</v>
      </c>
      <c r="G502" s="1">
        <v>20</v>
      </c>
      <c r="H502" s="1" t="s">
        <v>146</v>
      </c>
      <c r="I502" s="1" t="s">
        <v>200</v>
      </c>
      <c r="J502" s="1" t="s">
        <v>151</v>
      </c>
      <c r="K502" s="1" t="s">
        <v>218</v>
      </c>
      <c r="L502" s="1" t="s">
        <v>355</v>
      </c>
      <c r="M502" t="str">
        <f t="shared" si="42"/>
        <v>Finocchi</v>
      </c>
      <c r="N502" t="str">
        <f t="shared" si="43"/>
        <v>Picone</v>
      </c>
      <c r="O502" t="str">
        <f t="shared" si="44"/>
        <v>Grönebaum</v>
      </c>
      <c r="P502" t="str">
        <f t="shared" si="45"/>
        <v>Prüfer</v>
      </c>
      <c r="Q502">
        <f t="shared" si="46"/>
        <v>1</v>
      </c>
      <c r="R502" t="str">
        <f t="shared" si="47"/>
        <v>Finocchi-Picone-Grönebaum-Prüfer</v>
      </c>
    </row>
    <row r="503" spans="1:18" x14ac:dyDescent="0.25">
      <c r="A503" s="1" t="s">
        <v>217</v>
      </c>
      <c r="B503" s="1">
        <v>25</v>
      </c>
      <c r="C503" s="1" t="s">
        <v>18</v>
      </c>
      <c r="D503" s="1">
        <v>2</v>
      </c>
      <c r="E503" s="1" t="s">
        <v>195</v>
      </c>
      <c r="F503" s="1">
        <v>21</v>
      </c>
      <c r="G503" s="1">
        <v>19</v>
      </c>
      <c r="H503" s="1" t="s">
        <v>146</v>
      </c>
      <c r="I503" s="1" t="s">
        <v>200</v>
      </c>
      <c r="J503" s="1" t="s">
        <v>151</v>
      </c>
      <c r="K503" s="1" t="s">
        <v>218</v>
      </c>
      <c r="L503" s="1" t="s">
        <v>355</v>
      </c>
      <c r="M503" t="str">
        <f t="shared" si="42"/>
        <v>Finocchi</v>
      </c>
      <c r="N503" t="str">
        <f t="shared" si="43"/>
        <v>Picone</v>
      </c>
      <c r="O503" t="str">
        <f t="shared" si="44"/>
        <v>Grönebaum</v>
      </c>
      <c r="P503" t="str">
        <f t="shared" si="45"/>
        <v>Prüfer</v>
      </c>
      <c r="Q503">
        <f t="shared" si="46"/>
        <v>1</v>
      </c>
      <c r="R503" t="str">
        <f t="shared" si="47"/>
        <v>Finocchi-Picone-Grönebaum-Prüfer</v>
      </c>
    </row>
    <row r="504" spans="1:18" x14ac:dyDescent="0.25">
      <c r="A504" s="1" t="s">
        <v>217</v>
      </c>
      <c r="B504" s="1">
        <v>27</v>
      </c>
      <c r="C504" s="1" t="s">
        <v>21</v>
      </c>
      <c r="D504" s="1">
        <v>1</v>
      </c>
      <c r="E504" s="1" t="s">
        <v>195</v>
      </c>
      <c r="F504" s="1">
        <v>21</v>
      </c>
      <c r="G504" s="1">
        <v>9</v>
      </c>
      <c r="H504" s="1" t="s">
        <v>146</v>
      </c>
      <c r="I504" s="1" t="s">
        <v>202</v>
      </c>
      <c r="J504" s="1" t="s">
        <v>153</v>
      </c>
      <c r="K504" s="1" t="s">
        <v>218</v>
      </c>
      <c r="L504" s="1" t="s">
        <v>355</v>
      </c>
      <c r="M504" t="str">
        <f t="shared" si="42"/>
        <v>Bondi</v>
      </c>
      <c r="N504" t="str">
        <f t="shared" si="43"/>
        <v>Gross</v>
      </c>
      <c r="O504" t="str">
        <f t="shared" si="44"/>
        <v>Claus</v>
      </c>
      <c r="P504" t="str">
        <f t="shared" si="45"/>
        <v>Lauterbach</v>
      </c>
      <c r="Q504">
        <f t="shared" si="46"/>
        <v>1</v>
      </c>
      <c r="R504" t="str">
        <f t="shared" si="47"/>
        <v>Bondi-Gross-Claus-Lauterbach</v>
      </c>
    </row>
    <row r="505" spans="1:18" x14ac:dyDescent="0.25">
      <c r="A505" s="1" t="s">
        <v>217</v>
      </c>
      <c r="B505" s="1">
        <v>28</v>
      </c>
      <c r="C505" s="1" t="s">
        <v>21</v>
      </c>
      <c r="D505" s="1">
        <v>2</v>
      </c>
      <c r="E505" s="1" t="s">
        <v>195</v>
      </c>
      <c r="F505" s="1">
        <v>21</v>
      </c>
      <c r="G505" s="1">
        <v>14</v>
      </c>
      <c r="H505" s="1" t="s">
        <v>146</v>
      </c>
      <c r="I505" s="1" t="s">
        <v>202</v>
      </c>
      <c r="J505" s="1" t="s">
        <v>153</v>
      </c>
      <c r="K505" s="1" t="s">
        <v>218</v>
      </c>
      <c r="L505" s="1" t="s">
        <v>355</v>
      </c>
      <c r="M505" t="str">
        <f t="shared" si="42"/>
        <v>Bondi</v>
      </c>
      <c r="N505" t="str">
        <f t="shared" si="43"/>
        <v>Gross</v>
      </c>
      <c r="O505" t="str">
        <f t="shared" si="44"/>
        <v>Claus</v>
      </c>
      <c r="P505" t="str">
        <f t="shared" si="45"/>
        <v>Lauterbach</v>
      </c>
      <c r="Q505">
        <f t="shared" si="46"/>
        <v>1</v>
      </c>
      <c r="R505" t="str">
        <f t="shared" si="47"/>
        <v>Bondi-Gross-Claus-Lauterbach</v>
      </c>
    </row>
    <row r="506" spans="1:18" x14ac:dyDescent="0.25">
      <c r="A506" s="1" t="s">
        <v>217</v>
      </c>
      <c r="B506" s="1">
        <v>30</v>
      </c>
      <c r="C506" s="1" t="s">
        <v>24</v>
      </c>
      <c r="D506" s="1">
        <v>1</v>
      </c>
      <c r="E506" s="1" t="s">
        <v>195</v>
      </c>
      <c r="F506" s="1">
        <v>21</v>
      </c>
      <c r="G506" s="1">
        <v>19</v>
      </c>
      <c r="H506" s="1" t="s">
        <v>146</v>
      </c>
      <c r="I506" s="1" t="s">
        <v>204</v>
      </c>
      <c r="J506" s="1" t="s">
        <v>209</v>
      </c>
      <c r="K506" s="1" t="s">
        <v>218</v>
      </c>
      <c r="L506" s="1" t="s">
        <v>355</v>
      </c>
      <c r="M506" t="str">
        <f t="shared" si="42"/>
        <v>Hamilton</v>
      </c>
      <c r="N506" t="str">
        <f t="shared" si="43"/>
        <v>Marino</v>
      </c>
      <c r="O506" t="str">
        <f t="shared" si="44"/>
        <v>Christiani</v>
      </c>
      <c r="P506" t="str">
        <f t="shared" si="45"/>
        <v>Harder</v>
      </c>
      <c r="Q506">
        <f t="shared" si="46"/>
        <v>1</v>
      </c>
      <c r="R506" t="str">
        <f t="shared" si="47"/>
        <v>Hamilton-Marino-Christiani-Harder</v>
      </c>
    </row>
    <row r="507" spans="1:18" x14ac:dyDescent="0.25">
      <c r="A507" s="1" t="s">
        <v>217</v>
      </c>
      <c r="B507" s="1">
        <v>31</v>
      </c>
      <c r="C507" s="1" t="s">
        <v>24</v>
      </c>
      <c r="D507" s="1">
        <v>2</v>
      </c>
      <c r="E507" s="1" t="s">
        <v>195</v>
      </c>
      <c r="F507" s="1">
        <v>18</v>
      </c>
      <c r="G507" s="1">
        <v>21</v>
      </c>
      <c r="H507" s="1" t="s">
        <v>146</v>
      </c>
      <c r="I507" s="1" t="s">
        <v>204</v>
      </c>
      <c r="J507" s="1" t="s">
        <v>209</v>
      </c>
      <c r="K507" s="1" t="s">
        <v>218</v>
      </c>
      <c r="L507" s="1" t="s">
        <v>355</v>
      </c>
      <c r="M507" t="str">
        <f t="shared" si="42"/>
        <v>Hamilton</v>
      </c>
      <c r="N507" t="str">
        <f t="shared" si="43"/>
        <v>Marino</v>
      </c>
      <c r="O507" t="str">
        <f t="shared" si="44"/>
        <v>Christiani</v>
      </c>
      <c r="P507" t="str">
        <f t="shared" si="45"/>
        <v>Harder</v>
      </c>
      <c r="Q507">
        <f t="shared" si="46"/>
        <v>0</v>
      </c>
      <c r="R507" t="str">
        <f t="shared" si="47"/>
        <v>Hamilton-Marino-Christiani-Harder</v>
      </c>
    </row>
    <row r="508" spans="1:18" x14ac:dyDescent="0.25">
      <c r="A508" s="1" t="s">
        <v>217</v>
      </c>
      <c r="B508" s="1">
        <v>33</v>
      </c>
      <c r="C508" s="1" t="s">
        <v>27</v>
      </c>
      <c r="D508" s="1">
        <v>1</v>
      </c>
      <c r="E508" s="1" t="s">
        <v>195</v>
      </c>
      <c r="F508" s="1">
        <v>21</v>
      </c>
      <c r="G508" s="1">
        <v>17</v>
      </c>
      <c r="H508" s="1" t="s">
        <v>146</v>
      </c>
      <c r="I508" s="1" t="s">
        <v>206</v>
      </c>
      <c r="J508" s="1" t="s">
        <v>210</v>
      </c>
      <c r="K508" s="1" t="s">
        <v>218</v>
      </c>
      <c r="L508" s="1" t="s">
        <v>355</v>
      </c>
      <c r="M508" t="str">
        <f t="shared" si="42"/>
        <v>Nelson</v>
      </c>
      <c r="N508" t="str">
        <f t="shared" si="43"/>
        <v>Rose</v>
      </c>
      <c r="O508" t="str">
        <f t="shared" si="44"/>
        <v>Klement</v>
      </c>
      <c r="P508" t="str">
        <f t="shared" si="45"/>
        <v>Krehle</v>
      </c>
      <c r="Q508">
        <f t="shared" si="46"/>
        <v>1</v>
      </c>
      <c r="R508" t="str">
        <f t="shared" si="47"/>
        <v>Nelson-Rose-Klement-Krehle</v>
      </c>
    </row>
    <row r="509" spans="1:18" x14ac:dyDescent="0.25">
      <c r="A509" s="1" t="s">
        <v>217</v>
      </c>
      <c r="B509" s="1">
        <v>34</v>
      </c>
      <c r="C509" s="1" t="s">
        <v>27</v>
      </c>
      <c r="D509" s="1">
        <v>2</v>
      </c>
      <c r="E509" s="1" t="s">
        <v>195</v>
      </c>
      <c r="F509" s="1">
        <v>21</v>
      </c>
      <c r="G509" s="1">
        <v>14</v>
      </c>
      <c r="H509" s="1" t="s">
        <v>146</v>
      </c>
      <c r="I509" s="1" t="s">
        <v>206</v>
      </c>
      <c r="J509" s="1" t="s">
        <v>210</v>
      </c>
      <c r="K509" s="1" t="s">
        <v>218</v>
      </c>
      <c r="L509" s="1" t="s">
        <v>355</v>
      </c>
      <c r="M509" t="str">
        <f t="shared" si="42"/>
        <v>Nelson</v>
      </c>
      <c r="N509" t="str">
        <f t="shared" si="43"/>
        <v>Rose</v>
      </c>
      <c r="O509" t="str">
        <f t="shared" si="44"/>
        <v>Klement</v>
      </c>
      <c r="P509" t="str">
        <f t="shared" si="45"/>
        <v>Krehle</v>
      </c>
      <c r="Q509">
        <f t="shared" si="46"/>
        <v>1</v>
      </c>
      <c r="R509" t="str">
        <f t="shared" si="47"/>
        <v>Nelson-Rose-Klement-Krehle</v>
      </c>
    </row>
    <row r="510" spans="1:18" x14ac:dyDescent="0.25">
      <c r="A510" s="1" t="s">
        <v>217</v>
      </c>
      <c r="B510" s="1">
        <v>112</v>
      </c>
      <c r="C510" s="1" t="s">
        <v>12</v>
      </c>
      <c r="D510" s="1">
        <v>2</v>
      </c>
      <c r="E510" s="1" t="s">
        <v>30</v>
      </c>
      <c r="F510" s="1">
        <v>1</v>
      </c>
      <c r="G510" s="1">
        <v>0</v>
      </c>
      <c r="H510" s="1" t="s">
        <v>44</v>
      </c>
      <c r="I510" s="1" t="s">
        <v>32</v>
      </c>
      <c r="J510" s="1" t="s">
        <v>46</v>
      </c>
      <c r="K510" s="1" t="s">
        <v>219</v>
      </c>
      <c r="L510" s="1" t="s">
        <v>355</v>
      </c>
      <c r="M510" t="str">
        <f t="shared" si="42"/>
        <v>Vandaele</v>
      </c>
      <c r="N510" t="str">
        <f t="shared" si="43"/>
        <v>Van den Bergh</v>
      </c>
      <c r="O510" t="str">
        <f t="shared" si="44"/>
        <v>Stachiewicz</v>
      </c>
      <c r="P510" t="str">
        <f t="shared" si="45"/>
        <v>Łochowski</v>
      </c>
      <c r="Q510">
        <f t="shared" si="46"/>
        <v>1</v>
      </c>
      <c r="R510" t="str">
        <f t="shared" si="47"/>
        <v>Vandaele-Van den Bergh-Stachiewicz-Łochowski</v>
      </c>
    </row>
    <row r="511" spans="1:18" x14ac:dyDescent="0.25">
      <c r="A511" s="1" t="s">
        <v>217</v>
      </c>
      <c r="B511" s="1">
        <v>114</v>
      </c>
      <c r="C511" s="1" t="s">
        <v>18</v>
      </c>
      <c r="D511" s="1">
        <v>1</v>
      </c>
      <c r="E511" s="1" t="s">
        <v>30</v>
      </c>
      <c r="F511" s="1">
        <v>21</v>
      </c>
      <c r="G511" s="1">
        <v>18</v>
      </c>
      <c r="H511" s="1" t="s">
        <v>44</v>
      </c>
      <c r="I511" s="1" t="s">
        <v>35</v>
      </c>
      <c r="J511" s="1" t="s">
        <v>49</v>
      </c>
      <c r="K511" s="1" t="s">
        <v>219</v>
      </c>
      <c r="L511" s="1" t="s">
        <v>355</v>
      </c>
      <c r="M511" t="str">
        <f t="shared" si="42"/>
        <v>Theunis</v>
      </c>
      <c r="N511" t="str">
        <f t="shared" si="43"/>
        <v>Declercq</v>
      </c>
      <c r="O511" t="str">
        <f t="shared" si="44"/>
        <v>Dudzik</v>
      </c>
      <c r="P511" t="str">
        <f t="shared" si="45"/>
        <v>Cichocki</v>
      </c>
      <c r="Q511">
        <f t="shared" si="46"/>
        <v>1</v>
      </c>
      <c r="R511" t="str">
        <f t="shared" si="47"/>
        <v>Theunis-Declercq-Dudzik-Cichocki</v>
      </c>
    </row>
    <row r="512" spans="1:18" x14ac:dyDescent="0.25">
      <c r="A512" s="1" t="s">
        <v>217</v>
      </c>
      <c r="B512" s="1">
        <v>117</v>
      </c>
      <c r="C512" s="1" t="s">
        <v>21</v>
      </c>
      <c r="D512" s="1">
        <v>1</v>
      </c>
      <c r="E512" s="1" t="s">
        <v>30</v>
      </c>
      <c r="F512" s="1">
        <v>21</v>
      </c>
      <c r="G512" s="1">
        <v>18</v>
      </c>
      <c r="H512" s="1" t="s">
        <v>44</v>
      </c>
      <c r="I512" s="1" t="s">
        <v>409</v>
      </c>
      <c r="J512" s="1" t="s">
        <v>51</v>
      </c>
      <c r="K512" s="1" t="s">
        <v>219</v>
      </c>
      <c r="L512" s="1" t="s">
        <v>355</v>
      </c>
      <c r="M512" t="str">
        <f t="shared" si="42"/>
        <v>Jor. Neyens</v>
      </c>
      <c r="N512" t="str">
        <f t="shared" si="43"/>
        <v>Vlassaks</v>
      </c>
      <c r="O512" t="str">
        <f t="shared" si="44"/>
        <v>Jordan</v>
      </c>
      <c r="P512" t="str">
        <f t="shared" si="45"/>
        <v>Ebert</v>
      </c>
      <c r="Q512">
        <f t="shared" si="46"/>
        <v>1</v>
      </c>
      <c r="R512" t="str">
        <f t="shared" si="47"/>
        <v>Jor. Neyens-Vlassaks-Jordan-Ebert</v>
      </c>
    </row>
    <row r="513" spans="1:18" x14ac:dyDescent="0.25">
      <c r="A513" s="1" t="s">
        <v>217</v>
      </c>
      <c r="B513" s="1">
        <v>120</v>
      </c>
      <c r="C513" s="1" t="s">
        <v>24</v>
      </c>
      <c r="D513" s="1">
        <v>1</v>
      </c>
      <c r="E513" s="1" t="s">
        <v>30</v>
      </c>
      <c r="F513" s="1">
        <v>21</v>
      </c>
      <c r="G513" s="1">
        <v>10</v>
      </c>
      <c r="H513" s="1" t="s">
        <v>44</v>
      </c>
      <c r="I513" s="1" t="s">
        <v>39</v>
      </c>
      <c r="J513" s="1" t="s">
        <v>53</v>
      </c>
      <c r="K513" s="1" t="s">
        <v>219</v>
      </c>
      <c r="L513" s="1" t="s">
        <v>355</v>
      </c>
      <c r="M513" t="str">
        <f t="shared" si="42"/>
        <v>Vandamme</v>
      </c>
      <c r="N513" t="str">
        <f t="shared" si="43"/>
        <v>Hublet</v>
      </c>
      <c r="O513" t="str">
        <f t="shared" si="44"/>
        <v>Szymański</v>
      </c>
      <c r="P513" t="str">
        <f t="shared" si="45"/>
        <v>Urbański</v>
      </c>
      <c r="Q513">
        <f t="shared" si="46"/>
        <v>1</v>
      </c>
      <c r="R513" t="str">
        <f t="shared" si="47"/>
        <v>Vandamme-Hublet-Szymański-Urbański</v>
      </c>
    </row>
    <row r="514" spans="1:18" x14ac:dyDescent="0.25">
      <c r="A514" s="1" t="s">
        <v>217</v>
      </c>
      <c r="B514" s="1">
        <v>123</v>
      </c>
      <c r="C514" s="1" t="s">
        <v>27</v>
      </c>
      <c r="D514" s="1">
        <v>1</v>
      </c>
      <c r="E514" s="1" t="s">
        <v>30</v>
      </c>
      <c r="F514" s="1">
        <v>21</v>
      </c>
      <c r="G514" s="1">
        <v>10</v>
      </c>
      <c r="H514" s="1" t="s">
        <v>44</v>
      </c>
      <c r="I514" s="1" t="s">
        <v>41</v>
      </c>
      <c r="J514" s="1" t="s">
        <v>55</v>
      </c>
      <c r="K514" s="1" t="s">
        <v>219</v>
      </c>
      <c r="L514" s="1" t="s">
        <v>355</v>
      </c>
      <c r="M514" t="str">
        <f t="shared" ref="M514:M577" si="48">_xlfn.TEXTBEFORE(I514,"/")</f>
        <v>M. Paes</v>
      </c>
      <c r="N514" t="str">
        <f t="shared" ref="N514:N577" si="49">_xlfn.TEXTAFTER(I514,"/ ")</f>
        <v>D. Paes</v>
      </c>
      <c r="O514" t="str">
        <f t="shared" ref="O514:O577" si="50">_xlfn.TEXTBEFORE(J514,"/")</f>
        <v>Pętlak</v>
      </c>
      <c r="P514" t="str">
        <f t="shared" ref="P514:P577" si="51">_xlfn.TEXTAFTER(J514,"/ ")</f>
        <v>Stachurski</v>
      </c>
      <c r="Q514">
        <f t="shared" ref="Q514:Q577" si="52">IF(F514&gt;G514,1,0)</f>
        <v>1</v>
      </c>
      <c r="R514" t="str">
        <f t="shared" ref="R514:R577" si="53">_xlfn.TEXTJOIN("-",TRUE,M514,N514,O514,P514)</f>
        <v>M. Paes-D. Paes-Pętlak-Stachurski</v>
      </c>
    </row>
    <row r="515" spans="1:18" x14ac:dyDescent="0.25">
      <c r="A515" s="1" t="s">
        <v>217</v>
      </c>
      <c r="B515" s="1">
        <v>129</v>
      </c>
      <c r="C515" s="1" t="s">
        <v>12</v>
      </c>
      <c r="D515" s="1">
        <v>1</v>
      </c>
      <c r="E515" s="1" t="s">
        <v>43</v>
      </c>
      <c r="F515" s="1">
        <v>0</v>
      </c>
      <c r="G515" s="1">
        <v>1</v>
      </c>
      <c r="H515" s="1" t="s">
        <v>31</v>
      </c>
      <c r="I515" s="1" t="s">
        <v>45</v>
      </c>
      <c r="J515" s="1" t="s">
        <v>420</v>
      </c>
      <c r="K515" s="1" t="s">
        <v>219</v>
      </c>
      <c r="L515" s="1" t="s">
        <v>355</v>
      </c>
      <c r="M515" t="str">
        <f t="shared" si="48"/>
        <v>Cabala</v>
      </c>
      <c r="N515" t="str">
        <f t="shared" si="49"/>
        <v>Nerad</v>
      </c>
      <c r="O515" t="str">
        <f t="shared" si="50"/>
        <v>W. Chang</v>
      </c>
      <c r="P515" t="str">
        <f t="shared" si="51"/>
        <v>Chou</v>
      </c>
      <c r="Q515">
        <f t="shared" si="52"/>
        <v>0</v>
      </c>
      <c r="R515" t="str">
        <f t="shared" si="53"/>
        <v>Cabala-Nerad-W. Chang-Chou</v>
      </c>
    </row>
    <row r="516" spans="1:18" x14ac:dyDescent="0.25">
      <c r="A516" s="1" t="s">
        <v>217</v>
      </c>
      <c r="B516" s="1">
        <v>133</v>
      </c>
      <c r="C516" s="1" t="s">
        <v>18</v>
      </c>
      <c r="D516" s="1">
        <v>2</v>
      </c>
      <c r="E516" s="1" t="s">
        <v>43</v>
      </c>
      <c r="F516" s="1">
        <v>0</v>
      </c>
      <c r="G516" s="1">
        <v>1</v>
      </c>
      <c r="H516" s="1" t="s">
        <v>31</v>
      </c>
      <c r="I516" s="1" t="s">
        <v>48</v>
      </c>
      <c r="J516" s="1" t="s">
        <v>422</v>
      </c>
      <c r="K516" s="1" t="s">
        <v>219</v>
      </c>
      <c r="L516" s="1" t="s">
        <v>355</v>
      </c>
      <c r="M516" t="str">
        <f t="shared" si="48"/>
        <v>Mezzey</v>
      </c>
      <c r="N516" t="str">
        <f t="shared" si="49"/>
        <v>Visek</v>
      </c>
      <c r="O516" t="str">
        <f t="shared" si="50"/>
        <v>R. Lee</v>
      </c>
      <c r="P516" t="str">
        <f t="shared" si="51"/>
        <v>P. Chen</v>
      </c>
      <c r="Q516">
        <f t="shared" si="52"/>
        <v>0</v>
      </c>
      <c r="R516" t="str">
        <f t="shared" si="53"/>
        <v>Mezzey-Visek-R. Lee-P. Chen</v>
      </c>
    </row>
    <row r="517" spans="1:18" x14ac:dyDescent="0.25">
      <c r="A517" s="1" t="s">
        <v>217</v>
      </c>
      <c r="B517" s="1">
        <v>135</v>
      </c>
      <c r="C517" s="1" t="s">
        <v>21</v>
      </c>
      <c r="D517" s="1">
        <v>1</v>
      </c>
      <c r="E517" s="1" t="s">
        <v>43</v>
      </c>
      <c r="F517" s="1">
        <v>0</v>
      </c>
      <c r="G517" s="1">
        <v>1</v>
      </c>
      <c r="H517" s="1" t="s">
        <v>31</v>
      </c>
      <c r="I517" s="1" t="s">
        <v>50</v>
      </c>
      <c r="J517" s="1" t="s">
        <v>411</v>
      </c>
      <c r="K517" s="1" t="s">
        <v>219</v>
      </c>
      <c r="L517" s="1" t="s">
        <v>355</v>
      </c>
      <c r="M517" t="str">
        <f t="shared" si="48"/>
        <v>Grohman</v>
      </c>
      <c r="N517" t="str">
        <f t="shared" si="49"/>
        <v>Soukup</v>
      </c>
      <c r="O517" t="str">
        <f t="shared" si="50"/>
        <v>Kao</v>
      </c>
      <c r="P517" t="str">
        <f t="shared" si="51"/>
        <v>Min. Chen</v>
      </c>
      <c r="Q517">
        <f t="shared" si="52"/>
        <v>0</v>
      </c>
      <c r="R517" t="str">
        <f t="shared" si="53"/>
        <v>Grohman-Soukup-Kao-Min. Chen</v>
      </c>
    </row>
    <row r="518" spans="1:18" x14ac:dyDescent="0.25">
      <c r="A518" s="1" t="s">
        <v>217</v>
      </c>
      <c r="B518" s="1">
        <v>139</v>
      </c>
      <c r="C518" s="1" t="s">
        <v>24</v>
      </c>
      <c r="D518" s="1">
        <v>2</v>
      </c>
      <c r="E518" s="1" t="s">
        <v>43</v>
      </c>
      <c r="F518" s="1">
        <v>0</v>
      </c>
      <c r="G518" s="1">
        <v>1</v>
      </c>
      <c r="H518" s="1" t="s">
        <v>31</v>
      </c>
      <c r="I518" s="1" t="s">
        <v>52</v>
      </c>
      <c r="J518" s="1" t="s">
        <v>361</v>
      </c>
      <c r="K518" s="1" t="s">
        <v>219</v>
      </c>
      <c r="L518" s="1" t="s">
        <v>355</v>
      </c>
      <c r="M518" t="str">
        <f t="shared" si="48"/>
        <v>Daling</v>
      </c>
      <c r="N518" t="str">
        <f t="shared" si="49"/>
        <v>Olsansky</v>
      </c>
      <c r="O518" t="str">
        <f t="shared" si="50"/>
        <v>Ma</v>
      </c>
      <c r="P518" t="str">
        <f t="shared" si="51"/>
        <v>Hu</v>
      </c>
      <c r="Q518">
        <f t="shared" si="52"/>
        <v>0</v>
      </c>
      <c r="R518" t="str">
        <f t="shared" si="53"/>
        <v>Daling-Olsansky-Ma-Hu</v>
      </c>
    </row>
    <row r="519" spans="1:18" x14ac:dyDescent="0.25">
      <c r="A519" s="1" t="s">
        <v>217</v>
      </c>
      <c r="B519" s="1">
        <v>141</v>
      </c>
      <c r="C519" s="1" t="s">
        <v>27</v>
      </c>
      <c r="D519" s="1">
        <v>1</v>
      </c>
      <c r="E519" s="1" t="s">
        <v>43</v>
      </c>
      <c r="F519" s="1">
        <v>1</v>
      </c>
      <c r="G519" s="1">
        <v>0</v>
      </c>
      <c r="H519" s="1" t="s">
        <v>31</v>
      </c>
      <c r="I519" s="1" t="s">
        <v>54</v>
      </c>
      <c r="J519" s="1" t="s">
        <v>415</v>
      </c>
      <c r="K519" s="1" t="s">
        <v>219</v>
      </c>
      <c r="L519" s="1" t="s">
        <v>355</v>
      </c>
      <c r="M519" t="str">
        <f t="shared" si="48"/>
        <v>Kovarik</v>
      </c>
      <c r="N519" t="str">
        <f t="shared" si="49"/>
        <v>Macanek</v>
      </c>
      <c r="O519" t="str">
        <f t="shared" si="50"/>
        <v>Peng</v>
      </c>
      <c r="P519" t="str">
        <f t="shared" si="51"/>
        <v>W. Kuo</v>
      </c>
      <c r="Q519">
        <f t="shared" si="52"/>
        <v>1</v>
      </c>
      <c r="R519" t="str">
        <f t="shared" si="53"/>
        <v>Kovarik-Macanek-Peng-W. Kuo</v>
      </c>
    </row>
    <row r="520" spans="1:18" x14ac:dyDescent="0.25">
      <c r="A520" s="1" t="s">
        <v>217</v>
      </c>
      <c r="B520" s="1">
        <v>147</v>
      </c>
      <c r="C520" s="1" t="s">
        <v>12</v>
      </c>
      <c r="D520" s="1">
        <v>1</v>
      </c>
      <c r="E520" s="1" t="s">
        <v>70</v>
      </c>
      <c r="F520" s="1">
        <v>22</v>
      </c>
      <c r="G520" s="1">
        <v>24</v>
      </c>
      <c r="H520" s="1" t="s">
        <v>56</v>
      </c>
      <c r="I520" s="1" t="s">
        <v>72</v>
      </c>
      <c r="J520" s="1" t="s">
        <v>58</v>
      </c>
      <c r="K520" s="1" t="s">
        <v>220</v>
      </c>
      <c r="L520" s="1" t="s">
        <v>355</v>
      </c>
      <c r="M520" t="str">
        <f t="shared" si="48"/>
        <v>Zholkovsky</v>
      </c>
      <c r="N520" t="str">
        <f t="shared" si="49"/>
        <v>Kimhi</v>
      </c>
      <c r="O520" t="str">
        <f t="shared" si="50"/>
        <v>Ishii</v>
      </c>
      <c r="P520" t="str">
        <f t="shared" si="51"/>
        <v>Shimizu</v>
      </c>
      <c r="Q520">
        <f t="shared" si="52"/>
        <v>0</v>
      </c>
      <c r="R520" t="str">
        <f t="shared" si="53"/>
        <v>Zholkovsky-Kimhi-Ishii-Shimizu</v>
      </c>
    </row>
    <row r="521" spans="1:18" x14ac:dyDescent="0.25">
      <c r="A521" s="1" t="s">
        <v>217</v>
      </c>
      <c r="B521" s="1">
        <v>150</v>
      </c>
      <c r="C521" s="1" t="s">
        <v>18</v>
      </c>
      <c r="D521" s="1">
        <v>1</v>
      </c>
      <c r="E521" s="1" t="s">
        <v>70</v>
      </c>
      <c r="F521" s="1">
        <v>21</v>
      </c>
      <c r="G521" s="1">
        <v>16</v>
      </c>
      <c r="H521" s="1" t="s">
        <v>56</v>
      </c>
      <c r="I521" s="1" t="s">
        <v>75</v>
      </c>
      <c r="J521" s="1" t="s">
        <v>61</v>
      </c>
      <c r="K521" s="1" t="s">
        <v>220</v>
      </c>
      <c r="L521" s="1" t="s">
        <v>355</v>
      </c>
      <c r="M521" t="str">
        <f t="shared" si="48"/>
        <v>Wish</v>
      </c>
      <c r="N521" t="str">
        <f t="shared" si="49"/>
        <v>Sendik</v>
      </c>
      <c r="O521" t="str">
        <f t="shared" si="50"/>
        <v>Nakamura</v>
      </c>
      <c r="P521" t="str">
        <f t="shared" si="51"/>
        <v>Takei</v>
      </c>
      <c r="Q521">
        <f t="shared" si="52"/>
        <v>1</v>
      </c>
      <c r="R521" t="str">
        <f t="shared" si="53"/>
        <v>Wish-Sendik-Nakamura-Takei</v>
      </c>
    </row>
    <row r="522" spans="1:18" x14ac:dyDescent="0.25">
      <c r="A522" s="1" t="s">
        <v>217</v>
      </c>
      <c r="B522" s="1">
        <v>153</v>
      </c>
      <c r="C522" s="1" t="s">
        <v>21</v>
      </c>
      <c r="D522" s="1">
        <v>1</v>
      </c>
      <c r="E522" s="1" t="s">
        <v>70</v>
      </c>
      <c r="F522" s="1">
        <v>21</v>
      </c>
      <c r="G522" s="1">
        <v>14</v>
      </c>
      <c r="H522" s="1" t="s">
        <v>56</v>
      </c>
      <c r="I522" s="1" t="s">
        <v>77</v>
      </c>
      <c r="J522" s="1" t="s">
        <v>63</v>
      </c>
      <c r="K522" s="1" t="s">
        <v>220</v>
      </c>
      <c r="L522" s="1" t="s">
        <v>355</v>
      </c>
      <c r="M522" t="str">
        <f t="shared" si="48"/>
        <v>Lurie</v>
      </c>
      <c r="N522" t="str">
        <f t="shared" si="49"/>
        <v>Melech</v>
      </c>
      <c r="O522" t="str">
        <f t="shared" si="50"/>
        <v>Tamaki</v>
      </c>
      <c r="P522" t="str">
        <f t="shared" si="51"/>
        <v>Pflaum</v>
      </c>
      <c r="Q522">
        <f t="shared" si="52"/>
        <v>1</v>
      </c>
      <c r="R522" t="str">
        <f t="shared" si="53"/>
        <v>Lurie-Melech-Tamaki-Pflaum</v>
      </c>
    </row>
    <row r="523" spans="1:18" x14ac:dyDescent="0.25">
      <c r="A523" s="1" t="s">
        <v>217</v>
      </c>
      <c r="B523" s="1">
        <v>156</v>
      </c>
      <c r="C523" s="1" t="s">
        <v>24</v>
      </c>
      <c r="D523" s="1">
        <v>1</v>
      </c>
      <c r="E523" s="1" t="s">
        <v>70</v>
      </c>
      <c r="F523" s="1">
        <v>21</v>
      </c>
      <c r="G523" s="1">
        <v>23</v>
      </c>
      <c r="H523" s="1" t="s">
        <v>56</v>
      </c>
      <c r="I523" s="1" t="s">
        <v>79</v>
      </c>
      <c r="J523" s="1" t="s">
        <v>65</v>
      </c>
      <c r="K523" s="1" t="s">
        <v>220</v>
      </c>
      <c r="L523" s="1" t="s">
        <v>355</v>
      </c>
      <c r="M523" t="str">
        <f t="shared" si="48"/>
        <v>Benishti</v>
      </c>
      <c r="N523" t="str">
        <f t="shared" si="49"/>
        <v>Tirosh</v>
      </c>
      <c r="O523" t="str">
        <f t="shared" si="50"/>
        <v>Y. Sato</v>
      </c>
      <c r="P523" t="str">
        <f t="shared" si="51"/>
        <v>K. Sato</v>
      </c>
      <c r="Q523">
        <f t="shared" si="52"/>
        <v>0</v>
      </c>
      <c r="R523" t="str">
        <f t="shared" si="53"/>
        <v>Benishti-Tirosh-Y. Sato-K. Sato</v>
      </c>
    </row>
    <row r="524" spans="1:18" x14ac:dyDescent="0.25">
      <c r="A524" s="1" t="s">
        <v>217</v>
      </c>
      <c r="B524" s="1">
        <v>159</v>
      </c>
      <c r="C524" s="1" t="s">
        <v>27</v>
      </c>
      <c r="D524" s="1">
        <v>1</v>
      </c>
      <c r="E524" s="1" t="s">
        <v>70</v>
      </c>
      <c r="F524" s="1">
        <v>17</v>
      </c>
      <c r="G524" s="1">
        <v>21</v>
      </c>
      <c r="H524" s="1" t="s">
        <v>56</v>
      </c>
      <c r="I524" s="1" t="s">
        <v>81</v>
      </c>
      <c r="J524" s="1" t="s">
        <v>416</v>
      </c>
      <c r="K524" s="1" t="s">
        <v>220</v>
      </c>
      <c r="L524" s="1" t="s">
        <v>355</v>
      </c>
      <c r="M524" t="str">
        <f t="shared" si="48"/>
        <v>Sone</v>
      </c>
      <c r="N524" t="str">
        <f t="shared" si="49"/>
        <v>Gitler</v>
      </c>
      <c r="O524" t="str">
        <f t="shared" si="50"/>
        <v>S. Imamura</v>
      </c>
      <c r="P524" t="str">
        <f t="shared" si="51"/>
        <v>T. Sato</v>
      </c>
      <c r="Q524">
        <f t="shared" si="52"/>
        <v>0</v>
      </c>
      <c r="R524" t="str">
        <f t="shared" si="53"/>
        <v>Sone-Gitler-S. Imamura-T. Sato</v>
      </c>
    </row>
    <row r="525" spans="1:18" x14ac:dyDescent="0.25">
      <c r="A525" s="1" t="s">
        <v>217</v>
      </c>
      <c r="B525" s="1">
        <v>165</v>
      </c>
      <c r="C525" s="1" t="s">
        <v>12</v>
      </c>
      <c r="D525" s="1">
        <v>1</v>
      </c>
      <c r="E525" s="1" t="s">
        <v>57</v>
      </c>
      <c r="F525" s="1">
        <v>21</v>
      </c>
      <c r="G525" s="1">
        <v>19</v>
      </c>
      <c r="H525" s="1" t="s">
        <v>69</v>
      </c>
      <c r="I525" s="1" t="s">
        <v>59</v>
      </c>
      <c r="J525" s="1" t="s">
        <v>425</v>
      </c>
      <c r="K525" s="1" t="s">
        <v>220</v>
      </c>
      <c r="L525" s="1" t="s">
        <v>355</v>
      </c>
      <c r="M525" t="str">
        <f t="shared" si="48"/>
        <v>Razvan</v>
      </c>
      <c r="N525" t="str">
        <f t="shared" si="49"/>
        <v>Cimpian</v>
      </c>
      <c r="O525" t="str">
        <f t="shared" si="50"/>
        <v>Mi. Jaunpetrovičs</v>
      </c>
      <c r="P525" t="str">
        <f t="shared" si="51"/>
        <v>Repels</v>
      </c>
      <c r="Q525">
        <f t="shared" si="52"/>
        <v>1</v>
      </c>
      <c r="R525" t="str">
        <f t="shared" si="53"/>
        <v>Razvan-Cimpian-Mi. Jaunpetrovičs-Repels</v>
      </c>
    </row>
    <row r="526" spans="1:18" x14ac:dyDescent="0.25">
      <c r="A526" s="1" t="s">
        <v>217</v>
      </c>
      <c r="B526" s="1">
        <v>168</v>
      </c>
      <c r="C526" s="1" t="s">
        <v>18</v>
      </c>
      <c r="D526" s="1">
        <v>1</v>
      </c>
      <c r="E526" s="1" t="s">
        <v>57</v>
      </c>
      <c r="F526" s="1">
        <v>21</v>
      </c>
      <c r="G526" s="1">
        <v>14</v>
      </c>
      <c r="H526" s="1" t="s">
        <v>69</v>
      </c>
      <c r="I526" s="1" t="s">
        <v>62</v>
      </c>
      <c r="J526" s="1" t="s">
        <v>74</v>
      </c>
      <c r="K526" s="1" t="s">
        <v>220</v>
      </c>
      <c r="L526" s="1" t="s">
        <v>355</v>
      </c>
      <c r="M526" t="str">
        <f t="shared" si="48"/>
        <v>Colac</v>
      </c>
      <c r="N526" t="str">
        <f t="shared" si="49"/>
        <v>Popa</v>
      </c>
      <c r="O526" t="str">
        <f t="shared" si="50"/>
        <v>Juška</v>
      </c>
      <c r="P526" t="str">
        <f t="shared" si="51"/>
        <v>Vanags</v>
      </c>
      <c r="Q526">
        <f t="shared" si="52"/>
        <v>1</v>
      </c>
      <c r="R526" t="str">
        <f t="shared" si="53"/>
        <v>Colac-Popa-Juška-Vanags</v>
      </c>
    </row>
    <row r="527" spans="1:18" x14ac:dyDescent="0.25">
      <c r="A527" s="1" t="s">
        <v>217</v>
      </c>
      <c r="B527" s="1">
        <v>171</v>
      </c>
      <c r="C527" s="1" t="s">
        <v>21</v>
      </c>
      <c r="D527" s="1">
        <v>1</v>
      </c>
      <c r="E527" s="1" t="s">
        <v>57</v>
      </c>
      <c r="F527" s="1">
        <v>19</v>
      </c>
      <c r="G527" s="1">
        <v>21</v>
      </c>
      <c r="H527" s="1" t="s">
        <v>69</v>
      </c>
      <c r="I527" s="1" t="s">
        <v>64</v>
      </c>
      <c r="J527" s="1" t="s">
        <v>426</v>
      </c>
      <c r="K527" s="1" t="s">
        <v>220</v>
      </c>
      <c r="L527" s="1" t="s">
        <v>355</v>
      </c>
      <c r="M527" t="str">
        <f t="shared" si="48"/>
        <v>Gyergyoi</v>
      </c>
      <c r="N527" t="str">
        <f t="shared" si="49"/>
        <v>Limbovici</v>
      </c>
      <c r="O527" t="str">
        <f t="shared" si="50"/>
        <v>Ma. Jaunpetrovičs</v>
      </c>
      <c r="P527" t="str">
        <f t="shared" si="51"/>
        <v>Kaupers</v>
      </c>
      <c r="Q527">
        <f t="shared" si="52"/>
        <v>0</v>
      </c>
      <c r="R527" t="str">
        <f t="shared" si="53"/>
        <v>Gyergyoi-Limbovici-Ma. Jaunpetrovičs-Kaupers</v>
      </c>
    </row>
    <row r="528" spans="1:18" x14ac:dyDescent="0.25">
      <c r="A528" s="1" t="s">
        <v>217</v>
      </c>
      <c r="B528" s="1">
        <v>174</v>
      </c>
      <c r="C528" s="1" t="s">
        <v>24</v>
      </c>
      <c r="D528" s="1">
        <v>1</v>
      </c>
      <c r="E528" s="1" t="s">
        <v>57</v>
      </c>
      <c r="F528" s="1">
        <v>18</v>
      </c>
      <c r="G528" s="1">
        <v>21</v>
      </c>
      <c r="H528" s="1" t="s">
        <v>69</v>
      </c>
      <c r="I528" s="1" t="s">
        <v>66</v>
      </c>
      <c r="J528" s="1" t="s">
        <v>78</v>
      </c>
      <c r="K528" s="1" t="s">
        <v>220</v>
      </c>
      <c r="L528" s="1" t="s">
        <v>355</v>
      </c>
      <c r="M528" t="str">
        <f t="shared" si="48"/>
        <v>Aldea</v>
      </c>
      <c r="N528" t="str">
        <f t="shared" si="49"/>
        <v>Bizdideanu</v>
      </c>
      <c r="O528" t="str">
        <f t="shared" si="50"/>
        <v>Ernestsons</v>
      </c>
      <c r="P528" t="str">
        <f t="shared" si="51"/>
        <v>Matulis</v>
      </c>
      <c r="Q528">
        <f t="shared" si="52"/>
        <v>0</v>
      </c>
      <c r="R528" t="str">
        <f t="shared" si="53"/>
        <v>Aldea-Bizdideanu-Ernestsons-Matulis</v>
      </c>
    </row>
    <row r="529" spans="1:18" x14ac:dyDescent="0.25">
      <c r="A529" s="1" t="s">
        <v>217</v>
      </c>
      <c r="B529" s="1">
        <v>177</v>
      </c>
      <c r="C529" s="1" t="s">
        <v>27</v>
      </c>
      <c r="D529" s="1">
        <v>1</v>
      </c>
      <c r="E529" s="1" t="s">
        <v>57</v>
      </c>
      <c r="F529" s="1">
        <v>21</v>
      </c>
      <c r="G529" s="1">
        <v>10</v>
      </c>
      <c r="H529" s="1" t="s">
        <v>69</v>
      </c>
      <c r="I529" s="1" t="s">
        <v>68</v>
      </c>
      <c r="J529" s="1" t="s">
        <v>80</v>
      </c>
      <c r="K529" s="1" t="s">
        <v>220</v>
      </c>
      <c r="L529" s="1" t="s">
        <v>355</v>
      </c>
      <c r="M529" t="str">
        <f t="shared" si="48"/>
        <v>Bliort</v>
      </c>
      <c r="N529" t="str">
        <f t="shared" si="49"/>
        <v>Cornoiu</v>
      </c>
      <c r="O529" t="str">
        <f t="shared" si="50"/>
        <v>Beļajevs</v>
      </c>
      <c r="P529" t="str">
        <f t="shared" si="51"/>
        <v>Briedis</v>
      </c>
      <c r="Q529">
        <f t="shared" si="52"/>
        <v>1</v>
      </c>
      <c r="R529" t="str">
        <f t="shared" si="53"/>
        <v>Bliort-Cornoiu-Beļajevs-Briedis</v>
      </c>
    </row>
    <row r="530" spans="1:18" x14ac:dyDescent="0.25">
      <c r="A530" s="1" t="s">
        <v>217</v>
      </c>
      <c r="B530" s="1">
        <v>183</v>
      </c>
      <c r="C530" s="1" t="s">
        <v>12</v>
      </c>
      <c r="D530" s="1">
        <v>1</v>
      </c>
      <c r="E530" s="1" t="s">
        <v>82</v>
      </c>
      <c r="F530" s="1">
        <v>18</v>
      </c>
      <c r="G530" s="1">
        <v>21</v>
      </c>
      <c r="H530" s="1" t="s">
        <v>96</v>
      </c>
      <c r="I530" s="1" t="s">
        <v>84</v>
      </c>
      <c r="J530" s="1" t="s">
        <v>397</v>
      </c>
      <c r="K530" s="1" t="s">
        <v>223</v>
      </c>
      <c r="L530" s="1" t="s">
        <v>355</v>
      </c>
      <c r="M530" t="str">
        <f t="shared" si="48"/>
        <v>Huang</v>
      </c>
      <c r="N530" t="str">
        <f t="shared" si="49"/>
        <v>Hirata</v>
      </c>
      <c r="O530" t="str">
        <f t="shared" si="50"/>
        <v>Yañez</v>
      </c>
      <c r="P530" t="str">
        <f t="shared" si="51"/>
        <v>F. Rivera</v>
      </c>
      <c r="Q530">
        <f t="shared" si="52"/>
        <v>0</v>
      </c>
      <c r="R530" t="str">
        <f t="shared" si="53"/>
        <v>Huang-Hirata-Yañez-F. Rivera</v>
      </c>
    </row>
    <row r="531" spans="1:18" x14ac:dyDescent="0.25">
      <c r="A531" s="1" t="s">
        <v>217</v>
      </c>
      <c r="B531" s="1">
        <v>186</v>
      </c>
      <c r="C531" s="1" t="s">
        <v>18</v>
      </c>
      <c r="D531" s="1">
        <v>1</v>
      </c>
      <c r="E531" s="1" t="s">
        <v>82</v>
      </c>
      <c r="F531" s="1">
        <v>22</v>
      </c>
      <c r="G531" s="1">
        <v>20</v>
      </c>
      <c r="H531" s="1" t="s">
        <v>96</v>
      </c>
      <c r="I531" s="1" t="s">
        <v>87</v>
      </c>
      <c r="J531" s="1" t="s">
        <v>101</v>
      </c>
      <c r="K531" s="1" t="s">
        <v>223</v>
      </c>
      <c r="L531" s="1" t="s">
        <v>355</v>
      </c>
      <c r="M531" t="str">
        <f t="shared" si="48"/>
        <v>M. Rohrbach</v>
      </c>
      <c r="N531" t="str">
        <f t="shared" si="49"/>
        <v>L. Rohrbach</v>
      </c>
      <c r="O531" t="str">
        <f t="shared" si="50"/>
        <v>O. Herrera</v>
      </c>
      <c r="P531" t="str">
        <f t="shared" si="51"/>
        <v>Larroza</v>
      </c>
      <c r="Q531">
        <f t="shared" si="52"/>
        <v>1</v>
      </c>
      <c r="R531" t="str">
        <f t="shared" si="53"/>
        <v>M. Rohrbach-L. Rohrbach-O. Herrera-Larroza</v>
      </c>
    </row>
    <row r="532" spans="1:18" x14ac:dyDescent="0.25">
      <c r="A532" s="1" t="s">
        <v>217</v>
      </c>
      <c r="B532" s="1">
        <v>189</v>
      </c>
      <c r="C532" s="1" t="s">
        <v>21</v>
      </c>
      <c r="D532" s="1">
        <v>1</v>
      </c>
      <c r="E532" s="1" t="s">
        <v>82</v>
      </c>
      <c r="F532" s="1">
        <v>24</v>
      </c>
      <c r="G532" s="1">
        <v>22</v>
      </c>
      <c r="H532" s="1" t="s">
        <v>96</v>
      </c>
      <c r="I532" s="1" t="s">
        <v>89</v>
      </c>
      <c r="J532" s="1" t="s">
        <v>399</v>
      </c>
      <c r="K532" s="1" t="s">
        <v>223</v>
      </c>
      <c r="L532" s="1" t="s">
        <v>355</v>
      </c>
      <c r="M532" t="str">
        <f t="shared" si="48"/>
        <v>Teixeira</v>
      </c>
      <c r="N532" t="str">
        <f t="shared" si="49"/>
        <v>Santos</v>
      </c>
      <c r="O532" t="str">
        <f t="shared" si="50"/>
        <v>D. Rivera</v>
      </c>
      <c r="P532" t="str">
        <f t="shared" si="51"/>
        <v>Ortiz</v>
      </c>
      <c r="Q532">
        <f t="shared" si="52"/>
        <v>1</v>
      </c>
      <c r="R532" t="str">
        <f t="shared" si="53"/>
        <v>Teixeira-Santos-D. Rivera-Ortiz</v>
      </c>
    </row>
    <row r="533" spans="1:18" x14ac:dyDescent="0.25">
      <c r="A533" s="1" t="s">
        <v>217</v>
      </c>
      <c r="B533" s="1">
        <v>192</v>
      </c>
      <c r="C533" s="1" t="s">
        <v>24</v>
      </c>
      <c r="D533" s="1">
        <v>1</v>
      </c>
      <c r="E533" s="1" t="s">
        <v>82</v>
      </c>
      <c r="F533" s="1">
        <v>23</v>
      </c>
      <c r="G533" s="1">
        <v>21</v>
      </c>
      <c r="H533" s="1" t="s">
        <v>96</v>
      </c>
      <c r="I533" s="1" t="s">
        <v>91</v>
      </c>
      <c r="J533" s="1" t="s">
        <v>105</v>
      </c>
      <c r="K533" s="1" t="s">
        <v>223</v>
      </c>
      <c r="L533" s="1" t="s">
        <v>355</v>
      </c>
      <c r="M533" t="str">
        <f t="shared" si="48"/>
        <v>Zerbeti</v>
      </c>
      <c r="N533" t="str">
        <f t="shared" si="49"/>
        <v>Nishida</v>
      </c>
      <c r="O533" t="str">
        <f t="shared" si="50"/>
        <v>R. Herrera</v>
      </c>
      <c r="P533" t="str">
        <f t="shared" si="51"/>
        <v>P. Herrera</v>
      </c>
      <c r="Q533">
        <f t="shared" si="52"/>
        <v>1</v>
      </c>
      <c r="R533" t="str">
        <f t="shared" si="53"/>
        <v>Zerbeti-Nishida-R. Herrera-P. Herrera</v>
      </c>
    </row>
    <row r="534" spans="1:18" x14ac:dyDescent="0.25">
      <c r="A534" s="1" t="s">
        <v>217</v>
      </c>
      <c r="B534" s="1">
        <v>195</v>
      </c>
      <c r="C534" s="1" t="s">
        <v>27</v>
      </c>
      <c r="D534" s="1">
        <v>1</v>
      </c>
      <c r="E534" s="1" t="s">
        <v>82</v>
      </c>
      <c r="F534" s="1">
        <v>19</v>
      </c>
      <c r="G534" s="1">
        <v>21</v>
      </c>
      <c r="H534" s="1" t="s">
        <v>96</v>
      </c>
      <c r="I534" s="1" t="s">
        <v>93</v>
      </c>
      <c r="J534" s="1" t="s">
        <v>107</v>
      </c>
      <c r="K534" s="1" t="s">
        <v>223</v>
      </c>
      <c r="L534" s="1" t="s">
        <v>355</v>
      </c>
      <c r="M534" t="str">
        <f t="shared" si="48"/>
        <v>Hey</v>
      </c>
      <c r="N534" t="str">
        <f t="shared" si="49"/>
        <v>Mello</v>
      </c>
      <c r="O534" t="str">
        <f t="shared" si="50"/>
        <v>Mella</v>
      </c>
      <c r="P534" t="str">
        <f t="shared" si="51"/>
        <v>Vargas</v>
      </c>
      <c r="Q534">
        <f t="shared" si="52"/>
        <v>0</v>
      </c>
      <c r="R534" t="str">
        <f t="shared" si="53"/>
        <v>Hey-Mello-Mella-Vargas</v>
      </c>
    </row>
    <row r="535" spans="1:18" x14ac:dyDescent="0.25">
      <c r="A535" s="1" t="s">
        <v>217</v>
      </c>
      <c r="B535" s="1">
        <v>201</v>
      </c>
      <c r="C535" s="1" t="s">
        <v>12</v>
      </c>
      <c r="D535" s="1">
        <v>1</v>
      </c>
      <c r="E535" s="1" t="s">
        <v>95</v>
      </c>
      <c r="F535" s="1">
        <v>16</v>
      </c>
      <c r="G535" s="1">
        <v>21</v>
      </c>
      <c r="H535" s="1" t="s">
        <v>83</v>
      </c>
      <c r="I535" s="1" t="s">
        <v>97</v>
      </c>
      <c r="J535" s="1" t="s">
        <v>85</v>
      </c>
      <c r="K535" s="1" t="s">
        <v>223</v>
      </c>
      <c r="L535" s="1" t="s">
        <v>355</v>
      </c>
      <c r="M535" t="str">
        <f t="shared" si="48"/>
        <v>J. Brus</v>
      </c>
      <c r="N535" t="str">
        <f t="shared" si="49"/>
        <v>R. Brus</v>
      </c>
      <c r="O535" t="str">
        <f t="shared" si="50"/>
        <v>Hanisch</v>
      </c>
      <c r="P535" t="str">
        <f t="shared" si="51"/>
        <v>Aasen</v>
      </c>
      <c r="Q535">
        <f t="shared" si="52"/>
        <v>0</v>
      </c>
      <c r="R535" t="str">
        <f t="shared" si="53"/>
        <v>J. Brus-R. Brus-Hanisch-Aasen</v>
      </c>
    </row>
    <row r="536" spans="1:18" x14ac:dyDescent="0.25">
      <c r="A536" s="1" t="s">
        <v>217</v>
      </c>
      <c r="B536" s="1">
        <v>204</v>
      </c>
      <c r="C536" s="1" t="s">
        <v>18</v>
      </c>
      <c r="D536" s="1">
        <v>1</v>
      </c>
      <c r="E536" s="1" t="s">
        <v>95</v>
      </c>
      <c r="F536" s="1">
        <v>17</v>
      </c>
      <c r="G536" s="1">
        <v>21</v>
      </c>
      <c r="H536" s="1" t="s">
        <v>83</v>
      </c>
      <c r="I536" s="1" t="s">
        <v>100</v>
      </c>
      <c r="J536" s="1" t="s">
        <v>88</v>
      </c>
      <c r="K536" s="1" t="s">
        <v>223</v>
      </c>
      <c r="L536" s="1" t="s">
        <v>355</v>
      </c>
      <c r="M536" t="str">
        <f t="shared" si="48"/>
        <v>Schouten</v>
      </c>
      <c r="N536" t="str">
        <f t="shared" si="49"/>
        <v>van Manen</v>
      </c>
      <c r="O536" t="str">
        <f t="shared" si="50"/>
        <v>Steinsholt</v>
      </c>
      <c r="P536" t="str">
        <f t="shared" si="51"/>
        <v>Kuehl</v>
      </c>
      <c r="Q536">
        <f t="shared" si="52"/>
        <v>0</v>
      </c>
      <c r="R536" t="str">
        <f t="shared" si="53"/>
        <v>Schouten-van Manen-Steinsholt-Kuehl</v>
      </c>
    </row>
    <row r="537" spans="1:18" x14ac:dyDescent="0.25">
      <c r="A537" s="1" t="s">
        <v>217</v>
      </c>
      <c r="B537" s="1">
        <v>207</v>
      </c>
      <c r="C537" s="1" t="s">
        <v>21</v>
      </c>
      <c r="D537" s="1">
        <v>1</v>
      </c>
      <c r="E537" s="1" t="s">
        <v>95</v>
      </c>
      <c r="F537" s="1">
        <v>10</v>
      </c>
      <c r="G537" s="1">
        <v>21</v>
      </c>
      <c r="H537" s="1" t="s">
        <v>83</v>
      </c>
      <c r="I537" s="1" t="s">
        <v>102</v>
      </c>
      <c r="J537" s="1" t="s">
        <v>90</v>
      </c>
      <c r="K537" s="1" t="s">
        <v>223</v>
      </c>
      <c r="L537" s="1" t="s">
        <v>355</v>
      </c>
      <c r="M537" t="str">
        <f t="shared" si="48"/>
        <v>Nieboer</v>
      </c>
      <c r="N537" t="str">
        <f t="shared" si="49"/>
        <v>Van de Riet</v>
      </c>
      <c r="O537" t="str">
        <f t="shared" si="50"/>
        <v>Sund-Olsen</v>
      </c>
      <c r="P537" t="str">
        <f t="shared" si="51"/>
        <v>Strandin</v>
      </c>
      <c r="Q537">
        <f t="shared" si="52"/>
        <v>0</v>
      </c>
      <c r="R537" t="str">
        <f t="shared" si="53"/>
        <v>Nieboer-Van de Riet-Sund-Olsen-Strandin</v>
      </c>
    </row>
    <row r="538" spans="1:18" x14ac:dyDescent="0.25">
      <c r="A538" s="1" t="s">
        <v>217</v>
      </c>
      <c r="B538" s="1">
        <v>210</v>
      </c>
      <c r="C538" s="1" t="s">
        <v>24</v>
      </c>
      <c r="D538" s="1">
        <v>1</v>
      </c>
      <c r="E538" s="1" t="s">
        <v>95</v>
      </c>
      <c r="F538" s="1">
        <v>21</v>
      </c>
      <c r="G538" s="1">
        <v>19</v>
      </c>
      <c r="H538" s="1" t="s">
        <v>83</v>
      </c>
      <c r="I538" s="1" t="s">
        <v>104</v>
      </c>
      <c r="J538" s="1" t="s">
        <v>92</v>
      </c>
      <c r="K538" s="1" t="s">
        <v>223</v>
      </c>
      <c r="L538" s="1" t="s">
        <v>355</v>
      </c>
      <c r="M538" t="str">
        <f t="shared" si="48"/>
        <v>Spengler</v>
      </c>
      <c r="N538" t="str">
        <f t="shared" si="49"/>
        <v>Slebos</v>
      </c>
      <c r="O538" t="str">
        <f t="shared" si="50"/>
        <v>Helland</v>
      </c>
      <c r="P538" t="str">
        <f t="shared" si="51"/>
        <v>Abrahamsen</v>
      </c>
      <c r="Q538">
        <f t="shared" si="52"/>
        <v>1</v>
      </c>
      <c r="R538" t="str">
        <f t="shared" si="53"/>
        <v>Spengler-Slebos-Helland-Abrahamsen</v>
      </c>
    </row>
    <row r="539" spans="1:18" x14ac:dyDescent="0.25">
      <c r="A539" s="1" t="s">
        <v>217</v>
      </c>
      <c r="B539" s="1">
        <v>213</v>
      </c>
      <c r="C539" s="1" t="s">
        <v>27</v>
      </c>
      <c r="D539" s="1">
        <v>1</v>
      </c>
      <c r="E539" s="1" t="s">
        <v>95</v>
      </c>
      <c r="F539" s="1">
        <v>21</v>
      </c>
      <c r="G539" s="1">
        <v>13</v>
      </c>
      <c r="H539" s="1" t="s">
        <v>83</v>
      </c>
      <c r="I539" s="1" t="s">
        <v>106</v>
      </c>
      <c r="J539" s="1" t="s">
        <v>419</v>
      </c>
      <c r="K539" s="1" t="s">
        <v>223</v>
      </c>
      <c r="L539" s="1" t="s">
        <v>355</v>
      </c>
      <c r="M539" t="str">
        <f t="shared" si="48"/>
        <v>Kedar</v>
      </c>
      <c r="N539" t="str">
        <f t="shared" si="49"/>
        <v>Elbertsen</v>
      </c>
      <c r="O539" t="str">
        <f t="shared" si="50"/>
        <v>J. Modalsli</v>
      </c>
      <c r="P539" t="str">
        <f t="shared" si="51"/>
        <v>Tønne-Johansen</v>
      </c>
      <c r="Q539">
        <f t="shared" si="52"/>
        <v>1</v>
      </c>
      <c r="R539" t="str">
        <f t="shared" si="53"/>
        <v>Kedar-Elbertsen-J. Modalsli-Tønne-Johansen</v>
      </c>
    </row>
    <row r="540" spans="1:18" x14ac:dyDescent="0.25">
      <c r="A540" s="1" t="s">
        <v>217</v>
      </c>
      <c r="B540" s="1">
        <v>219</v>
      </c>
      <c r="C540" s="1" t="s">
        <v>12</v>
      </c>
      <c r="D540" s="1">
        <v>1</v>
      </c>
      <c r="E540" s="1" t="s">
        <v>108</v>
      </c>
      <c r="F540" s="1">
        <v>1</v>
      </c>
      <c r="G540" s="1">
        <v>0</v>
      </c>
      <c r="H540" s="1" t="s">
        <v>122</v>
      </c>
      <c r="I540" s="1" t="s">
        <v>110</v>
      </c>
      <c r="J540" s="1" t="s">
        <v>124</v>
      </c>
      <c r="K540" s="1" t="s">
        <v>224</v>
      </c>
      <c r="L540" s="1" t="s">
        <v>355</v>
      </c>
      <c r="M540" t="str">
        <f t="shared" si="48"/>
        <v>Goar</v>
      </c>
      <c r="N540" t="str">
        <f t="shared" si="49"/>
        <v>Canovas</v>
      </c>
      <c r="O540" t="str">
        <f t="shared" si="50"/>
        <v>Brach</v>
      </c>
      <c r="P540" t="str">
        <f t="shared" si="51"/>
        <v>Castin</v>
      </c>
      <c r="Q540">
        <f t="shared" si="52"/>
        <v>1</v>
      </c>
      <c r="R540" t="str">
        <f t="shared" si="53"/>
        <v>Goar-Canovas-Brach-Castin</v>
      </c>
    </row>
    <row r="541" spans="1:18" x14ac:dyDescent="0.25">
      <c r="A541" s="1" t="s">
        <v>217</v>
      </c>
      <c r="B541" s="1">
        <v>223</v>
      </c>
      <c r="C541" s="1" t="s">
        <v>18</v>
      </c>
      <c r="D541" s="1">
        <v>2</v>
      </c>
      <c r="E541" s="1" t="s">
        <v>108</v>
      </c>
      <c r="F541" s="1">
        <v>1</v>
      </c>
      <c r="G541" s="1">
        <v>0</v>
      </c>
      <c r="H541" s="1" t="s">
        <v>122</v>
      </c>
      <c r="I541" s="1" t="s">
        <v>398</v>
      </c>
      <c r="J541" s="1" t="s">
        <v>127</v>
      </c>
      <c r="K541" s="1" t="s">
        <v>224</v>
      </c>
      <c r="L541" s="1" t="s">
        <v>355</v>
      </c>
      <c r="M541" t="str">
        <f t="shared" si="48"/>
        <v>M. Rivera</v>
      </c>
      <c r="N541" t="str">
        <f t="shared" si="49"/>
        <v>Meave</v>
      </c>
      <c r="O541" t="str">
        <f t="shared" si="50"/>
        <v>Bermes</v>
      </c>
      <c r="P541" t="str">
        <f t="shared" si="51"/>
        <v>Ries</v>
      </c>
      <c r="Q541">
        <f t="shared" si="52"/>
        <v>1</v>
      </c>
      <c r="R541" t="str">
        <f t="shared" si="53"/>
        <v>M. Rivera-Meave-Bermes-Ries</v>
      </c>
    </row>
    <row r="542" spans="1:18" x14ac:dyDescent="0.25">
      <c r="A542" s="1" t="s">
        <v>217</v>
      </c>
      <c r="B542" s="1">
        <v>225</v>
      </c>
      <c r="C542" s="1" t="s">
        <v>21</v>
      </c>
      <c r="D542" s="1">
        <v>1</v>
      </c>
      <c r="E542" s="1" t="s">
        <v>108</v>
      </c>
      <c r="F542" s="1">
        <v>1</v>
      </c>
      <c r="G542" s="1">
        <v>0</v>
      </c>
      <c r="H542" s="1" t="s">
        <v>122</v>
      </c>
      <c r="I542" s="1" t="s">
        <v>115</v>
      </c>
      <c r="J542" s="1" t="s">
        <v>412</v>
      </c>
      <c r="K542" s="1" t="s">
        <v>224</v>
      </c>
      <c r="L542" s="1" t="s">
        <v>355</v>
      </c>
      <c r="M542" t="str">
        <f t="shared" si="48"/>
        <v>Erick Diaz</v>
      </c>
      <c r="N542" t="str">
        <f t="shared" si="49"/>
        <v>Loïacono</v>
      </c>
      <c r="O542" t="str">
        <f t="shared" si="50"/>
        <v>Mertens</v>
      </c>
      <c r="P542" t="str">
        <f t="shared" si="51"/>
        <v>M. Thomé</v>
      </c>
      <c r="Q542">
        <f t="shared" si="52"/>
        <v>1</v>
      </c>
      <c r="R542" t="str">
        <f t="shared" si="53"/>
        <v>Erick Diaz-Loïacono-Mertens-M. Thomé</v>
      </c>
    </row>
    <row r="543" spans="1:18" x14ac:dyDescent="0.25">
      <c r="A543" s="1" t="s">
        <v>217</v>
      </c>
      <c r="B543" s="1">
        <v>238</v>
      </c>
      <c r="C543" s="1" t="s">
        <v>12</v>
      </c>
      <c r="D543" s="1">
        <v>2</v>
      </c>
      <c r="E543" s="1" t="s">
        <v>121</v>
      </c>
      <c r="F543" s="1">
        <v>0</v>
      </c>
      <c r="G543" s="1">
        <v>1</v>
      </c>
      <c r="H543" s="1" t="s">
        <v>109</v>
      </c>
      <c r="I543" s="1" t="s">
        <v>123</v>
      </c>
      <c r="J543" s="1" t="s">
        <v>111</v>
      </c>
      <c r="K543" s="1" t="s">
        <v>224</v>
      </c>
      <c r="L543" s="1" t="s">
        <v>355</v>
      </c>
      <c r="M543" t="str">
        <f t="shared" si="48"/>
        <v>Prelich</v>
      </c>
      <c r="N543" t="str">
        <f t="shared" si="49"/>
        <v>Tomkin Clarke</v>
      </c>
      <c r="O543" t="str">
        <f t="shared" si="50"/>
        <v>Ko. Kyläinpää</v>
      </c>
      <c r="P543" t="str">
        <f t="shared" si="51"/>
        <v>Ka. Kyläinpää</v>
      </c>
      <c r="Q543">
        <f t="shared" si="52"/>
        <v>0</v>
      </c>
      <c r="R543" t="str">
        <f t="shared" si="53"/>
        <v>Prelich-Tomkin Clarke-Ko. Kyläinpää-Ka. Kyläinpää</v>
      </c>
    </row>
    <row r="544" spans="1:18" x14ac:dyDescent="0.25">
      <c r="A544" s="1" t="s">
        <v>217</v>
      </c>
      <c r="B544" s="1">
        <v>240</v>
      </c>
      <c r="C544" s="1" t="s">
        <v>18</v>
      </c>
      <c r="D544" s="1">
        <v>1</v>
      </c>
      <c r="E544" s="1" t="s">
        <v>121</v>
      </c>
      <c r="F544" s="1">
        <v>0</v>
      </c>
      <c r="G544" s="1">
        <v>1</v>
      </c>
      <c r="H544" s="1" t="s">
        <v>109</v>
      </c>
      <c r="I544" s="1" t="s">
        <v>126</v>
      </c>
      <c r="J544" s="1" t="s">
        <v>114</v>
      </c>
      <c r="K544" s="1" t="s">
        <v>224</v>
      </c>
      <c r="L544" s="1" t="s">
        <v>355</v>
      </c>
      <c r="M544" t="str">
        <f t="shared" si="48"/>
        <v>O'Gara</v>
      </c>
      <c r="N544" t="str">
        <f t="shared" si="49"/>
        <v>Mendez</v>
      </c>
      <c r="O544" t="str">
        <f t="shared" si="50"/>
        <v>Youssef</v>
      </c>
      <c r="P544" t="str">
        <f t="shared" si="51"/>
        <v>Heikkinen</v>
      </c>
      <c r="Q544">
        <f t="shared" si="52"/>
        <v>0</v>
      </c>
      <c r="R544" t="str">
        <f t="shared" si="53"/>
        <v>O'Gara-Mendez-Youssef-Heikkinen</v>
      </c>
    </row>
    <row r="545" spans="1:18" x14ac:dyDescent="0.25">
      <c r="A545" s="1" t="s">
        <v>217</v>
      </c>
      <c r="B545" s="1">
        <v>244</v>
      </c>
      <c r="C545" s="1" t="s">
        <v>21</v>
      </c>
      <c r="D545" s="1">
        <v>2</v>
      </c>
      <c r="E545" s="1" t="s">
        <v>121</v>
      </c>
      <c r="F545" s="1">
        <v>0</v>
      </c>
      <c r="G545" s="1">
        <v>1</v>
      </c>
      <c r="H545" s="1" t="s">
        <v>109</v>
      </c>
      <c r="I545" s="1" t="s">
        <v>128</v>
      </c>
      <c r="J545" s="1" t="s">
        <v>116</v>
      </c>
      <c r="K545" s="1" t="s">
        <v>224</v>
      </c>
      <c r="L545" s="1" t="s">
        <v>355</v>
      </c>
      <c r="M545" t="str">
        <f t="shared" si="48"/>
        <v>Duffy</v>
      </c>
      <c r="N545" t="str">
        <f t="shared" si="49"/>
        <v>Byrne</v>
      </c>
      <c r="O545" t="str">
        <f t="shared" si="50"/>
        <v>Peltonen</v>
      </c>
      <c r="P545" t="str">
        <f t="shared" si="51"/>
        <v>Seitz</v>
      </c>
      <c r="Q545">
        <f t="shared" si="52"/>
        <v>0</v>
      </c>
      <c r="R545" t="str">
        <f t="shared" si="53"/>
        <v>Duffy-Byrne-Peltonen-Seitz</v>
      </c>
    </row>
    <row r="546" spans="1:18" x14ac:dyDescent="0.25">
      <c r="A546" s="1" t="s">
        <v>217</v>
      </c>
      <c r="B546" s="1">
        <v>246</v>
      </c>
      <c r="C546" s="1" t="s">
        <v>24</v>
      </c>
      <c r="D546" s="1">
        <v>1</v>
      </c>
      <c r="E546" s="1" t="s">
        <v>121</v>
      </c>
      <c r="F546" s="1">
        <v>0</v>
      </c>
      <c r="G546" s="1">
        <v>1</v>
      </c>
      <c r="H546" s="1" t="s">
        <v>109</v>
      </c>
      <c r="I546" s="1" t="s">
        <v>130</v>
      </c>
      <c r="J546" s="1" t="s">
        <v>118</v>
      </c>
      <c r="K546" s="1" t="s">
        <v>224</v>
      </c>
      <c r="L546" s="1" t="s">
        <v>355</v>
      </c>
      <c r="M546" t="str">
        <f t="shared" si="48"/>
        <v>Leonard</v>
      </c>
      <c r="N546" t="str">
        <f t="shared" si="49"/>
        <v>Hodkinson</v>
      </c>
      <c r="O546" t="str">
        <f t="shared" si="50"/>
        <v>Kauppinen</v>
      </c>
      <c r="P546" t="str">
        <f t="shared" si="51"/>
        <v>Modenius</v>
      </c>
      <c r="Q546">
        <f t="shared" si="52"/>
        <v>0</v>
      </c>
      <c r="R546" t="str">
        <f t="shared" si="53"/>
        <v>Leonard-Hodkinson-Kauppinen-Modenius</v>
      </c>
    </row>
    <row r="547" spans="1:18" x14ac:dyDescent="0.25">
      <c r="A547" s="1" t="s">
        <v>217</v>
      </c>
      <c r="B547" s="1">
        <v>250</v>
      </c>
      <c r="C547" s="1" t="s">
        <v>27</v>
      </c>
      <c r="D547" s="1">
        <v>2</v>
      </c>
      <c r="E547" s="1" t="s">
        <v>121</v>
      </c>
      <c r="F547" s="1">
        <v>1</v>
      </c>
      <c r="G547" s="1">
        <v>0</v>
      </c>
      <c r="H547" s="1" t="s">
        <v>109</v>
      </c>
      <c r="I547" s="1" t="s">
        <v>132</v>
      </c>
      <c r="J547" s="1" t="s">
        <v>120</v>
      </c>
      <c r="K547" s="1" t="s">
        <v>224</v>
      </c>
      <c r="L547" s="1" t="s">
        <v>355</v>
      </c>
      <c r="M547" t="str">
        <f t="shared" si="48"/>
        <v>Costa</v>
      </c>
      <c r="N547" t="str">
        <f t="shared" si="49"/>
        <v>Urbi</v>
      </c>
      <c r="O547" t="str">
        <f t="shared" si="50"/>
        <v>Zein</v>
      </c>
      <c r="P547" t="str">
        <f t="shared" si="51"/>
        <v>Orava</v>
      </c>
      <c r="Q547">
        <f t="shared" si="52"/>
        <v>1</v>
      </c>
      <c r="R547" t="str">
        <f t="shared" si="53"/>
        <v>Costa-Urbi-Zein-Orava</v>
      </c>
    </row>
    <row r="548" spans="1:18" x14ac:dyDescent="0.25">
      <c r="A548" s="1" t="s">
        <v>217</v>
      </c>
      <c r="B548" s="1">
        <v>39</v>
      </c>
      <c r="C548" s="1" t="s">
        <v>12</v>
      </c>
      <c r="D548" s="1">
        <v>1</v>
      </c>
      <c r="E548" s="1" t="s">
        <v>155</v>
      </c>
      <c r="F548" s="1">
        <v>22</v>
      </c>
      <c r="G548" s="1">
        <v>20</v>
      </c>
      <c r="H548" s="1" t="s">
        <v>169</v>
      </c>
      <c r="I548" s="1" t="s">
        <v>157</v>
      </c>
      <c r="J548" s="1" t="s">
        <v>171</v>
      </c>
      <c r="K548" s="1" t="s">
        <v>227</v>
      </c>
      <c r="L548" s="1" t="s">
        <v>355</v>
      </c>
      <c r="M548" t="str">
        <f t="shared" si="48"/>
        <v>Bazzani</v>
      </c>
      <c r="N548" t="str">
        <f t="shared" si="49"/>
        <v>Borsotti</v>
      </c>
      <c r="O548" t="str">
        <f t="shared" si="50"/>
        <v>Ekman</v>
      </c>
      <c r="P548" t="str">
        <f t="shared" si="51"/>
        <v>Stenquist</v>
      </c>
      <c r="Q548">
        <f t="shared" si="52"/>
        <v>1</v>
      </c>
      <c r="R548" t="str">
        <f t="shared" si="53"/>
        <v>Bazzani-Borsotti-Ekman-Stenquist</v>
      </c>
    </row>
    <row r="549" spans="1:18" x14ac:dyDescent="0.25">
      <c r="A549" s="1" t="s">
        <v>217</v>
      </c>
      <c r="B549" s="1">
        <v>42</v>
      </c>
      <c r="C549" s="1" t="s">
        <v>18</v>
      </c>
      <c r="D549" s="1">
        <v>1</v>
      </c>
      <c r="E549" s="1" t="s">
        <v>155</v>
      </c>
      <c r="F549" s="1">
        <v>21</v>
      </c>
      <c r="G549" s="1">
        <v>19</v>
      </c>
      <c r="H549" s="1" t="s">
        <v>169</v>
      </c>
      <c r="I549" s="1" t="s">
        <v>160</v>
      </c>
      <c r="J549" s="1" t="s">
        <v>174</v>
      </c>
      <c r="K549" s="1" t="s">
        <v>227</v>
      </c>
      <c r="L549" s="1" t="s">
        <v>355</v>
      </c>
      <c r="M549" t="str">
        <f t="shared" si="48"/>
        <v>Dudine</v>
      </c>
      <c r="N549" t="str">
        <f t="shared" si="49"/>
        <v>Zanellato</v>
      </c>
      <c r="O549" t="str">
        <f t="shared" si="50"/>
        <v>Henström</v>
      </c>
      <c r="P549" t="str">
        <f t="shared" si="51"/>
        <v>Mjönes</v>
      </c>
      <c r="Q549">
        <f t="shared" si="52"/>
        <v>1</v>
      </c>
      <c r="R549" t="str">
        <f t="shared" si="53"/>
        <v>Dudine-Zanellato-Henström-Mjönes</v>
      </c>
    </row>
    <row r="550" spans="1:18" x14ac:dyDescent="0.25">
      <c r="A550" s="1" t="s">
        <v>217</v>
      </c>
      <c r="B550" s="1">
        <v>45</v>
      </c>
      <c r="C550" s="1" t="s">
        <v>21</v>
      </c>
      <c r="D550" s="1">
        <v>1</v>
      </c>
      <c r="E550" s="1" t="s">
        <v>155</v>
      </c>
      <c r="F550" s="1">
        <v>21</v>
      </c>
      <c r="G550" s="1">
        <v>17</v>
      </c>
      <c r="H550" s="1" t="s">
        <v>169</v>
      </c>
      <c r="I550" s="1" t="s">
        <v>364</v>
      </c>
      <c r="J550" s="1" t="s">
        <v>176</v>
      </c>
      <c r="K550" s="1" t="s">
        <v>227</v>
      </c>
      <c r="L550" s="1" t="s">
        <v>355</v>
      </c>
      <c r="M550" t="str">
        <f t="shared" si="48"/>
        <v>mercadini</v>
      </c>
      <c r="N550" t="str">
        <f t="shared" si="49"/>
        <v>Sacchini</v>
      </c>
      <c r="O550" t="str">
        <f t="shared" si="50"/>
        <v>Millton</v>
      </c>
      <c r="P550" t="str">
        <f t="shared" si="51"/>
        <v>Baggman</v>
      </c>
      <c r="Q550">
        <f t="shared" si="52"/>
        <v>1</v>
      </c>
      <c r="R550" t="str">
        <f t="shared" si="53"/>
        <v>mercadini-Sacchini-Millton-Baggman</v>
      </c>
    </row>
    <row r="551" spans="1:18" x14ac:dyDescent="0.25">
      <c r="A551" s="1" t="s">
        <v>217</v>
      </c>
      <c r="B551" s="1">
        <v>48</v>
      </c>
      <c r="C551" s="1" t="s">
        <v>24</v>
      </c>
      <c r="D551" s="1">
        <v>1</v>
      </c>
      <c r="E551" s="1" t="s">
        <v>155</v>
      </c>
      <c r="F551" s="1">
        <v>21</v>
      </c>
      <c r="G551" s="1">
        <v>17</v>
      </c>
      <c r="H551" s="1" t="s">
        <v>169</v>
      </c>
      <c r="I551" s="1" t="s">
        <v>164</v>
      </c>
      <c r="J551" s="1" t="s">
        <v>178</v>
      </c>
      <c r="K551" s="1" t="s">
        <v>227</v>
      </c>
      <c r="L551" s="1" t="s">
        <v>355</v>
      </c>
      <c r="M551" t="str">
        <f t="shared" si="48"/>
        <v>Grazi</v>
      </c>
      <c r="N551" t="str">
        <f t="shared" si="49"/>
        <v>Pareschi</v>
      </c>
      <c r="O551" t="str">
        <f t="shared" si="50"/>
        <v>Jansson</v>
      </c>
      <c r="P551" t="str">
        <f t="shared" si="51"/>
        <v>Svensson</v>
      </c>
      <c r="Q551">
        <f t="shared" si="52"/>
        <v>1</v>
      </c>
      <c r="R551" t="str">
        <f t="shared" si="53"/>
        <v>Grazi-Pareschi-Jansson-Svensson</v>
      </c>
    </row>
    <row r="552" spans="1:18" x14ac:dyDescent="0.25">
      <c r="A552" s="1" t="s">
        <v>217</v>
      </c>
      <c r="B552" s="1">
        <v>51</v>
      </c>
      <c r="C552" s="1" t="s">
        <v>27</v>
      </c>
      <c r="D552" s="1">
        <v>1</v>
      </c>
      <c r="E552" s="1" t="s">
        <v>155</v>
      </c>
      <c r="F552" s="1">
        <v>21</v>
      </c>
      <c r="G552" s="1">
        <v>17</v>
      </c>
      <c r="H552" s="1" t="s">
        <v>169</v>
      </c>
      <c r="I552" s="1" t="s">
        <v>166</v>
      </c>
      <c r="J552" s="1" t="s">
        <v>180</v>
      </c>
      <c r="K552" s="1" t="s">
        <v>227</v>
      </c>
      <c r="L552" s="1" t="s">
        <v>355</v>
      </c>
      <c r="M552" t="str">
        <f t="shared" si="48"/>
        <v>Merlin</v>
      </c>
      <c r="N552" t="str">
        <f t="shared" si="49"/>
        <v>Molli</v>
      </c>
      <c r="O552" t="str">
        <f t="shared" si="50"/>
        <v>Skogward</v>
      </c>
      <c r="P552" t="str">
        <f t="shared" si="51"/>
        <v>Ljung</v>
      </c>
      <c r="Q552">
        <f t="shared" si="52"/>
        <v>1</v>
      </c>
      <c r="R552" t="str">
        <f t="shared" si="53"/>
        <v>Merlin-Molli-Skogward-Ljung</v>
      </c>
    </row>
    <row r="553" spans="1:18" x14ac:dyDescent="0.25">
      <c r="A553" s="1" t="s">
        <v>217</v>
      </c>
      <c r="B553" s="1">
        <v>57</v>
      </c>
      <c r="C553" s="1" t="s">
        <v>12</v>
      </c>
      <c r="D553" s="1">
        <v>1</v>
      </c>
      <c r="E553" s="1" t="s">
        <v>156</v>
      </c>
      <c r="F553" s="1">
        <v>1</v>
      </c>
      <c r="G553" s="1">
        <v>0</v>
      </c>
      <c r="H553" s="1" t="s">
        <v>168</v>
      </c>
      <c r="I553" s="1" t="s">
        <v>158</v>
      </c>
      <c r="J553" s="1" t="s">
        <v>170</v>
      </c>
      <c r="K553" s="1" t="s">
        <v>227</v>
      </c>
      <c r="L553" s="1" t="s">
        <v>355</v>
      </c>
      <c r="M553" t="str">
        <f t="shared" si="48"/>
        <v>Bachler</v>
      </c>
      <c r="N553" t="str">
        <f t="shared" si="49"/>
        <v>Dziruni</v>
      </c>
      <c r="O553" t="str">
        <f t="shared" si="50"/>
        <v>Clark</v>
      </c>
      <c r="P553" t="str">
        <f t="shared" si="51"/>
        <v>Florinda</v>
      </c>
      <c r="Q553">
        <f t="shared" si="52"/>
        <v>1</v>
      </c>
      <c r="R553" t="str">
        <f t="shared" si="53"/>
        <v>Bachler-Dziruni-Clark-Florinda</v>
      </c>
    </row>
    <row r="554" spans="1:18" x14ac:dyDescent="0.25">
      <c r="A554" s="1" t="s">
        <v>217</v>
      </c>
      <c r="B554" s="1">
        <v>61</v>
      </c>
      <c r="C554" s="1" t="s">
        <v>18</v>
      </c>
      <c r="D554" s="1">
        <v>2</v>
      </c>
      <c r="E554" s="1" t="s">
        <v>156</v>
      </c>
      <c r="F554" s="1">
        <v>1</v>
      </c>
      <c r="G554" s="1">
        <v>0</v>
      </c>
      <c r="H554" s="1" t="s">
        <v>168</v>
      </c>
      <c r="I554" s="1" t="s">
        <v>161</v>
      </c>
      <c r="J554" s="1" t="s">
        <v>173</v>
      </c>
      <c r="K554" s="1" t="s">
        <v>227</v>
      </c>
      <c r="L554" s="1" t="s">
        <v>355</v>
      </c>
      <c r="M554" t="str">
        <f t="shared" si="48"/>
        <v>Handschmann</v>
      </c>
      <c r="N554" t="str">
        <f t="shared" si="49"/>
        <v>Jindra</v>
      </c>
      <c r="O554" t="str">
        <f t="shared" si="50"/>
        <v>Améziane</v>
      </c>
      <c r="P554" t="str">
        <f t="shared" si="51"/>
        <v>Mareschal</v>
      </c>
      <c r="Q554">
        <f t="shared" si="52"/>
        <v>1</v>
      </c>
      <c r="R554" t="str">
        <f t="shared" si="53"/>
        <v>Handschmann-Jindra-Améziane-Mareschal</v>
      </c>
    </row>
    <row r="555" spans="1:18" x14ac:dyDescent="0.25">
      <c r="A555" s="1" t="s">
        <v>217</v>
      </c>
      <c r="B555" s="1">
        <v>63</v>
      </c>
      <c r="C555" s="1" t="s">
        <v>21</v>
      </c>
      <c r="D555" s="1">
        <v>1</v>
      </c>
      <c r="E555" s="1" t="s">
        <v>156</v>
      </c>
      <c r="F555" s="1">
        <v>1</v>
      </c>
      <c r="G555" s="1">
        <v>0</v>
      </c>
      <c r="H555" s="1" t="s">
        <v>168</v>
      </c>
      <c r="I555" s="1" t="s">
        <v>163</v>
      </c>
      <c r="J555" s="1" t="s">
        <v>175</v>
      </c>
      <c r="K555" s="1" t="s">
        <v>227</v>
      </c>
      <c r="L555" s="1" t="s">
        <v>355</v>
      </c>
      <c r="M555" t="str">
        <f t="shared" si="48"/>
        <v>Eynard</v>
      </c>
      <c r="N555" t="str">
        <f t="shared" si="49"/>
        <v>Stoisser</v>
      </c>
      <c r="O555" t="str">
        <f t="shared" si="50"/>
        <v>Caux-Ramon</v>
      </c>
      <c r="P555" t="str">
        <f t="shared" si="51"/>
        <v>Lacombe</v>
      </c>
      <c r="Q555">
        <f t="shared" si="52"/>
        <v>1</v>
      </c>
      <c r="R555" t="str">
        <f t="shared" si="53"/>
        <v>Eynard-Stoisser-Caux-Ramon-Lacombe</v>
      </c>
    </row>
    <row r="556" spans="1:18" x14ac:dyDescent="0.25">
      <c r="A556" s="1" t="s">
        <v>217</v>
      </c>
      <c r="B556" s="1">
        <v>67</v>
      </c>
      <c r="C556" s="1" t="s">
        <v>24</v>
      </c>
      <c r="D556" s="1">
        <v>2</v>
      </c>
      <c r="E556" s="1" t="s">
        <v>156</v>
      </c>
      <c r="F556" s="1">
        <v>0</v>
      </c>
      <c r="G556" s="1">
        <v>1</v>
      </c>
      <c r="H556" s="1" t="s">
        <v>168</v>
      </c>
      <c r="I556" s="1" t="s">
        <v>165</v>
      </c>
      <c r="J556" s="1" t="s">
        <v>177</v>
      </c>
      <c r="K556" s="1" t="s">
        <v>227</v>
      </c>
      <c r="L556" s="1" t="s">
        <v>355</v>
      </c>
      <c r="M556" t="str">
        <f t="shared" si="48"/>
        <v>Gangkofner</v>
      </c>
      <c r="N556" t="str">
        <f t="shared" si="49"/>
        <v>Mitterwald</v>
      </c>
      <c r="O556" t="str">
        <f t="shared" si="50"/>
        <v>Danekas</v>
      </c>
      <c r="P556" t="str">
        <f t="shared" si="51"/>
        <v>Lecrosnier</v>
      </c>
      <c r="Q556">
        <f t="shared" si="52"/>
        <v>0</v>
      </c>
      <c r="R556" t="str">
        <f t="shared" si="53"/>
        <v>Gangkofner-Mitterwald-Danekas-Lecrosnier</v>
      </c>
    </row>
    <row r="557" spans="1:18" x14ac:dyDescent="0.25">
      <c r="A557" s="1" t="s">
        <v>217</v>
      </c>
      <c r="B557" s="1">
        <v>69</v>
      </c>
      <c r="C557" s="1" t="s">
        <v>27</v>
      </c>
      <c r="D557" s="1">
        <v>1</v>
      </c>
      <c r="E557" s="1" t="s">
        <v>156</v>
      </c>
      <c r="F557" s="1">
        <v>0</v>
      </c>
      <c r="G557" s="1">
        <v>1</v>
      </c>
      <c r="H557" s="1" t="s">
        <v>168</v>
      </c>
      <c r="I557" s="1" t="s">
        <v>167</v>
      </c>
      <c r="J557" s="1" t="s">
        <v>179</v>
      </c>
      <c r="K557" s="1" t="s">
        <v>227</v>
      </c>
      <c r="L557" s="1" t="s">
        <v>355</v>
      </c>
      <c r="M557" t="str">
        <f t="shared" si="48"/>
        <v>Anderle</v>
      </c>
      <c r="N557" t="str">
        <f t="shared" si="49"/>
        <v>Leidenfrost</v>
      </c>
      <c r="O557" t="str">
        <f t="shared" si="50"/>
        <v>Renimel</v>
      </c>
      <c r="P557" t="str">
        <f t="shared" si="51"/>
        <v>Sandoz</v>
      </c>
      <c r="Q557">
        <f t="shared" si="52"/>
        <v>0</v>
      </c>
      <c r="R557" t="str">
        <f t="shared" si="53"/>
        <v>Anderle-Leidenfrost-Renimel-Sandoz</v>
      </c>
    </row>
    <row r="558" spans="1:18" x14ac:dyDescent="0.25">
      <c r="A558" s="1" t="s">
        <v>217</v>
      </c>
      <c r="B558" s="1">
        <v>75</v>
      </c>
      <c r="C558" s="1" t="s">
        <v>12</v>
      </c>
      <c r="D558" s="1">
        <v>1</v>
      </c>
      <c r="E558" s="1" t="s">
        <v>14</v>
      </c>
      <c r="F558" s="1">
        <v>14</v>
      </c>
      <c r="G558" s="1">
        <v>21</v>
      </c>
      <c r="H558" s="1" t="s">
        <v>181</v>
      </c>
      <c r="I558" s="1" t="s">
        <v>16</v>
      </c>
      <c r="J558" s="1" t="s">
        <v>183</v>
      </c>
      <c r="K558" s="1" t="s">
        <v>228</v>
      </c>
      <c r="L558" s="1" t="s">
        <v>355</v>
      </c>
      <c r="M558" t="str">
        <f t="shared" si="48"/>
        <v>Beeks</v>
      </c>
      <c r="N558" t="str">
        <f t="shared" si="49"/>
        <v>Elbourne</v>
      </c>
      <c r="O558" t="str">
        <f t="shared" si="50"/>
        <v>Christensen</v>
      </c>
      <c r="P558" t="str">
        <f t="shared" si="51"/>
        <v>Søvndal</v>
      </c>
      <c r="Q558">
        <f t="shared" si="52"/>
        <v>0</v>
      </c>
      <c r="R558" t="str">
        <f t="shared" si="53"/>
        <v>Beeks-Elbourne-Christensen-Søvndal</v>
      </c>
    </row>
    <row r="559" spans="1:18" x14ac:dyDescent="0.25">
      <c r="A559" s="1" t="s">
        <v>217</v>
      </c>
      <c r="B559" s="1">
        <v>78</v>
      </c>
      <c r="C559" s="1" t="s">
        <v>18</v>
      </c>
      <c r="D559" s="1">
        <v>1</v>
      </c>
      <c r="E559" s="1" t="s">
        <v>14</v>
      </c>
      <c r="F559" s="1">
        <v>18</v>
      </c>
      <c r="G559" s="1">
        <v>21</v>
      </c>
      <c r="H559" s="1" t="s">
        <v>181</v>
      </c>
      <c r="I559" s="1" t="s">
        <v>20</v>
      </c>
      <c r="J559" s="1" t="s">
        <v>186</v>
      </c>
      <c r="K559" s="1" t="s">
        <v>228</v>
      </c>
      <c r="L559" s="1" t="s">
        <v>355</v>
      </c>
      <c r="M559" t="str">
        <f t="shared" si="48"/>
        <v>Rowlands</v>
      </c>
      <c r="N559" t="str">
        <f t="shared" si="49"/>
        <v>Hutko</v>
      </c>
      <c r="O559" t="str">
        <f t="shared" si="50"/>
        <v>Norlyk</v>
      </c>
      <c r="P559" t="str">
        <f t="shared" si="51"/>
        <v>Linnet</v>
      </c>
      <c r="Q559">
        <f t="shared" si="52"/>
        <v>0</v>
      </c>
      <c r="R559" t="str">
        <f t="shared" si="53"/>
        <v>Rowlands-Hutko-Norlyk-Linnet</v>
      </c>
    </row>
    <row r="560" spans="1:18" x14ac:dyDescent="0.25">
      <c r="A560" s="1" t="s">
        <v>217</v>
      </c>
      <c r="B560" s="1">
        <v>81</v>
      </c>
      <c r="C560" s="1" t="s">
        <v>21</v>
      </c>
      <c r="D560" s="1">
        <v>1</v>
      </c>
      <c r="E560" s="1" t="s">
        <v>14</v>
      </c>
      <c r="F560" s="1">
        <v>19</v>
      </c>
      <c r="G560" s="1">
        <v>21</v>
      </c>
      <c r="H560" s="1" t="s">
        <v>181</v>
      </c>
      <c r="I560" s="1" t="s">
        <v>23</v>
      </c>
      <c r="J560" s="1" t="s">
        <v>188</v>
      </c>
      <c r="K560" s="1" t="s">
        <v>228</v>
      </c>
      <c r="L560" s="1" t="s">
        <v>355</v>
      </c>
      <c r="M560" t="str">
        <f t="shared" si="48"/>
        <v>Cook</v>
      </c>
      <c r="N560" t="str">
        <f t="shared" si="49"/>
        <v>Kerridge</v>
      </c>
      <c r="O560" t="str">
        <f t="shared" si="50"/>
        <v>Klinkby</v>
      </c>
      <c r="P560" t="str">
        <f t="shared" si="51"/>
        <v>Hammar</v>
      </c>
      <c r="Q560">
        <f t="shared" si="52"/>
        <v>0</v>
      </c>
      <c r="R560" t="str">
        <f t="shared" si="53"/>
        <v>Cook-Kerridge-Klinkby-Hammar</v>
      </c>
    </row>
    <row r="561" spans="1:18" x14ac:dyDescent="0.25">
      <c r="A561" s="1" t="s">
        <v>217</v>
      </c>
      <c r="B561" s="1">
        <v>84</v>
      </c>
      <c r="C561" s="1" t="s">
        <v>24</v>
      </c>
      <c r="D561" s="1">
        <v>1</v>
      </c>
      <c r="E561" s="1" t="s">
        <v>14</v>
      </c>
      <c r="F561" s="1">
        <v>19</v>
      </c>
      <c r="G561" s="1">
        <v>21</v>
      </c>
      <c r="H561" s="1" t="s">
        <v>181</v>
      </c>
      <c r="I561" s="1" t="s">
        <v>26</v>
      </c>
      <c r="J561" s="1" t="s">
        <v>190</v>
      </c>
      <c r="K561" s="1" t="s">
        <v>228</v>
      </c>
      <c r="L561" s="1" t="s">
        <v>355</v>
      </c>
      <c r="M561" t="str">
        <f t="shared" si="48"/>
        <v>Jackson</v>
      </c>
      <c r="N561" t="str">
        <f t="shared" si="49"/>
        <v>Douglas</v>
      </c>
      <c r="O561" t="str">
        <f t="shared" si="50"/>
        <v>Knudsen</v>
      </c>
      <c r="P561" t="str">
        <f t="shared" si="51"/>
        <v>Damgaard</v>
      </c>
      <c r="Q561">
        <f t="shared" si="52"/>
        <v>0</v>
      </c>
      <c r="R561" t="str">
        <f t="shared" si="53"/>
        <v>Jackson-Douglas-Knudsen-Damgaard</v>
      </c>
    </row>
    <row r="562" spans="1:18" x14ac:dyDescent="0.25">
      <c r="A562" s="1" t="s">
        <v>217</v>
      </c>
      <c r="B562" s="1">
        <v>87</v>
      </c>
      <c r="C562" s="1" t="s">
        <v>27</v>
      </c>
      <c r="D562" s="1">
        <v>1</v>
      </c>
      <c r="E562" s="1" t="s">
        <v>14</v>
      </c>
      <c r="F562" s="1">
        <v>19</v>
      </c>
      <c r="G562" s="1">
        <v>21</v>
      </c>
      <c r="H562" s="1" t="s">
        <v>181</v>
      </c>
      <c r="I562" s="1" t="s">
        <v>29</v>
      </c>
      <c r="J562" s="1" t="s">
        <v>396</v>
      </c>
      <c r="K562" s="1" t="s">
        <v>228</v>
      </c>
      <c r="L562" s="1" t="s">
        <v>355</v>
      </c>
      <c r="M562" t="str">
        <f t="shared" si="48"/>
        <v>Sayyed</v>
      </c>
      <c r="N562" t="str">
        <f t="shared" si="49"/>
        <v>Powell</v>
      </c>
      <c r="O562" t="str">
        <f t="shared" si="50"/>
        <v>Høy</v>
      </c>
      <c r="P562" t="str">
        <f t="shared" si="51"/>
        <v>J. Nielsen</v>
      </c>
      <c r="Q562">
        <f t="shared" si="52"/>
        <v>0</v>
      </c>
      <c r="R562" t="str">
        <f t="shared" si="53"/>
        <v>Sayyed-Powell-Høy-J. Nielsen</v>
      </c>
    </row>
    <row r="563" spans="1:18" x14ac:dyDescent="0.25">
      <c r="A563" s="1" t="s">
        <v>217</v>
      </c>
      <c r="B563" s="1">
        <v>93</v>
      </c>
      <c r="C563" s="1" t="s">
        <v>12</v>
      </c>
      <c r="D563" s="1">
        <v>1</v>
      </c>
      <c r="E563" s="1" t="s">
        <v>182</v>
      </c>
      <c r="F563" s="1">
        <v>23</v>
      </c>
      <c r="G563" s="1">
        <v>21</v>
      </c>
      <c r="H563" s="1" t="s">
        <v>13</v>
      </c>
      <c r="I563" s="1" t="s">
        <v>184</v>
      </c>
      <c r="J563" s="1" t="s">
        <v>408</v>
      </c>
      <c r="K563" s="1" t="s">
        <v>228</v>
      </c>
      <c r="L563" s="1" t="s">
        <v>355</v>
      </c>
      <c r="M563" t="str">
        <f t="shared" si="48"/>
        <v>Campos</v>
      </c>
      <c r="N563" t="str">
        <f t="shared" si="49"/>
        <v>Forschner</v>
      </c>
      <c r="O563" t="str">
        <f t="shared" si="50"/>
        <v>Kaldor</v>
      </c>
      <c r="P563" t="str">
        <f t="shared" si="51"/>
        <v>J. Read</v>
      </c>
      <c r="Q563">
        <f t="shared" si="52"/>
        <v>1</v>
      </c>
      <c r="R563" t="str">
        <f t="shared" si="53"/>
        <v>Campos-Forschner-Kaldor-J. Read</v>
      </c>
    </row>
    <row r="564" spans="1:18" x14ac:dyDescent="0.25">
      <c r="A564" s="1" t="s">
        <v>217</v>
      </c>
      <c r="B564" s="1">
        <v>96</v>
      </c>
      <c r="C564" s="1" t="s">
        <v>18</v>
      </c>
      <c r="D564" s="1">
        <v>1</v>
      </c>
      <c r="E564" s="1" t="s">
        <v>182</v>
      </c>
      <c r="F564" s="1">
        <v>15</v>
      </c>
      <c r="G564" s="1">
        <v>21</v>
      </c>
      <c r="H564" s="1" t="s">
        <v>13</v>
      </c>
      <c r="I564" s="1" t="s">
        <v>187</v>
      </c>
      <c r="J564" s="1" t="s">
        <v>19</v>
      </c>
      <c r="K564" s="1" t="s">
        <v>228</v>
      </c>
      <c r="L564" s="1" t="s">
        <v>355</v>
      </c>
      <c r="M564" t="str">
        <f t="shared" si="48"/>
        <v>E. Cuesta</v>
      </c>
      <c r="N564" t="str">
        <f t="shared" si="49"/>
        <v>G. Cuesta</v>
      </c>
      <c r="O564" t="str">
        <f t="shared" si="50"/>
        <v>Geyer</v>
      </c>
      <c r="P564" t="str">
        <f t="shared" si="51"/>
        <v>Noble</v>
      </c>
      <c r="Q564">
        <f t="shared" si="52"/>
        <v>0</v>
      </c>
      <c r="R564" t="str">
        <f t="shared" si="53"/>
        <v>E. Cuesta-G. Cuesta-Geyer-Noble</v>
      </c>
    </row>
    <row r="565" spans="1:18" x14ac:dyDescent="0.25">
      <c r="A565" s="1" t="s">
        <v>217</v>
      </c>
      <c r="B565" s="1">
        <v>99</v>
      </c>
      <c r="C565" s="1" t="s">
        <v>21</v>
      </c>
      <c r="D565" s="1">
        <v>1</v>
      </c>
      <c r="E565" s="1" t="s">
        <v>182</v>
      </c>
      <c r="F565" s="1">
        <v>14</v>
      </c>
      <c r="G565" s="1">
        <v>21</v>
      </c>
      <c r="H565" s="1" t="s">
        <v>13</v>
      </c>
      <c r="I565" s="1" t="s">
        <v>379</v>
      </c>
      <c r="J565" s="1" t="s">
        <v>427</v>
      </c>
      <c r="K565" s="1" t="s">
        <v>228</v>
      </c>
      <c r="L565" s="1" t="s">
        <v>355</v>
      </c>
      <c r="M565" t="str">
        <f t="shared" si="48"/>
        <v>Navio</v>
      </c>
      <c r="N565" t="str">
        <f t="shared" si="49"/>
        <v>M. Egea</v>
      </c>
      <c r="O565" t="str">
        <f t="shared" si="50"/>
        <v>Briant</v>
      </c>
      <c r="P565" t="str">
        <f t="shared" si="51"/>
        <v>N. Wong</v>
      </c>
      <c r="Q565">
        <f t="shared" si="52"/>
        <v>0</v>
      </c>
      <c r="R565" t="str">
        <f t="shared" si="53"/>
        <v>Navio-M. Egea-Briant-N. Wong</v>
      </c>
    </row>
    <row r="566" spans="1:18" x14ac:dyDescent="0.25">
      <c r="A566" s="1" t="s">
        <v>217</v>
      </c>
      <c r="B566" s="1">
        <v>102</v>
      </c>
      <c r="C566" s="1" t="s">
        <v>24</v>
      </c>
      <c r="D566" s="1">
        <v>1</v>
      </c>
      <c r="E566" s="1" t="s">
        <v>182</v>
      </c>
      <c r="F566" s="1">
        <v>21</v>
      </c>
      <c r="G566" s="1">
        <v>19</v>
      </c>
      <c r="H566" s="1" t="s">
        <v>13</v>
      </c>
      <c r="I566" s="1" t="s">
        <v>380</v>
      </c>
      <c r="J566" s="1" t="s">
        <v>387</v>
      </c>
      <c r="K566" s="1" t="s">
        <v>228</v>
      </c>
      <c r="L566" s="1" t="s">
        <v>355</v>
      </c>
      <c r="M566" t="str">
        <f t="shared" si="48"/>
        <v>Luna</v>
      </c>
      <c r="N566" t="str">
        <f t="shared" si="49"/>
        <v>D. Egea</v>
      </c>
      <c r="O566" t="str">
        <f t="shared" si="50"/>
        <v>Al. Capp</v>
      </c>
      <c r="P566" t="str">
        <f t="shared" si="51"/>
        <v>Ragg</v>
      </c>
      <c r="Q566">
        <f t="shared" si="52"/>
        <v>1</v>
      </c>
      <c r="R566" t="str">
        <f t="shared" si="53"/>
        <v>Luna-D. Egea-Al. Capp-Ragg</v>
      </c>
    </row>
    <row r="567" spans="1:18" x14ac:dyDescent="0.25">
      <c r="A567" s="1" t="s">
        <v>217</v>
      </c>
      <c r="B567" s="1">
        <v>105</v>
      </c>
      <c r="C567" s="1" t="s">
        <v>27</v>
      </c>
      <c r="D567" s="1">
        <v>1</v>
      </c>
      <c r="E567" s="1" t="s">
        <v>182</v>
      </c>
      <c r="F567" s="1">
        <v>21</v>
      </c>
      <c r="G567" s="1">
        <v>18</v>
      </c>
      <c r="H567" s="1" t="s">
        <v>13</v>
      </c>
      <c r="I567" s="1" t="s">
        <v>193</v>
      </c>
      <c r="J567" s="1" t="s">
        <v>28</v>
      </c>
      <c r="K567" s="1" t="s">
        <v>228</v>
      </c>
      <c r="L567" s="1" t="s">
        <v>355</v>
      </c>
      <c r="M567" t="str">
        <f t="shared" si="48"/>
        <v>Muratel</v>
      </c>
      <c r="N567" t="str">
        <f t="shared" si="49"/>
        <v>Gonzalez</v>
      </c>
      <c r="O567" t="str">
        <f t="shared" si="50"/>
        <v>Nirens</v>
      </c>
      <c r="P567" t="str">
        <f t="shared" si="51"/>
        <v>Wise</v>
      </c>
      <c r="Q567">
        <f t="shared" si="52"/>
        <v>1</v>
      </c>
      <c r="R567" t="str">
        <f t="shared" si="53"/>
        <v>Muratel-Gonzalez-Nirens-Wise</v>
      </c>
    </row>
    <row r="568" spans="1:18" x14ac:dyDescent="0.25">
      <c r="A568" s="1" t="s">
        <v>11</v>
      </c>
      <c r="B568" s="1">
        <v>93</v>
      </c>
      <c r="C568" s="1" t="s">
        <v>12</v>
      </c>
      <c r="D568" s="1">
        <v>1</v>
      </c>
      <c r="E568" s="1" t="s">
        <v>13</v>
      </c>
      <c r="F568" s="1">
        <v>21</v>
      </c>
      <c r="G568" s="1">
        <v>16</v>
      </c>
      <c r="H568" s="1" t="s">
        <v>14</v>
      </c>
      <c r="I568" s="1" t="s">
        <v>408</v>
      </c>
      <c r="J568" s="1" t="s">
        <v>16</v>
      </c>
      <c r="K568" s="1" t="s">
        <v>17</v>
      </c>
      <c r="L568" s="1" t="s">
        <v>355</v>
      </c>
      <c r="M568" t="str">
        <f t="shared" si="48"/>
        <v>Kaldor</v>
      </c>
      <c r="N568" t="str">
        <f t="shared" si="49"/>
        <v>J. Read</v>
      </c>
      <c r="O568" t="str">
        <f t="shared" si="50"/>
        <v>Beeks</v>
      </c>
      <c r="P568" t="str">
        <f t="shared" si="51"/>
        <v>Elbourne</v>
      </c>
      <c r="Q568">
        <f t="shared" si="52"/>
        <v>1</v>
      </c>
      <c r="R568" t="str">
        <f t="shared" si="53"/>
        <v>Kaldor-J. Read-Beeks-Elbourne</v>
      </c>
    </row>
    <row r="569" spans="1:18" x14ac:dyDescent="0.25">
      <c r="A569" s="1" t="s">
        <v>11</v>
      </c>
      <c r="B569" s="1">
        <v>96</v>
      </c>
      <c r="C569" s="1" t="s">
        <v>18</v>
      </c>
      <c r="D569" s="1">
        <v>1</v>
      </c>
      <c r="E569" s="1" t="s">
        <v>13</v>
      </c>
      <c r="F569" s="1">
        <v>21</v>
      </c>
      <c r="G569" s="1">
        <v>19</v>
      </c>
      <c r="H569" s="1" t="s">
        <v>14</v>
      </c>
      <c r="I569" s="1" t="s">
        <v>19</v>
      </c>
      <c r="J569" s="1" t="s">
        <v>20</v>
      </c>
      <c r="K569" s="1" t="s">
        <v>17</v>
      </c>
      <c r="L569" s="1" t="s">
        <v>355</v>
      </c>
      <c r="M569" t="str">
        <f t="shared" si="48"/>
        <v>Geyer</v>
      </c>
      <c r="N569" t="str">
        <f t="shared" si="49"/>
        <v>Noble</v>
      </c>
      <c r="O569" t="str">
        <f t="shared" si="50"/>
        <v>Rowlands</v>
      </c>
      <c r="P569" t="str">
        <f t="shared" si="51"/>
        <v>Hutko</v>
      </c>
      <c r="Q569">
        <f t="shared" si="52"/>
        <v>1</v>
      </c>
      <c r="R569" t="str">
        <f t="shared" si="53"/>
        <v>Geyer-Noble-Rowlands-Hutko</v>
      </c>
    </row>
    <row r="570" spans="1:18" x14ac:dyDescent="0.25">
      <c r="A570" s="1" t="s">
        <v>11</v>
      </c>
      <c r="B570" s="1">
        <v>99</v>
      </c>
      <c r="C570" s="1" t="s">
        <v>21</v>
      </c>
      <c r="D570" s="1">
        <v>1</v>
      </c>
      <c r="E570" s="1" t="s">
        <v>13</v>
      </c>
      <c r="F570" s="1">
        <v>18</v>
      </c>
      <c r="G570" s="1">
        <v>21</v>
      </c>
      <c r="H570" s="1" t="s">
        <v>14</v>
      </c>
      <c r="I570" s="1" t="s">
        <v>427</v>
      </c>
      <c r="J570" s="1" t="s">
        <v>23</v>
      </c>
      <c r="K570" s="1" t="s">
        <v>17</v>
      </c>
      <c r="L570" s="1" t="s">
        <v>355</v>
      </c>
      <c r="M570" t="str">
        <f t="shared" si="48"/>
        <v>Briant</v>
      </c>
      <c r="N570" t="str">
        <f t="shared" si="49"/>
        <v>N. Wong</v>
      </c>
      <c r="O570" t="str">
        <f t="shared" si="50"/>
        <v>Cook</v>
      </c>
      <c r="P570" t="str">
        <f t="shared" si="51"/>
        <v>Kerridge</v>
      </c>
      <c r="Q570">
        <f t="shared" si="52"/>
        <v>0</v>
      </c>
      <c r="R570" t="str">
        <f t="shared" si="53"/>
        <v>Briant-N. Wong-Cook-Kerridge</v>
      </c>
    </row>
    <row r="571" spans="1:18" x14ac:dyDescent="0.25">
      <c r="A571" s="1" t="s">
        <v>11</v>
      </c>
      <c r="B571" s="1">
        <v>102</v>
      </c>
      <c r="C571" s="1" t="s">
        <v>24</v>
      </c>
      <c r="D571" s="1">
        <v>1</v>
      </c>
      <c r="E571" s="1" t="s">
        <v>13</v>
      </c>
      <c r="F571" s="1">
        <v>16</v>
      </c>
      <c r="G571" s="1">
        <v>21</v>
      </c>
      <c r="H571" s="1" t="s">
        <v>14</v>
      </c>
      <c r="I571" s="1" t="s">
        <v>387</v>
      </c>
      <c r="J571" s="1" t="s">
        <v>26</v>
      </c>
      <c r="K571" s="1" t="s">
        <v>17</v>
      </c>
      <c r="L571" s="1" t="s">
        <v>355</v>
      </c>
      <c r="M571" t="str">
        <f t="shared" si="48"/>
        <v>Al. Capp</v>
      </c>
      <c r="N571" t="str">
        <f t="shared" si="49"/>
        <v>Ragg</v>
      </c>
      <c r="O571" t="str">
        <f t="shared" si="50"/>
        <v>Jackson</v>
      </c>
      <c r="P571" t="str">
        <f t="shared" si="51"/>
        <v>Douglas</v>
      </c>
      <c r="Q571">
        <f t="shared" si="52"/>
        <v>0</v>
      </c>
      <c r="R571" t="str">
        <f t="shared" si="53"/>
        <v>Al. Capp-Ragg-Jackson-Douglas</v>
      </c>
    </row>
    <row r="572" spans="1:18" x14ac:dyDescent="0.25">
      <c r="A572" s="1" t="s">
        <v>11</v>
      </c>
      <c r="B572" s="1">
        <v>105</v>
      </c>
      <c r="C572" s="1" t="s">
        <v>27</v>
      </c>
      <c r="D572" s="1">
        <v>1</v>
      </c>
      <c r="E572" s="1" t="s">
        <v>13</v>
      </c>
      <c r="F572" s="1">
        <v>18</v>
      </c>
      <c r="G572" s="1">
        <v>21</v>
      </c>
      <c r="H572" s="1" t="s">
        <v>14</v>
      </c>
      <c r="I572" s="1" t="s">
        <v>28</v>
      </c>
      <c r="J572" s="1" t="s">
        <v>29</v>
      </c>
      <c r="K572" s="1" t="s">
        <v>17</v>
      </c>
      <c r="L572" s="1" t="s">
        <v>355</v>
      </c>
      <c r="M572" t="str">
        <f t="shared" si="48"/>
        <v>Nirens</v>
      </c>
      <c r="N572" t="str">
        <f t="shared" si="49"/>
        <v>Wise</v>
      </c>
      <c r="O572" t="str">
        <f t="shared" si="50"/>
        <v>Sayyed</v>
      </c>
      <c r="P572" t="str">
        <f t="shared" si="51"/>
        <v>Powell</v>
      </c>
      <c r="Q572">
        <f t="shared" si="52"/>
        <v>0</v>
      </c>
      <c r="R572" t="str">
        <f t="shared" si="53"/>
        <v>Nirens-Wise-Sayyed-Powell</v>
      </c>
    </row>
    <row r="573" spans="1:18" x14ac:dyDescent="0.25">
      <c r="A573" s="1" t="s">
        <v>11</v>
      </c>
      <c r="B573" s="1">
        <v>111</v>
      </c>
      <c r="C573" s="1" t="s">
        <v>12</v>
      </c>
      <c r="D573" s="1">
        <v>1</v>
      </c>
      <c r="E573" s="1" t="s">
        <v>30</v>
      </c>
      <c r="F573" s="1">
        <v>24</v>
      </c>
      <c r="G573" s="1">
        <v>25</v>
      </c>
      <c r="H573" s="1" t="s">
        <v>31</v>
      </c>
      <c r="I573" s="1" t="s">
        <v>32</v>
      </c>
      <c r="J573" s="1" t="s">
        <v>420</v>
      </c>
      <c r="K573" s="1" t="s">
        <v>34</v>
      </c>
      <c r="L573" s="1" t="s">
        <v>355</v>
      </c>
      <c r="M573" t="str">
        <f t="shared" si="48"/>
        <v>Vandaele</v>
      </c>
      <c r="N573" t="str">
        <f t="shared" si="49"/>
        <v>Van den Bergh</v>
      </c>
      <c r="O573" t="str">
        <f t="shared" si="50"/>
        <v>W. Chang</v>
      </c>
      <c r="P573" t="str">
        <f t="shared" si="51"/>
        <v>Chou</v>
      </c>
      <c r="Q573">
        <f t="shared" si="52"/>
        <v>0</v>
      </c>
      <c r="R573" t="str">
        <f t="shared" si="53"/>
        <v>Vandaele-Van den Bergh-W. Chang-Chou</v>
      </c>
    </row>
    <row r="574" spans="1:18" x14ac:dyDescent="0.25">
      <c r="A574" s="1" t="s">
        <v>11</v>
      </c>
      <c r="B574" s="1">
        <v>114</v>
      </c>
      <c r="C574" s="1" t="s">
        <v>18</v>
      </c>
      <c r="D574" s="1">
        <v>1</v>
      </c>
      <c r="E574" s="1" t="s">
        <v>30</v>
      </c>
      <c r="F574" s="1">
        <v>19</v>
      </c>
      <c r="G574" s="1">
        <v>21</v>
      </c>
      <c r="H574" s="1" t="s">
        <v>31</v>
      </c>
      <c r="I574" s="1" t="s">
        <v>35</v>
      </c>
      <c r="J574" s="1" t="s">
        <v>422</v>
      </c>
      <c r="K574" s="1" t="s">
        <v>34</v>
      </c>
      <c r="L574" s="1" t="s">
        <v>355</v>
      </c>
      <c r="M574" t="str">
        <f t="shared" si="48"/>
        <v>Theunis</v>
      </c>
      <c r="N574" t="str">
        <f t="shared" si="49"/>
        <v>Declercq</v>
      </c>
      <c r="O574" t="str">
        <f t="shared" si="50"/>
        <v>R. Lee</v>
      </c>
      <c r="P574" t="str">
        <f t="shared" si="51"/>
        <v>P. Chen</v>
      </c>
      <c r="Q574">
        <f t="shared" si="52"/>
        <v>0</v>
      </c>
      <c r="R574" t="str">
        <f t="shared" si="53"/>
        <v>Theunis-Declercq-R. Lee-P. Chen</v>
      </c>
    </row>
    <row r="575" spans="1:18" x14ac:dyDescent="0.25">
      <c r="A575" s="1" t="s">
        <v>11</v>
      </c>
      <c r="B575" s="1">
        <v>117</v>
      </c>
      <c r="C575" s="1" t="s">
        <v>21</v>
      </c>
      <c r="D575" s="1">
        <v>1</v>
      </c>
      <c r="E575" s="1" t="s">
        <v>30</v>
      </c>
      <c r="F575" s="1">
        <v>25</v>
      </c>
      <c r="G575" s="1">
        <v>24</v>
      </c>
      <c r="H575" s="1" t="s">
        <v>31</v>
      </c>
      <c r="I575" s="1" t="s">
        <v>409</v>
      </c>
      <c r="J575" s="1" t="s">
        <v>411</v>
      </c>
      <c r="K575" s="1" t="s">
        <v>34</v>
      </c>
      <c r="L575" s="1" t="s">
        <v>355</v>
      </c>
      <c r="M575" t="str">
        <f t="shared" si="48"/>
        <v>Jor. Neyens</v>
      </c>
      <c r="N575" t="str">
        <f t="shared" si="49"/>
        <v>Vlassaks</v>
      </c>
      <c r="O575" t="str">
        <f t="shared" si="50"/>
        <v>Kao</v>
      </c>
      <c r="P575" t="str">
        <f t="shared" si="51"/>
        <v>Min. Chen</v>
      </c>
      <c r="Q575">
        <f t="shared" si="52"/>
        <v>1</v>
      </c>
      <c r="R575" t="str">
        <f t="shared" si="53"/>
        <v>Jor. Neyens-Vlassaks-Kao-Min. Chen</v>
      </c>
    </row>
    <row r="576" spans="1:18" x14ac:dyDescent="0.25">
      <c r="A576" s="1" t="s">
        <v>11</v>
      </c>
      <c r="B576" s="1">
        <v>120</v>
      </c>
      <c r="C576" s="1" t="s">
        <v>24</v>
      </c>
      <c r="D576" s="1">
        <v>1</v>
      </c>
      <c r="E576" s="1" t="s">
        <v>30</v>
      </c>
      <c r="F576" s="1">
        <v>21</v>
      </c>
      <c r="G576" s="1">
        <v>19</v>
      </c>
      <c r="H576" s="1" t="s">
        <v>31</v>
      </c>
      <c r="I576" s="1" t="s">
        <v>39</v>
      </c>
      <c r="J576" s="1" t="s">
        <v>361</v>
      </c>
      <c r="K576" s="1" t="s">
        <v>34</v>
      </c>
      <c r="L576" s="1" t="s">
        <v>355</v>
      </c>
      <c r="M576" t="str">
        <f t="shared" si="48"/>
        <v>Vandamme</v>
      </c>
      <c r="N576" t="str">
        <f t="shared" si="49"/>
        <v>Hublet</v>
      </c>
      <c r="O576" t="str">
        <f t="shared" si="50"/>
        <v>Ma</v>
      </c>
      <c r="P576" t="str">
        <f t="shared" si="51"/>
        <v>Hu</v>
      </c>
      <c r="Q576">
        <f t="shared" si="52"/>
        <v>1</v>
      </c>
      <c r="R576" t="str">
        <f t="shared" si="53"/>
        <v>Vandamme-Hublet-Ma-Hu</v>
      </c>
    </row>
    <row r="577" spans="1:18" x14ac:dyDescent="0.25">
      <c r="A577" s="1" t="s">
        <v>11</v>
      </c>
      <c r="B577" s="1">
        <v>123</v>
      </c>
      <c r="C577" s="1" t="s">
        <v>27</v>
      </c>
      <c r="D577" s="1">
        <v>1</v>
      </c>
      <c r="E577" s="1" t="s">
        <v>30</v>
      </c>
      <c r="F577" s="1">
        <v>21</v>
      </c>
      <c r="G577" s="1">
        <v>11</v>
      </c>
      <c r="H577" s="1" t="s">
        <v>31</v>
      </c>
      <c r="I577" s="1" t="s">
        <v>41</v>
      </c>
      <c r="J577" s="1" t="s">
        <v>415</v>
      </c>
      <c r="K577" s="1" t="s">
        <v>34</v>
      </c>
      <c r="L577" s="1" t="s">
        <v>355</v>
      </c>
      <c r="M577" t="str">
        <f t="shared" si="48"/>
        <v>M. Paes</v>
      </c>
      <c r="N577" t="str">
        <f t="shared" si="49"/>
        <v>D. Paes</v>
      </c>
      <c r="O577" t="str">
        <f t="shared" si="50"/>
        <v>Peng</v>
      </c>
      <c r="P577" t="str">
        <f t="shared" si="51"/>
        <v>W. Kuo</v>
      </c>
      <c r="Q577">
        <f t="shared" si="52"/>
        <v>1</v>
      </c>
      <c r="R577" t="str">
        <f t="shared" si="53"/>
        <v>M. Paes-D. Paes-Peng-W. Kuo</v>
      </c>
    </row>
    <row r="578" spans="1:18" x14ac:dyDescent="0.25">
      <c r="A578" s="1" t="s">
        <v>11</v>
      </c>
      <c r="B578" s="1">
        <v>129</v>
      </c>
      <c r="C578" s="1" t="s">
        <v>12</v>
      </c>
      <c r="D578" s="1">
        <v>1</v>
      </c>
      <c r="E578" s="1" t="s">
        <v>43</v>
      </c>
      <c r="F578" s="1">
        <v>1</v>
      </c>
      <c r="G578" s="1">
        <v>0</v>
      </c>
      <c r="H578" s="1" t="s">
        <v>44</v>
      </c>
      <c r="I578" s="1" t="s">
        <v>45</v>
      </c>
      <c r="J578" s="1" t="s">
        <v>46</v>
      </c>
      <c r="K578" s="1" t="s">
        <v>47</v>
      </c>
      <c r="L578" s="1" t="s">
        <v>355</v>
      </c>
      <c r="M578" t="str">
        <f t="shared" ref="M578:M641" si="54">_xlfn.TEXTBEFORE(I578,"/")</f>
        <v>Cabala</v>
      </c>
      <c r="N578" t="str">
        <f t="shared" ref="N578:N641" si="55">_xlfn.TEXTAFTER(I578,"/ ")</f>
        <v>Nerad</v>
      </c>
      <c r="O578" t="str">
        <f t="shared" ref="O578:O641" si="56">_xlfn.TEXTBEFORE(J578,"/")</f>
        <v>Stachiewicz</v>
      </c>
      <c r="P578" t="str">
        <f t="shared" ref="P578:P641" si="57">_xlfn.TEXTAFTER(J578,"/ ")</f>
        <v>Łochowski</v>
      </c>
      <c r="Q578">
        <f t="shared" ref="Q578:Q641" si="58">IF(F578&gt;G578,1,0)</f>
        <v>1</v>
      </c>
      <c r="R578" t="str">
        <f t="shared" ref="R578:R641" si="59">_xlfn.TEXTJOIN("-",TRUE,M578,N578,O578,P578)</f>
        <v>Cabala-Nerad-Stachiewicz-Łochowski</v>
      </c>
    </row>
    <row r="579" spans="1:18" x14ac:dyDescent="0.25">
      <c r="A579" s="1" t="s">
        <v>11</v>
      </c>
      <c r="B579" s="1">
        <v>133</v>
      </c>
      <c r="C579" s="1" t="s">
        <v>18</v>
      </c>
      <c r="D579" s="1">
        <v>2</v>
      </c>
      <c r="E579" s="1" t="s">
        <v>43</v>
      </c>
      <c r="F579" s="1">
        <v>1</v>
      </c>
      <c r="G579" s="1">
        <v>0</v>
      </c>
      <c r="H579" s="1" t="s">
        <v>44</v>
      </c>
      <c r="I579" s="1" t="s">
        <v>48</v>
      </c>
      <c r="J579" s="1" t="s">
        <v>49</v>
      </c>
      <c r="K579" s="1" t="s">
        <v>47</v>
      </c>
      <c r="L579" s="1" t="s">
        <v>355</v>
      </c>
      <c r="M579" t="str">
        <f t="shared" si="54"/>
        <v>Mezzey</v>
      </c>
      <c r="N579" t="str">
        <f t="shared" si="55"/>
        <v>Visek</v>
      </c>
      <c r="O579" t="str">
        <f t="shared" si="56"/>
        <v>Dudzik</v>
      </c>
      <c r="P579" t="str">
        <f t="shared" si="57"/>
        <v>Cichocki</v>
      </c>
      <c r="Q579">
        <f t="shared" si="58"/>
        <v>1</v>
      </c>
      <c r="R579" t="str">
        <f t="shared" si="59"/>
        <v>Mezzey-Visek-Dudzik-Cichocki</v>
      </c>
    </row>
    <row r="580" spans="1:18" x14ac:dyDescent="0.25">
      <c r="A580" s="1" t="s">
        <v>11</v>
      </c>
      <c r="B580" s="1">
        <v>135</v>
      </c>
      <c r="C580" s="1" t="s">
        <v>21</v>
      </c>
      <c r="D580" s="1">
        <v>1</v>
      </c>
      <c r="E580" s="1" t="s">
        <v>43</v>
      </c>
      <c r="F580" s="1">
        <v>1</v>
      </c>
      <c r="G580" s="1">
        <v>0</v>
      </c>
      <c r="H580" s="1" t="s">
        <v>44</v>
      </c>
      <c r="I580" s="1" t="s">
        <v>50</v>
      </c>
      <c r="J580" s="1" t="s">
        <v>51</v>
      </c>
      <c r="K580" s="1" t="s">
        <v>47</v>
      </c>
      <c r="L580" s="1" t="s">
        <v>355</v>
      </c>
      <c r="M580" t="str">
        <f t="shared" si="54"/>
        <v>Grohman</v>
      </c>
      <c r="N580" t="str">
        <f t="shared" si="55"/>
        <v>Soukup</v>
      </c>
      <c r="O580" t="str">
        <f t="shared" si="56"/>
        <v>Jordan</v>
      </c>
      <c r="P580" t="str">
        <f t="shared" si="57"/>
        <v>Ebert</v>
      </c>
      <c r="Q580">
        <f t="shared" si="58"/>
        <v>1</v>
      </c>
      <c r="R580" t="str">
        <f t="shared" si="59"/>
        <v>Grohman-Soukup-Jordan-Ebert</v>
      </c>
    </row>
    <row r="581" spans="1:18" x14ac:dyDescent="0.25">
      <c r="A581" s="1" t="s">
        <v>11</v>
      </c>
      <c r="B581" s="1">
        <v>139</v>
      </c>
      <c r="C581" s="1" t="s">
        <v>24</v>
      </c>
      <c r="D581" s="1">
        <v>2</v>
      </c>
      <c r="E581" s="1" t="s">
        <v>43</v>
      </c>
      <c r="F581" s="1">
        <v>1</v>
      </c>
      <c r="G581" s="1">
        <v>0</v>
      </c>
      <c r="H581" s="1" t="s">
        <v>44</v>
      </c>
      <c r="I581" s="1" t="s">
        <v>52</v>
      </c>
      <c r="J581" s="1" t="s">
        <v>53</v>
      </c>
      <c r="K581" s="1" t="s">
        <v>47</v>
      </c>
      <c r="L581" s="1" t="s">
        <v>355</v>
      </c>
      <c r="M581" t="str">
        <f t="shared" si="54"/>
        <v>Daling</v>
      </c>
      <c r="N581" t="str">
        <f t="shared" si="55"/>
        <v>Olsansky</v>
      </c>
      <c r="O581" t="str">
        <f t="shared" si="56"/>
        <v>Szymański</v>
      </c>
      <c r="P581" t="str">
        <f t="shared" si="57"/>
        <v>Urbański</v>
      </c>
      <c r="Q581">
        <f t="shared" si="58"/>
        <v>1</v>
      </c>
      <c r="R581" t="str">
        <f t="shared" si="59"/>
        <v>Daling-Olsansky-Szymański-Urbański</v>
      </c>
    </row>
    <row r="582" spans="1:18" x14ac:dyDescent="0.25">
      <c r="A582" s="1" t="s">
        <v>11</v>
      </c>
      <c r="B582" s="1">
        <v>141</v>
      </c>
      <c r="C582" s="1" t="s">
        <v>27</v>
      </c>
      <c r="D582" s="1">
        <v>1</v>
      </c>
      <c r="E582" s="1" t="s">
        <v>43</v>
      </c>
      <c r="F582" s="1">
        <v>0</v>
      </c>
      <c r="G582" s="1">
        <v>1</v>
      </c>
      <c r="H582" s="1" t="s">
        <v>44</v>
      </c>
      <c r="I582" s="1" t="s">
        <v>54</v>
      </c>
      <c r="J582" s="1" t="s">
        <v>55</v>
      </c>
      <c r="K582" s="1" t="s">
        <v>47</v>
      </c>
      <c r="L582" s="1" t="s">
        <v>355</v>
      </c>
      <c r="M582" t="str">
        <f t="shared" si="54"/>
        <v>Kovarik</v>
      </c>
      <c r="N582" t="str">
        <f t="shared" si="55"/>
        <v>Macanek</v>
      </c>
      <c r="O582" t="str">
        <f t="shared" si="56"/>
        <v>Pętlak</v>
      </c>
      <c r="P582" t="str">
        <f t="shared" si="57"/>
        <v>Stachurski</v>
      </c>
      <c r="Q582">
        <f t="shared" si="58"/>
        <v>0</v>
      </c>
      <c r="R582" t="str">
        <f t="shared" si="59"/>
        <v>Kovarik-Macanek-Pętlak-Stachurski</v>
      </c>
    </row>
    <row r="583" spans="1:18" x14ac:dyDescent="0.25">
      <c r="A583" s="1" t="s">
        <v>11</v>
      </c>
      <c r="B583" s="1">
        <v>148</v>
      </c>
      <c r="C583" s="1" t="s">
        <v>12</v>
      </c>
      <c r="D583" s="1">
        <v>2</v>
      </c>
      <c r="E583" s="1" t="s">
        <v>56</v>
      </c>
      <c r="F583" s="1">
        <v>1</v>
      </c>
      <c r="G583" s="1">
        <v>0</v>
      </c>
      <c r="H583" s="1" t="s">
        <v>57</v>
      </c>
      <c r="I583" s="1" t="s">
        <v>58</v>
      </c>
      <c r="J583" s="1" t="s">
        <v>59</v>
      </c>
      <c r="K583" s="1" t="s">
        <v>60</v>
      </c>
      <c r="L583" s="1" t="s">
        <v>355</v>
      </c>
      <c r="M583" t="str">
        <f t="shared" si="54"/>
        <v>Ishii</v>
      </c>
      <c r="N583" t="str">
        <f t="shared" si="55"/>
        <v>Shimizu</v>
      </c>
      <c r="O583" t="str">
        <f t="shared" si="56"/>
        <v>Razvan</v>
      </c>
      <c r="P583" t="str">
        <f t="shared" si="57"/>
        <v>Cimpian</v>
      </c>
      <c r="Q583">
        <f t="shared" si="58"/>
        <v>1</v>
      </c>
      <c r="R583" t="str">
        <f t="shared" si="59"/>
        <v>Ishii-Shimizu-Razvan-Cimpian</v>
      </c>
    </row>
    <row r="584" spans="1:18" x14ac:dyDescent="0.25">
      <c r="A584" s="1" t="s">
        <v>11</v>
      </c>
      <c r="B584" s="1">
        <v>150</v>
      </c>
      <c r="C584" s="1" t="s">
        <v>18</v>
      </c>
      <c r="D584" s="1">
        <v>1</v>
      </c>
      <c r="E584" s="1" t="s">
        <v>56</v>
      </c>
      <c r="F584" s="1">
        <v>21</v>
      </c>
      <c r="G584" s="1">
        <v>18</v>
      </c>
      <c r="H584" s="1" t="s">
        <v>57</v>
      </c>
      <c r="I584" s="1" t="s">
        <v>61</v>
      </c>
      <c r="J584" s="1" t="s">
        <v>62</v>
      </c>
      <c r="K584" s="1" t="s">
        <v>60</v>
      </c>
      <c r="L584" s="1" t="s">
        <v>355</v>
      </c>
      <c r="M584" t="str">
        <f t="shared" si="54"/>
        <v>Nakamura</v>
      </c>
      <c r="N584" t="str">
        <f t="shared" si="55"/>
        <v>Takei</v>
      </c>
      <c r="O584" t="str">
        <f t="shared" si="56"/>
        <v>Colac</v>
      </c>
      <c r="P584" t="str">
        <f t="shared" si="57"/>
        <v>Popa</v>
      </c>
      <c r="Q584">
        <f t="shared" si="58"/>
        <v>1</v>
      </c>
      <c r="R584" t="str">
        <f t="shared" si="59"/>
        <v>Nakamura-Takei-Colac-Popa</v>
      </c>
    </row>
    <row r="585" spans="1:18" x14ac:dyDescent="0.25">
      <c r="A585" s="1" t="s">
        <v>11</v>
      </c>
      <c r="B585" s="1">
        <v>153</v>
      </c>
      <c r="C585" s="1" t="s">
        <v>21</v>
      </c>
      <c r="D585" s="1">
        <v>1</v>
      </c>
      <c r="E585" s="1" t="s">
        <v>56</v>
      </c>
      <c r="F585" s="1">
        <v>21</v>
      </c>
      <c r="G585" s="1">
        <v>23</v>
      </c>
      <c r="H585" s="1" t="s">
        <v>57</v>
      </c>
      <c r="I585" s="1" t="s">
        <v>63</v>
      </c>
      <c r="J585" s="1" t="s">
        <v>64</v>
      </c>
      <c r="K585" s="1" t="s">
        <v>60</v>
      </c>
      <c r="L585" s="1" t="s">
        <v>355</v>
      </c>
      <c r="M585" t="str">
        <f t="shared" si="54"/>
        <v>Tamaki</v>
      </c>
      <c r="N585" t="str">
        <f t="shared" si="55"/>
        <v>Pflaum</v>
      </c>
      <c r="O585" t="str">
        <f t="shared" si="56"/>
        <v>Gyergyoi</v>
      </c>
      <c r="P585" t="str">
        <f t="shared" si="57"/>
        <v>Limbovici</v>
      </c>
      <c r="Q585">
        <f t="shared" si="58"/>
        <v>0</v>
      </c>
      <c r="R585" t="str">
        <f t="shared" si="59"/>
        <v>Tamaki-Pflaum-Gyergyoi-Limbovici</v>
      </c>
    </row>
    <row r="586" spans="1:18" x14ac:dyDescent="0.25">
      <c r="A586" s="1" t="s">
        <v>11</v>
      </c>
      <c r="B586" s="1">
        <v>156</v>
      </c>
      <c r="C586" s="1" t="s">
        <v>24</v>
      </c>
      <c r="D586" s="1">
        <v>1</v>
      </c>
      <c r="E586" s="1" t="s">
        <v>56</v>
      </c>
      <c r="F586" s="1">
        <v>21</v>
      </c>
      <c r="G586" s="1">
        <v>13</v>
      </c>
      <c r="H586" s="1" t="s">
        <v>57</v>
      </c>
      <c r="I586" s="1" t="s">
        <v>65</v>
      </c>
      <c r="J586" s="1" t="s">
        <v>66</v>
      </c>
      <c r="K586" s="1" t="s">
        <v>60</v>
      </c>
      <c r="L586" s="1" t="s">
        <v>355</v>
      </c>
      <c r="M586" t="str">
        <f t="shared" si="54"/>
        <v>Y. Sato</v>
      </c>
      <c r="N586" t="str">
        <f t="shared" si="55"/>
        <v>K. Sato</v>
      </c>
      <c r="O586" t="str">
        <f t="shared" si="56"/>
        <v>Aldea</v>
      </c>
      <c r="P586" t="str">
        <f t="shared" si="57"/>
        <v>Bizdideanu</v>
      </c>
      <c r="Q586">
        <f t="shared" si="58"/>
        <v>1</v>
      </c>
      <c r="R586" t="str">
        <f t="shared" si="59"/>
        <v>Y. Sato-K. Sato-Aldea-Bizdideanu</v>
      </c>
    </row>
    <row r="587" spans="1:18" x14ac:dyDescent="0.25">
      <c r="A587" s="1" t="s">
        <v>11</v>
      </c>
      <c r="B587" s="1">
        <v>159</v>
      </c>
      <c r="C587" s="1" t="s">
        <v>27</v>
      </c>
      <c r="D587" s="1">
        <v>1</v>
      </c>
      <c r="E587" s="1" t="s">
        <v>56</v>
      </c>
      <c r="F587" s="1">
        <v>21</v>
      </c>
      <c r="G587" s="1">
        <v>17</v>
      </c>
      <c r="H587" s="1" t="s">
        <v>57</v>
      </c>
      <c r="I587" s="1" t="s">
        <v>416</v>
      </c>
      <c r="J587" s="1" t="s">
        <v>68</v>
      </c>
      <c r="K587" s="1" t="s">
        <v>60</v>
      </c>
      <c r="L587" s="1" t="s">
        <v>355</v>
      </c>
      <c r="M587" t="str">
        <f t="shared" si="54"/>
        <v>S. Imamura</v>
      </c>
      <c r="N587" t="str">
        <f t="shared" si="55"/>
        <v>T. Sato</v>
      </c>
      <c r="O587" t="str">
        <f t="shared" si="56"/>
        <v>Bliort</v>
      </c>
      <c r="P587" t="str">
        <f t="shared" si="57"/>
        <v>Cornoiu</v>
      </c>
      <c r="Q587">
        <f t="shared" si="58"/>
        <v>1</v>
      </c>
      <c r="R587" t="str">
        <f t="shared" si="59"/>
        <v>S. Imamura-T. Sato-Bliort-Cornoiu</v>
      </c>
    </row>
    <row r="588" spans="1:18" x14ac:dyDescent="0.25">
      <c r="A588" s="1" t="s">
        <v>11</v>
      </c>
      <c r="B588" s="1">
        <v>165</v>
      </c>
      <c r="C588" s="1" t="s">
        <v>12</v>
      </c>
      <c r="D588" s="1">
        <v>1</v>
      </c>
      <c r="E588" s="1" t="s">
        <v>69</v>
      </c>
      <c r="F588" s="1">
        <v>21</v>
      </c>
      <c r="G588" s="1">
        <v>19</v>
      </c>
      <c r="H588" s="1" t="s">
        <v>70</v>
      </c>
      <c r="I588" s="1" t="s">
        <v>425</v>
      </c>
      <c r="J588" s="1" t="s">
        <v>72</v>
      </c>
      <c r="K588" s="1" t="s">
        <v>73</v>
      </c>
      <c r="L588" s="1" t="s">
        <v>355</v>
      </c>
      <c r="M588" t="str">
        <f t="shared" si="54"/>
        <v>Mi. Jaunpetrovičs</v>
      </c>
      <c r="N588" t="str">
        <f t="shared" si="55"/>
        <v>Repels</v>
      </c>
      <c r="O588" t="str">
        <f t="shared" si="56"/>
        <v>Zholkovsky</v>
      </c>
      <c r="P588" t="str">
        <f t="shared" si="57"/>
        <v>Kimhi</v>
      </c>
      <c r="Q588">
        <f t="shared" si="58"/>
        <v>1</v>
      </c>
      <c r="R588" t="str">
        <f t="shared" si="59"/>
        <v>Mi. Jaunpetrovičs-Repels-Zholkovsky-Kimhi</v>
      </c>
    </row>
    <row r="589" spans="1:18" x14ac:dyDescent="0.25">
      <c r="A589" s="1" t="s">
        <v>11</v>
      </c>
      <c r="B589" s="1">
        <v>168</v>
      </c>
      <c r="C589" s="1" t="s">
        <v>18</v>
      </c>
      <c r="D589" s="1">
        <v>1</v>
      </c>
      <c r="E589" s="1" t="s">
        <v>69</v>
      </c>
      <c r="F589" s="1">
        <v>21</v>
      </c>
      <c r="G589" s="1">
        <v>18</v>
      </c>
      <c r="H589" s="1" t="s">
        <v>70</v>
      </c>
      <c r="I589" s="1" t="s">
        <v>74</v>
      </c>
      <c r="J589" s="1" t="s">
        <v>75</v>
      </c>
      <c r="K589" s="1" t="s">
        <v>73</v>
      </c>
      <c r="L589" s="1" t="s">
        <v>355</v>
      </c>
      <c r="M589" t="str">
        <f t="shared" si="54"/>
        <v>Juška</v>
      </c>
      <c r="N589" t="str">
        <f t="shared" si="55"/>
        <v>Vanags</v>
      </c>
      <c r="O589" t="str">
        <f t="shared" si="56"/>
        <v>Wish</v>
      </c>
      <c r="P589" t="str">
        <f t="shared" si="57"/>
        <v>Sendik</v>
      </c>
      <c r="Q589">
        <f t="shared" si="58"/>
        <v>1</v>
      </c>
      <c r="R589" t="str">
        <f t="shared" si="59"/>
        <v>Juška-Vanags-Wish-Sendik</v>
      </c>
    </row>
    <row r="590" spans="1:18" x14ac:dyDescent="0.25">
      <c r="A590" s="1" t="s">
        <v>11</v>
      </c>
      <c r="B590" s="1">
        <v>171</v>
      </c>
      <c r="C590" s="1" t="s">
        <v>21</v>
      </c>
      <c r="D590" s="1">
        <v>1</v>
      </c>
      <c r="E590" s="1" t="s">
        <v>69</v>
      </c>
      <c r="F590" s="1">
        <v>25</v>
      </c>
      <c r="G590" s="1">
        <v>24</v>
      </c>
      <c r="H590" s="1" t="s">
        <v>70</v>
      </c>
      <c r="I590" s="1" t="s">
        <v>426</v>
      </c>
      <c r="J590" s="1" t="s">
        <v>77</v>
      </c>
      <c r="K590" s="1" t="s">
        <v>73</v>
      </c>
      <c r="L590" s="1" t="s">
        <v>355</v>
      </c>
      <c r="M590" t="str">
        <f t="shared" si="54"/>
        <v>Ma. Jaunpetrovičs</v>
      </c>
      <c r="N590" t="str">
        <f t="shared" si="55"/>
        <v>Kaupers</v>
      </c>
      <c r="O590" t="str">
        <f t="shared" si="56"/>
        <v>Lurie</v>
      </c>
      <c r="P590" t="str">
        <f t="shared" si="57"/>
        <v>Melech</v>
      </c>
      <c r="Q590">
        <f t="shared" si="58"/>
        <v>1</v>
      </c>
      <c r="R590" t="str">
        <f t="shared" si="59"/>
        <v>Ma. Jaunpetrovičs-Kaupers-Lurie-Melech</v>
      </c>
    </row>
    <row r="591" spans="1:18" x14ac:dyDescent="0.25">
      <c r="A591" s="1" t="s">
        <v>11</v>
      </c>
      <c r="B591" s="1">
        <v>174</v>
      </c>
      <c r="C591" s="1" t="s">
        <v>24</v>
      </c>
      <c r="D591" s="1">
        <v>1</v>
      </c>
      <c r="E591" s="1" t="s">
        <v>69</v>
      </c>
      <c r="F591" s="1">
        <v>21</v>
      </c>
      <c r="G591" s="1">
        <v>18</v>
      </c>
      <c r="H591" s="1" t="s">
        <v>70</v>
      </c>
      <c r="I591" s="1" t="s">
        <v>78</v>
      </c>
      <c r="J591" s="1" t="s">
        <v>79</v>
      </c>
      <c r="K591" s="1" t="s">
        <v>73</v>
      </c>
      <c r="L591" s="1" t="s">
        <v>355</v>
      </c>
      <c r="M591" t="str">
        <f t="shared" si="54"/>
        <v>Ernestsons</v>
      </c>
      <c r="N591" t="str">
        <f t="shared" si="55"/>
        <v>Matulis</v>
      </c>
      <c r="O591" t="str">
        <f t="shared" si="56"/>
        <v>Benishti</v>
      </c>
      <c r="P591" t="str">
        <f t="shared" si="57"/>
        <v>Tirosh</v>
      </c>
      <c r="Q591">
        <f t="shared" si="58"/>
        <v>1</v>
      </c>
      <c r="R591" t="str">
        <f t="shared" si="59"/>
        <v>Ernestsons-Matulis-Benishti-Tirosh</v>
      </c>
    </row>
    <row r="592" spans="1:18" x14ac:dyDescent="0.25">
      <c r="A592" s="1" t="s">
        <v>11</v>
      </c>
      <c r="B592" s="1">
        <v>177</v>
      </c>
      <c r="C592" s="1" t="s">
        <v>27</v>
      </c>
      <c r="D592" s="1">
        <v>1</v>
      </c>
      <c r="E592" s="1" t="s">
        <v>69</v>
      </c>
      <c r="F592" s="1">
        <v>21</v>
      </c>
      <c r="G592" s="1">
        <v>19</v>
      </c>
      <c r="H592" s="1" t="s">
        <v>70</v>
      </c>
      <c r="I592" s="1" t="s">
        <v>80</v>
      </c>
      <c r="J592" s="1" t="s">
        <v>81</v>
      </c>
      <c r="K592" s="1" t="s">
        <v>73</v>
      </c>
      <c r="L592" s="1" t="s">
        <v>355</v>
      </c>
      <c r="M592" t="str">
        <f t="shared" si="54"/>
        <v>Beļajevs</v>
      </c>
      <c r="N592" t="str">
        <f t="shared" si="55"/>
        <v>Briedis</v>
      </c>
      <c r="O592" t="str">
        <f t="shared" si="56"/>
        <v>Sone</v>
      </c>
      <c r="P592" t="str">
        <f t="shared" si="57"/>
        <v>Gitler</v>
      </c>
      <c r="Q592">
        <f t="shared" si="58"/>
        <v>1</v>
      </c>
      <c r="R592" t="str">
        <f t="shared" si="59"/>
        <v>Beļajevs-Briedis-Sone-Gitler</v>
      </c>
    </row>
    <row r="593" spans="1:18" x14ac:dyDescent="0.25">
      <c r="A593" s="1" t="s">
        <v>11</v>
      </c>
      <c r="B593" s="1">
        <v>183</v>
      </c>
      <c r="C593" s="1" t="s">
        <v>12</v>
      </c>
      <c r="D593" s="1">
        <v>1</v>
      </c>
      <c r="E593" s="1" t="s">
        <v>82</v>
      </c>
      <c r="F593" s="1">
        <v>15</v>
      </c>
      <c r="G593" s="1">
        <v>21</v>
      </c>
      <c r="H593" s="1" t="s">
        <v>83</v>
      </c>
      <c r="I593" s="1" t="s">
        <v>84</v>
      </c>
      <c r="J593" s="1" t="s">
        <v>85</v>
      </c>
      <c r="K593" s="1" t="s">
        <v>86</v>
      </c>
      <c r="L593" s="1" t="s">
        <v>355</v>
      </c>
      <c r="M593" t="str">
        <f t="shared" si="54"/>
        <v>Huang</v>
      </c>
      <c r="N593" t="str">
        <f t="shared" si="55"/>
        <v>Hirata</v>
      </c>
      <c r="O593" t="str">
        <f t="shared" si="56"/>
        <v>Hanisch</v>
      </c>
      <c r="P593" t="str">
        <f t="shared" si="57"/>
        <v>Aasen</v>
      </c>
      <c r="Q593">
        <f t="shared" si="58"/>
        <v>0</v>
      </c>
      <c r="R593" t="str">
        <f t="shared" si="59"/>
        <v>Huang-Hirata-Hanisch-Aasen</v>
      </c>
    </row>
    <row r="594" spans="1:18" x14ac:dyDescent="0.25">
      <c r="A594" s="1" t="s">
        <v>11</v>
      </c>
      <c r="B594" s="1">
        <v>186</v>
      </c>
      <c r="C594" s="1" t="s">
        <v>18</v>
      </c>
      <c r="D594" s="1">
        <v>1</v>
      </c>
      <c r="E594" s="1" t="s">
        <v>82</v>
      </c>
      <c r="F594" s="1">
        <v>22</v>
      </c>
      <c r="G594" s="1">
        <v>24</v>
      </c>
      <c r="H594" s="1" t="s">
        <v>83</v>
      </c>
      <c r="I594" s="1" t="s">
        <v>87</v>
      </c>
      <c r="J594" s="1" t="s">
        <v>88</v>
      </c>
      <c r="K594" s="1" t="s">
        <v>86</v>
      </c>
      <c r="L594" s="1" t="s">
        <v>355</v>
      </c>
      <c r="M594" t="str">
        <f t="shared" si="54"/>
        <v>M. Rohrbach</v>
      </c>
      <c r="N594" t="str">
        <f t="shared" si="55"/>
        <v>L. Rohrbach</v>
      </c>
      <c r="O594" t="str">
        <f t="shared" si="56"/>
        <v>Steinsholt</v>
      </c>
      <c r="P594" t="str">
        <f t="shared" si="57"/>
        <v>Kuehl</v>
      </c>
      <c r="Q594">
        <f t="shared" si="58"/>
        <v>0</v>
      </c>
      <c r="R594" t="str">
        <f t="shared" si="59"/>
        <v>M. Rohrbach-L. Rohrbach-Steinsholt-Kuehl</v>
      </c>
    </row>
    <row r="595" spans="1:18" x14ac:dyDescent="0.25">
      <c r="A595" s="1" t="s">
        <v>11</v>
      </c>
      <c r="B595" s="1">
        <v>189</v>
      </c>
      <c r="C595" s="1" t="s">
        <v>21</v>
      </c>
      <c r="D595" s="1">
        <v>1</v>
      </c>
      <c r="E595" s="1" t="s">
        <v>82</v>
      </c>
      <c r="F595" s="1">
        <v>19</v>
      </c>
      <c r="G595" s="1">
        <v>21</v>
      </c>
      <c r="H595" s="1" t="s">
        <v>83</v>
      </c>
      <c r="I595" s="1" t="s">
        <v>89</v>
      </c>
      <c r="J595" s="1" t="s">
        <v>90</v>
      </c>
      <c r="K595" s="1" t="s">
        <v>86</v>
      </c>
      <c r="L595" s="1" t="s">
        <v>355</v>
      </c>
      <c r="M595" t="str">
        <f t="shared" si="54"/>
        <v>Teixeira</v>
      </c>
      <c r="N595" t="str">
        <f t="shared" si="55"/>
        <v>Santos</v>
      </c>
      <c r="O595" t="str">
        <f t="shared" si="56"/>
        <v>Sund-Olsen</v>
      </c>
      <c r="P595" t="str">
        <f t="shared" si="57"/>
        <v>Strandin</v>
      </c>
      <c r="Q595">
        <f t="shared" si="58"/>
        <v>0</v>
      </c>
      <c r="R595" t="str">
        <f t="shared" si="59"/>
        <v>Teixeira-Santos-Sund-Olsen-Strandin</v>
      </c>
    </row>
    <row r="596" spans="1:18" x14ac:dyDescent="0.25">
      <c r="A596" s="1" t="s">
        <v>11</v>
      </c>
      <c r="B596" s="1">
        <v>192</v>
      </c>
      <c r="C596" s="1" t="s">
        <v>24</v>
      </c>
      <c r="D596" s="1">
        <v>1</v>
      </c>
      <c r="E596" s="1" t="s">
        <v>82</v>
      </c>
      <c r="F596" s="1">
        <v>19</v>
      </c>
      <c r="G596" s="1">
        <v>21</v>
      </c>
      <c r="H596" s="1" t="s">
        <v>83</v>
      </c>
      <c r="I596" s="1" t="s">
        <v>91</v>
      </c>
      <c r="J596" s="1" t="s">
        <v>92</v>
      </c>
      <c r="K596" s="1" t="s">
        <v>86</v>
      </c>
      <c r="L596" s="1" t="s">
        <v>355</v>
      </c>
      <c r="M596" t="str">
        <f t="shared" si="54"/>
        <v>Zerbeti</v>
      </c>
      <c r="N596" t="str">
        <f t="shared" si="55"/>
        <v>Nishida</v>
      </c>
      <c r="O596" t="str">
        <f t="shared" si="56"/>
        <v>Helland</v>
      </c>
      <c r="P596" t="str">
        <f t="shared" si="57"/>
        <v>Abrahamsen</v>
      </c>
      <c r="Q596">
        <f t="shared" si="58"/>
        <v>0</v>
      </c>
      <c r="R596" t="str">
        <f t="shared" si="59"/>
        <v>Zerbeti-Nishida-Helland-Abrahamsen</v>
      </c>
    </row>
    <row r="597" spans="1:18" x14ac:dyDescent="0.25">
      <c r="A597" s="1" t="s">
        <v>11</v>
      </c>
      <c r="B597" s="1">
        <v>195</v>
      </c>
      <c r="C597" s="1" t="s">
        <v>27</v>
      </c>
      <c r="D597" s="1">
        <v>1</v>
      </c>
      <c r="E597" s="1" t="s">
        <v>82</v>
      </c>
      <c r="F597" s="1">
        <v>21</v>
      </c>
      <c r="G597" s="1">
        <v>18</v>
      </c>
      <c r="H597" s="1" t="s">
        <v>83</v>
      </c>
      <c r="I597" s="1" t="s">
        <v>93</v>
      </c>
      <c r="J597" s="1" t="s">
        <v>419</v>
      </c>
      <c r="K597" s="1" t="s">
        <v>86</v>
      </c>
      <c r="L597" s="1" t="s">
        <v>355</v>
      </c>
      <c r="M597" t="str">
        <f t="shared" si="54"/>
        <v>Hey</v>
      </c>
      <c r="N597" t="str">
        <f t="shared" si="55"/>
        <v>Mello</v>
      </c>
      <c r="O597" t="str">
        <f t="shared" si="56"/>
        <v>J. Modalsli</v>
      </c>
      <c r="P597" t="str">
        <f t="shared" si="57"/>
        <v>Tønne-Johansen</v>
      </c>
      <c r="Q597">
        <f t="shared" si="58"/>
        <v>1</v>
      </c>
      <c r="R597" t="str">
        <f t="shared" si="59"/>
        <v>Hey-Mello-J. Modalsli-Tønne-Johansen</v>
      </c>
    </row>
    <row r="598" spans="1:18" x14ac:dyDescent="0.25">
      <c r="A598" s="1" t="s">
        <v>11</v>
      </c>
      <c r="B598" s="1">
        <v>201</v>
      </c>
      <c r="C598" s="1" t="s">
        <v>12</v>
      </c>
      <c r="D598" s="1">
        <v>1</v>
      </c>
      <c r="E598" s="1" t="s">
        <v>95</v>
      </c>
      <c r="F598" s="1">
        <v>14</v>
      </c>
      <c r="G598" s="1">
        <v>21</v>
      </c>
      <c r="H598" s="1" t="s">
        <v>96</v>
      </c>
      <c r="I598" s="1" t="s">
        <v>97</v>
      </c>
      <c r="J598" s="1" t="s">
        <v>397</v>
      </c>
      <c r="K598" s="1" t="s">
        <v>99</v>
      </c>
      <c r="L598" s="1" t="s">
        <v>355</v>
      </c>
      <c r="M598" t="str">
        <f t="shared" si="54"/>
        <v>J. Brus</v>
      </c>
      <c r="N598" t="str">
        <f t="shared" si="55"/>
        <v>R. Brus</v>
      </c>
      <c r="O598" t="str">
        <f t="shared" si="56"/>
        <v>Yañez</v>
      </c>
      <c r="P598" t="str">
        <f t="shared" si="57"/>
        <v>F. Rivera</v>
      </c>
      <c r="Q598">
        <f t="shared" si="58"/>
        <v>0</v>
      </c>
      <c r="R598" t="str">
        <f t="shared" si="59"/>
        <v>J. Brus-R. Brus-Yañez-F. Rivera</v>
      </c>
    </row>
    <row r="599" spans="1:18" x14ac:dyDescent="0.25">
      <c r="A599" s="1" t="s">
        <v>11</v>
      </c>
      <c r="B599" s="1">
        <v>204</v>
      </c>
      <c r="C599" s="1" t="s">
        <v>18</v>
      </c>
      <c r="D599" s="1">
        <v>1</v>
      </c>
      <c r="E599" s="1" t="s">
        <v>95</v>
      </c>
      <c r="F599" s="1">
        <v>21</v>
      </c>
      <c r="G599" s="1">
        <v>14</v>
      </c>
      <c r="H599" s="1" t="s">
        <v>96</v>
      </c>
      <c r="I599" s="1" t="s">
        <v>100</v>
      </c>
      <c r="J599" s="1" t="s">
        <v>101</v>
      </c>
      <c r="K599" s="1" t="s">
        <v>99</v>
      </c>
      <c r="L599" s="1" t="s">
        <v>355</v>
      </c>
      <c r="M599" t="str">
        <f t="shared" si="54"/>
        <v>Schouten</v>
      </c>
      <c r="N599" t="str">
        <f t="shared" si="55"/>
        <v>van Manen</v>
      </c>
      <c r="O599" t="str">
        <f t="shared" si="56"/>
        <v>O. Herrera</v>
      </c>
      <c r="P599" t="str">
        <f t="shared" si="57"/>
        <v>Larroza</v>
      </c>
      <c r="Q599">
        <f t="shared" si="58"/>
        <v>1</v>
      </c>
      <c r="R599" t="str">
        <f t="shared" si="59"/>
        <v>Schouten-van Manen-O. Herrera-Larroza</v>
      </c>
    </row>
    <row r="600" spans="1:18" x14ac:dyDescent="0.25">
      <c r="A600" s="1" t="s">
        <v>11</v>
      </c>
      <c r="B600" s="1">
        <v>207</v>
      </c>
      <c r="C600" s="1" t="s">
        <v>21</v>
      </c>
      <c r="D600" s="1">
        <v>1</v>
      </c>
      <c r="E600" s="1" t="s">
        <v>95</v>
      </c>
      <c r="F600" s="1">
        <v>21</v>
      </c>
      <c r="G600" s="1">
        <v>16</v>
      </c>
      <c r="H600" s="1" t="s">
        <v>96</v>
      </c>
      <c r="I600" s="1" t="s">
        <v>102</v>
      </c>
      <c r="J600" s="1" t="s">
        <v>399</v>
      </c>
      <c r="K600" s="1" t="s">
        <v>99</v>
      </c>
      <c r="L600" s="1" t="s">
        <v>355</v>
      </c>
      <c r="M600" t="str">
        <f t="shared" si="54"/>
        <v>Nieboer</v>
      </c>
      <c r="N600" t="str">
        <f t="shared" si="55"/>
        <v>Van de Riet</v>
      </c>
      <c r="O600" t="str">
        <f t="shared" si="56"/>
        <v>D. Rivera</v>
      </c>
      <c r="P600" t="str">
        <f t="shared" si="57"/>
        <v>Ortiz</v>
      </c>
      <c r="Q600">
        <f t="shared" si="58"/>
        <v>1</v>
      </c>
      <c r="R600" t="str">
        <f t="shared" si="59"/>
        <v>Nieboer-Van de Riet-D. Rivera-Ortiz</v>
      </c>
    </row>
    <row r="601" spans="1:18" x14ac:dyDescent="0.25">
      <c r="A601" s="1" t="s">
        <v>11</v>
      </c>
      <c r="B601" s="1">
        <v>210</v>
      </c>
      <c r="C601" s="1" t="s">
        <v>24</v>
      </c>
      <c r="D601" s="1">
        <v>1</v>
      </c>
      <c r="E601" s="1" t="s">
        <v>95</v>
      </c>
      <c r="F601" s="1">
        <v>16</v>
      </c>
      <c r="G601" s="1">
        <v>21</v>
      </c>
      <c r="H601" s="1" t="s">
        <v>96</v>
      </c>
      <c r="I601" s="1" t="s">
        <v>104</v>
      </c>
      <c r="J601" s="1" t="s">
        <v>105</v>
      </c>
      <c r="K601" s="1" t="s">
        <v>99</v>
      </c>
      <c r="L601" s="1" t="s">
        <v>355</v>
      </c>
      <c r="M601" t="str">
        <f t="shared" si="54"/>
        <v>Spengler</v>
      </c>
      <c r="N601" t="str">
        <f t="shared" si="55"/>
        <v>Slebos</v>
      </c>
      <c r="O601" t="str">
        <f t="shared" si="56"/>
        <v>R. Herrera</v>
      </c>
      <c r="P601" t="str">
        <f t="shared" si="57"/>
        <v>P. Herrera</v>
      </c>
      <c r="Q601">
        <f t="shared" si="58"/>
        <v>0</v>
      </c>
      <c r="R601" t="str">
        <f t="shared" si="59"/>
        <v>Spengler-Slebos-R. Herrera-P. Herrera</v>
      </c>
    </row>
    <row r="602" spans="1:18" x14ac:dyDescent="0.25">
      <c r="A602" s="1" t="s">
        <v>11</v>
      </c>
      <c r="B602" s="1">
        <v>213</v>
      </c>
      <c r="C602" s="1" t="s">
        <v>27</v>
      </c>
      <c r="D602" s="1">
        <v>1</v>
      </c>
      <c r="E602" s="1" t="s">
        <v>95</v>
      </c>
      <c r="F602" s="1">
        <v>21</v>
      </c>
      <c r="G602" s="1">
        <v>15</v>
      </c>
      <c r="H602" s="1" t="s">
        <v>96</v>
      </c>
      <c r="I602" s="1" t="s">
        <v>106</v>
      </c>
      <c r="J602" s="1" t="s">
        <v>107</v>
      </c>
      <c r="K602" s="1" t="s">
        <v>99</v>
      </c>
      <c r="L602" s="1" t="s">
        <v>355</v>
      </c>
      <c r="M602" t="str">
        <f t="shared" si="54"/>
        <v>Kedar</v>
      </c>
      <c r="N602" t="str">
        <f t="shared" si="55"/>
        <v>Elbertsen</v>
      </c>
      <c r="O602" t="str">
        <f t="shared" si="56"/>
        <v>Mella</v>
      </c>
      <c r="P602" t="str">
        <f t="shared" si="57"/>
        <v>Vargas</v>
      </c>
      <c r="Q602">
        <f t="shared" si="58"/>
        <v>1</v>
      </c>
      <c r="R602" t="str">
        <f t="shared" si="59"/>
        <v>Kedar-Elbertsen-Mella-Vargas</v>
      </c>
    </row>
    <row r="603" spans="1:18" x14ac:dyDescent="0.25">
      <c r="A603" s="1" t="s">
        <v>11</v>
      </c>
      <c r="B603" s="1">
        <v>219</v>
      </c>
      <c r="C603" s="1" t="s">
        <v>12</v>
      </c>
      <c r="D603" s="1">
        <v>1</v>
      </c>
      <c r="E603" s="1" t="s">
        <v>108</v>
      </c>
      <c r="F603" s="1">
        <v>15</v>
      </c>
      <c r="G603" s="1">
        <v>21</v>
      </c>
      <c r="H603" s="1" t="s">
        <v>109</v>
      </c>
      <c r="I603" s="1" t="s">
        <v>110</v>
      </c>
      <c r="J603" s="1" t="s">
        <v>111</v>
      </c>
      <c r="K603" s="1" t="s">
        <v>112</v>
      </c>
      <c r="L603" s="1" t="s">
        <v>355</v>
      </c>
      <c r="M603" t="str">
        <f t="shared" si="54"/>
        <v>Goar</v>
      </c>
      <c r="N603" t="str">
        <f t="shared" si="55"/>
        <v>Canovas</v>
      </c>
      <c r="O603" t="str">
        <f t="shared" si="56"/>
        <v>Ko. Kyläinpää</v>
      </c>
      <c r="P603" t="str">
        <f t="shared" si="57"/>
        <v>Ka. Kyläinpää</v>
      </c>
      <c r="Q603">
        <f t="shared" si="58"/>
        <v>0</v>
      </c>
      <c r="R603" t="str">
        <f t="shared" si="59"/>
        <v>Goar-Canovas-Ko. Kyläinpää-Ka. Kyläinpää</v>
      </c>
    </row>
    <row r="604" spans="1:18" x14ac:dyDescent="0.25">
      <c r="A604" s="1" t="s">
        <v>11</v>
      </c>
      <c r="B604" s="1">
        <v>222</v>
      </c>
      <c r="C604" s="1" t="s">
        <v>18</v>
      </c>
      <c r="D604" s="1">
        <v>1</v>
      </c>
      <c r="E604" s="1" t="s">
        <v>108</v>
      </c>
      <c r="F604" s="1">
        <v>19</v>
      </c>
      <c r="G604" s="1">
        <v>21</v>
      </c>
      <c r="H604" s="1" t="s">
        <v>109</v>
      </c>
      <c r="I604" s="1" t="s">
        <v>398</v>
      </c>
      <c r="J604" s="1" t="s">
        <v>114</v>
      </c>
      <c r="K604" s="1" t="s">
        <v>112</v>
      </c>
      <c r="L604" s="1" t="s">
        <v>355</v>
      </c>
      <c r="M604" t="str">
        <f t="shared" si="54"/>
        <v>M. Rivera</v>
      </c>
      <c r="N604" t="str">
        <f t="shared" si="55"/>
        <v>Meave</v>
      </c>
      <c r="O604" t="str">
        <f t="shared" si="56"/>
        <v>Youssef</v>
      </c>
      <c r="P604" t="str">
        <f t="shared" si="57"/>
        <v>Heikkinen</v>
      </c>
      <c r="Q604">
        <f t="shared" si="58"/>
        <v>0</v>
      </c>
      <c r="R604" t="str">
        <f t="shared" si="59"/>
        <v>M. Rivera-Meave-Youssef-Heikkinen</v>
      </c>
    </row>
    <row r="605" spans="1:18" x14ac:dyDescent="0.25">
      <c r="A605" s="1" t="s">
        <v>11</v>
      </c>
      <c r="B605" s="1">
        <v>225</v>
      </c>
      <c r="C605" s="1" t="s">
        <v>21</v>
      </c>
      <c r="D605" s="1">
        <v>1</v>
      </c>
      <c r="E605" s="1" t="s">
        <v>108</v>
      </c>
      <c r="F605" s="1">
        <v>15</v>
      </c>
      <c r="G605" s="1">
        <v>21</v>
      </c>
      <c r="H605" s="1" t="s">
        <v>109</v>
      </c>
      <c r="I605" s="1" t="s">
        <v>115</v>
      </c>
      <c r="J605" s="1" t="s">
        <v>116</v>
      </c>
      <c r="K605" s="1" t="s">
        <v>112</v>
      </c>
      <c r="L605" s="1" t="s">
        <v>355</v>
      </c>
      <c r="M605" t="str">
        <f t="shared" si="54"/>
        <v>Erick Diaz</v>
      </c>
      <c r="N605" t="str">
        <f t="shared" si="55"/>
        <v>Loïacono</v>
      </c>
      <c r="O605" t="str">
        <f t="shared" si="56"/>
        <v>Peltonen</v>
      </c>
      <c r="P605" t="str">
        <f t="shared" si="57"/>
        <v>Seitz</v>
      </c>
      <c r="Q605">
        <f t="shared" si="58"/>
        <v>0</v>
      </c>
      <c r="R605" t="str">
        <f t="shared" si="59"/>
        <v>Erick Diaz-Loïacono-Peltonen-Seitz</v>
      </c>
    </row>
    <row r="606" spans="1:18" x14ac:dyDescent="0.25">
      <c r="A606" s="1" t="s">
        <v>11</v>
      </c>
      <c r="B606" s="1">
        <v>228</v>
      </c>
      <c r="C606" s="1" t="s">
        <v>24</v>
      </c>
      <c r="D606" s="1">
        <v>1</v>
      </c>
      <c r="E606" s="1" t="s">
        <v>108</v>
      </c>
      <c r="F606" s="1">
        <v>17</v>
      </c>
      <c r="G606" s="1">
        <v>21</v>
      </c>
      <c r="H606" s="1" t="s">
        <v>109</v>
      </c>
      <c r="I606" s="1" t="s">
        <v>117</v>
      </c>
      <c r="J606" s="1" t="s">
        <v>118</v>
      </c>
      <c r="K606" s="1" t="s">
        <v>112</v>
      </c>
      <c r="L606" s="1" t="s">
        <v>355</v>
      </c>
      <c r="M606" t="str">
        <f t="shared" si="54"/>
        <v>Islas</v>
      </c>
      <c r="N606" t="str">
        <f t="shared" si="55"/>
        <v>Rueda</v>
      </c>
      <c r="O606" t="str">
        <f t="shared" si="56"/>
        <v>Kauppinen</v>
      </c>
      <c r="P606" t="str">
        <f t="shared" si="57"/>
        <v>Modenius</v>
      </c>
      <c r="Q606">
        <f t="shared" si="58"/>
        <v>0</v>
      </c>
      <c r="R606" t="str">
        <f t="shared" si="59"/>
        <v>Islas-Rueda-Kauppinen-Modenius</v>
      </c>
    </row>
    <row r="607" spans="1:18" x14ac:dyDescent="0.25">
      <c r="A607" s="1" t="s">
        <v>11</v>
      </c>
      <c r="B607" s="1">
        <v>231</v>
      </c>
      <c r="C607" s="1" t="s">
        <v>27</v>
      </c>
      <c r="D607" s="1">
        <v>1</v>
      </c>
      <c r="E607" s="1" t="s">
        <v>108</v>
      </c>
      <c r="F607" s="1">
        <v>17</v>
      </c>
      <c r="G607" s="1">
        <v>21</v>
      </c>
      <c r="H607" s="1" t="s">
        <v>109</v>
      </c>
      <c r="I607" s="1" t="s">
        <v>119</v>
      </c>
      <c r="J607" s="1" t="s">
        <v>120</v>
      </c>
      <c r="K607" s="1" t="s">
        <v>112</v>
      </c>
      <c r="L607" s="1" t="s">
        <v>355</v>
      </c>
      <c r="M607" t="str">
        <f t="shared" si="54"/>
        <v>Durazo</v>
      </c>
      <c r="N607" t="str">
        <f t="shared" si="55"/>
        <v>Einar Diaz</v>
      </c>
      <c r="O607" t="str">
        <f t="shared" si="56"/>
        <v>Zein</v>
      </c>
      <c r="P607" t="str">
        <f t="shared" si="57"/>
        <v>Orava</v>
      </c>
      <c r="Q607">
        <f t="shared" si="58"/>
        <v>0</v>
      </c>
      <c r="R607" t="str">
        <f t="shared" si="59"/>
        <v>Durazo-Einar Diaz-Zein-Orava</v>
      </c>
    </row>
    <row r="608" spans="1:18" x14ac:dyDescent="0.25">
      <c r="A608" s="1" t="s">
        <v>11</v>
      </c>
      <c r="B608" s="1">
        <v>237</v>
      </c>
      <c r="C608" s="1" t="s">
        <v>12</v>
      </c>
      <c r="D608" s="1">
        <v>1</v>
      </c>
      <c r="E608" s="1" t="s">
        <v>121</v>
      </c>
      <c r="F608" s="1">
        <v>1</v>
      </c>
      <c r="G608" s="1">
        <v>0</v>
      </c>
      <c r="H608" s="1" t="s">
        <v>122</v>
      </c>
      <c r="I608" s="1" t="s">
        <v>123</v>
      </c>
      <c r="J608" s="1" t="s">
        <v>124</v>
      </c>
      <c r="K608" s="1" t="s">
        <v>125</v>
      </c>
      <c r="L608" s="1" t="s">
        <v>355</v>
      </c>
      <c r="M608" t="str">
        <f t="shared" si="54"/>
        <v>Prelich</v>
      </c>
      <c r="N608" t="str">
        <f t="shared" si="55"/>
        <v>Tomkin Clarke</v>
      </c>
      <c r="O608" t="str">
        <f t="shared" si="56"/>
        <v>Brach</v>
      </c>
      <c r="P608" t="str">
        <f t="shared" si="57"/>
        <v>Castin</v>
      </c>
      <c r="Q608">
        <f t="shared" si="58"/>
        <v>1</v>
      </c>
      <c r="R608" t="str">
        <f t="shared" si="59"/>
        <v>Prelich-Tomkin Clarke-Brach-Castin</v>
      </c>
    </row>
    <row r="609" spans="1:18" x14ac:dyDescent="0.25">
      <c r="A609" s="1" t="s">
        <v>11</v>
      </c>
      <c r="B609" s="1">
        <v>241</v>
      </c>
      <c r="C609" s="1" t="s">
        <v>18</v>
      </c>
      <c r="D609" s="1">
        <v>2</v>
      </c>
      <c r="E609" s="1" t="s">
        <v>121</v>
      </c>
      <c r="F609" s="1">
        <v>1</v>
      </c>
      <c r="G609" s="1">
        <v>0</v>
      </c>
      <c r="H609" s="1" t="s">
        <v>122</v>
      </c>
      <c r="I609" s="1" t="s">
        <v>126</v>
      </c>
      <c r="J609" s="1" t="s">
        <v>127</v>
      </c>
      <c r="K609" s="1" t="s">
        <v>125</v>
      </c>
      <c r="L609" s="1" t="s">
        <v>355</v>
      </c>
      <c r="M609" t="str">
        <f t="shared" si="54"/>
        <v>O'Gara</v>
      </c>
      <c r="N609" t="str">
        <f t="shared" si="55"/>
        <v>Mendez</v>
      </c>
      <c r="O609" t="str">
        <f t="shared" si="56"/>
        <v>Bermes</v>
      </c>
      <c r="P609" t="str">
        <f t="shared" si="57"/>
        <v>Ries</v>
      </c>
      <c r="Q609">
        <f t="shared" si="58"/>
        <v>1</v>
      </c>
      <c r="R609" t="str">
        <f t="shared" si="59"/>
        <v>O'Gara-Mendez-Bermes-Ries</v>
      </c>
    </row>
    <row r="610" spans="1:18" x14ac:dyDescent="0.25">
      <c r="A610" s="1" t="s">
        <v>11</v>
      </c>
      <c r="B610" s="1">
        <v>243</v>
      </c>
      <c r="C610" s="1" t="s">
        <v>21</v>
      </c>
      <c r="D610" s="1">
        <v>1</v>
      </c>
      <c r="E610" s="1" t="s">
        <v>121</v>
      </c>
      <c r="F610" s="1">
        <v>1</v>
      </c>
      <c r="G610" s="1">
        <v>0</v>
      </c>
      <c r="H610" s="1" t="s">
        <v>122</v>
      </c>
      <c r="I610" s="1" t="s">
        <v>128</v>
      </c>
      <c r="J610" s="1" t="s">
        <v>412</v>
      </c>
      <c r="K610" s="1" t="s">
        <v>125</v>
      </c>
      <c r="L610" s="1" t="s">
        <v>355</v>
      </c>
      <c r="M610" t="str">
        <f t="shared" si="54"/>
        <v>Duffy</v>
      </c>
      <c r="N610" t="str">
        <f t="shared" si="55"/>
        <v>Byrne</v>
      </c>
      <c r="O610" t="str">
        <f t="shared" si="56"/>
        <v>Mertens</v>
      </c>
      <c r="P610" t="str">
        <f t="shared" si="57"/>
        <v>M. Thomé</v>
      </c>
      <c r="Q610">
        <f t="shared" si="58"/>
        <v>1</v>
      </c>
      <c r="R610" t="str">
        <f t="shared" si="59"/>
        <v>Duffy-Byrne-Mertens-M. Thomé</v>
      </c>
    </row>
    <row r="611" spans="1:18" x14ac:dyDescent="0.25">
      <c r="A611" s="1" t="s">
        <v>11</v>
      </c>
      <c r="B611" s="1">
        <v>247</v>
      </c>
      <c r="C611" s="1" t="s">
        <v>24</v>
      </c>
      <c r="D611" s="1">
        <v>2</v>
      </c>
      <c r="E611" s="1" t="s">
        <v>121</v>
      </c>
      <c r="F611" s="1">
        <v>1</v>
      </c>
      <c r="G611" s="1">
        <v>0</v>
      </c>
      <c r="H611" s="1" t="s">
        <v>122</v>
      </c>
      <c r="I611" s="1" t="s">
        <v>130</v>
      </c>
      <c r="J611" s="1" t="s">
        <v>413</v>
      </c>
      <c r="K611" s="1" t="s">
        <v>125</v>
      </c>
      <c r="L611" s="1" t="s">
        <v>355</v>
      </c>
      <c r="M611" t="str">
        <f t="shared" si="54"/>
        <v>Leonard</v>
      </c>
      <c r="N611" t="str">
        <f t="shared" si="55"/>
        <v>Hodkinson</v>
      </c>
      <c r="O611" t="str">
        <f t="shared" si="56"/>
        <v>N. Thomé</v>
      </c>
      <c r="P611" t="str">
        <f t="shared" si="57"/>
        <v>Klein</v>
      </c>
      <c r="Q611">
        <f t="shared" si="58"/>
        <v>1</v>
      </c>
      <c r="R611" t="str">
        <f t="shared" si="59"/>
        <v>Leonard-Hodkinson-N. Thomé-Klein</v>
      </c>
    </row>
    <row r="612" spans="1:18" x14ac:dyDescent="0.25">
      <c r="A612" s="1" t="s">
        <v>11</v>
      </c>
      <c r="B612" s="1">
        <v>249</v>
      </c>
      <c r="C612" s="1" t="s">
        <v>27</v>
      </c>
      <c r="D612" s="1">
        <v>1</v>
      </c>
      <c r="E612" s="1" t="s">
        <v>121</v>
      </c>
      <c r="F612" s="1">
        <v>1</v>
      </c>
      <c r="G612" s="1">
        <v>0</v>
      </c>
      <c r="H612" s="1" t="s">
        <v>122</v>
      </c>
      <c r="I612" s="1" t="s">
        <v>132</v>
      </c>
      <c r="J612" s="1" t="s">
        <v>133</v>
      </c>
      <c r="K612" s="1" t="s">
        <v>125</v>
      </c>
      <c r="L612" s="1" t="s">
        <v>355</v>
      </c>
      <c r="M612" t="str">
        <f t="shared" si="54"/>
        <v>Costa</v>
      </c>
      <c r="N612" t="str">
        <f t="shared" si="55"/>
        <v>Urbi</v>
      </c>
      <c r="O612" t="str">
        <f t="shared" si="56"/>
        <v>Clees</v>
      </c>
      <c r="P612" t="str">
        <f t="shared" si="57"/>
        <v>Urbany</v>
      </c>
      <c r="Q612">
        <f t="shared" si="58"/>
        <v>1</v>
      </c>
      <c r="R612" t="str">
        <f t="shared" si="59"/>
        <v>Costa-Urbi-Clees-Urbany</v>
      </c>
    </row>
    <row r="613" spans="1:18" x14ac:dyDescent="0.25">
      <c r="A613" s="1" t="s">
        <v>11</v>
      </c>
      <c r="B613" s="1">
        <v>256</v>
      </c>
      <c r="C613" s="1" t="s">
        <v>12</v>
      </c>
      <c r="D613" s="1">
        <v>2</v>
      </c>
      <c r="E613" s="1" t="s">
        <v>134</v>
      </c>
      <c r="F613" s="1">
        <v>1</v>
      </c>
      <c r="G613" s="1">
        <v>0</v>
      </c>
      <c r="H613" s="1" t="s">
        <v>135</v>
      </c>
      <c r="I613" s="1" t="s">
        <v>136</v>
      </c>
      <c r="J613" s="1" t="s">
        <v>137</v>
      </c>
      <c r="K613" s="1" t="s">
        <v>138</v>
      </c>
      <c r="L613" s="1" t="s">
        <v>355</v>
      </c>
      <c r="M613" t="str">
        <f t="shared" si="54"/>
        <v>Lam</v>
      </c>
      <c r="N613" t="str">
        <f t="shared" si="55"/>
        <v>Choi</v>
      </c>
      <c r="O613" t="str">
        <f t="shared" si="56"/>
        <v>El-Gendy</v>
      </c>
      <c r="P613" t="str">
        <f t="shared" si="57"/>
        <v>Seddik</v>
      </c>
      <c r="Q613">
        <f t="shared" si="58"/>
        <v>1</v>
      </c>
      <c r="R613" t="str">
        <f t="shared" si="59"/>
        <v>Lam-Choi-El-Gendy-Seddik</v>
      </c>
    </row>
    <row r="614" spans="1:18" x14ac:dyDescent="0.25">
      <c r="A614" s="1" t="s">
        <v>11</v>
      </c>
      <c r="B614" s="1">
        <v>258</v>
      </c>
      <c r="C614" s="1" t="s">
        <v>18</v>
      </c>
      <c r="D614" s="1">
        <v>1</v>
      </c>
      <c r="E614" s="1" t="s">
        <v>134</v>
      </c>
      <c r="F614" s="1">
        <v>1</v>
      </c>
      <c r="G614" s="1">
        <v>0</v>
      </c>
      <c r="H614" s="1" t="s">
        <v>135</v>
      </c>
      <c r="I614" s="1" t="s">
        <v>428</v>
      </c>
      <c r="J614" s="1" t="s">
        <v>140</v>
      </c>
      <c r="K614" s="1" t="s">
        <v>138</v>
      </c>
      <c r="L614" s="1" t="s">
        <v>355</v>
      </c>
      <c r="M614" t="str">
        <f t="shared" si="54"/>
        <v>C. Fung</v>
      </c>
      <c r="N614" t="str">
        <f t="shared" si="55"/>
        <v>A. Wong</v>
      </c>
      <c r="O614" t="str">
        <f t="shared" si="56"/>
        <v>Nader</v>
      </c>
      <c r="P614" t="str">
        <f t="shared" si="57"/>
        <v>Naim</v>
      </c>
      <c r="Q614">
        <f t="shared" si="58"/>
        <v>1</v>
      </c>
      <c r="R614" t="str">
        <f t="shared" si="59"/>
        <v>C. Fung-A. Wong-Nader-Naim</v>
      </c>
    </row>
    <row r="615" spans="1:18" x14ac:dyDescent="0.25">
      <c r="A615" s="1" t="s">
        <v>11</v>
      </c>
      <c r="B615" s="1">
        <v>262</v>
      </c>
      <c r="C615" s="1" t="s">
        <v>21</v>
      </c>
      <c r="D615" s="1">
        <v>2</v>
      </c>
      <c r="E615" s="1" t="s">
        <v>134</v>
      </c>
      <c r="F615" s="1">
        <v>1</v>
      </c>
      <c r="G615" s="1">
        <v>0</v>
      </c>
      <c r="H615" s="1" t="s">
        <v>135</v>
      </c>
      <c r="I615" s="1" t="s">
        <v>404</v>
      </c>
      <c r="J615" s="1" t="s">
        <v>142</v>
      </c>
      <c r="K615" s="1" t="s">
        <v>138</v>
      </c>
      <c r="L615" s="1" t="s">
        <v>355</v>
      </c>
      <c r="M615" t="str">
        <f t="shared" si="54"/>
        <v>Je. Cheung</v>
      </c>
      <c r="N615" t="str">
        <f t="shared" si="55"/>
        <v>Lau</v>
      </c>
      <c r="O615" t="str">
        <f t="shared" si="56"/>
        <v>Saafan</v>
      </c>
      <c r="P615" t="str">
        <f t="shared" si="57"/>
        <v>Atwan</v>
      </c>
      <c r="Q615">
        <f t="shared" si="58"/>
        <v>1</v>
      </c>
      <c r="R615" t="str">
        <f t="shared" si="59"/>
        <v>Je. Cheung-Lau-Saafan-Atwan</v>
      </c>
    </row>
    <row r="616" spans="1:18" x14ac:dyDescent="0.25">
      <c r="A616" s="1" t="s">
        <v>11</v>
      </c>
      <c r="B616" s="1">
        <v>265</v>
      </c>
      <c r="C616" s="1" t="s">
        <v>24</v>
      </c>
      <c r="D616" s="1">
        <v>2</v>
      </c>
      <c r="E616" s="1" t="s">
        <v>134</v>
      </c>
      <c r="F616" s="1">
        <v>1</v>
      </c>
      <c r="G616" s="1">
        <v>0</v>
      </c>
      <c r="H616" s="1" t="s">
        <v>135</v>
      </c>
      <c r="I616" s="1" t="s">
        <v>143</v>
      </c>
      <c r="J616" s="1" t="s">
        <v>144</v>
      </c>
      <c r="K616" s="1" t="s">
        <v>138</v>
      </c>
      <c r="L616" s="1" t="s">
        <v>355</v>
      </c>
      <c r="M616" t="str">
        <f t="shared" si="54"/>
        <v>Lui</v>
      </c>
      <c r="N616" t="str">
        <f t="shared" si="55"/>
        <v>Yan</v>
      </c>
      <c r="O616" t="str">
        <f t="shared" si="56"/>
        <v>Abdelmalek</v>
      </c>
      <c r="P616" t="str">
        <f t="shared" si="57"/>
        <v>Alabed</v>
      </c>
      <c r="Q616">
        <f t="shared" si="58"/>
        <v>1</v>
      </c>
      <c r="R616" t="str">
        <f t="shared" si="59"/>
        <v>Lui-Yan-Abdelmalek-Alabed</v>
      </c>
    </row>
    <row r="617" spans="1:18" x14ac:dyDescent="0.25">
      <c r="A617" s="1" t="s">
        <v>11</v>
      </c>
      <c r="B617" s="1">
        <v>21</v>
      </c>
      <c r="C617" s="1" t="s">
        <v>12</v>
      </c>
      <c r="D617" s="1">
        <v>1</v>
      </c>
      <c r="E617" s="1" t="s">
        <v>146</v>
      </c>
      <c r="F617" s="1">
        <v>1</v>
      </c>
      <c r="G617" s="1">
        <v>0</v>
      </c>
      <c r="H617" s="1" t="s">
        <v>147</v>
      </c>
      <c r="I617" s="1" t="s">
        <v>148</v>
      </c>
      <c r="J617" s="1" t="s">
        <v>149</v>
      </c>
      <c r="K617" s="1" t="s">
        <v>369</v>
      </c>
      <c r="L617" s="1" t="s">
        <v>355</v>
      </c>
      <c r="M617" t="str">
        <f t="shared" si="54"/>
        <v>Eisenträger</v>
      </c>
      <c r="N617" t="str">
        <f t="shared" si="55"/>
        <v>Siemer</v>
      </c>
      <c r="O617" t="str">
        <f t="shared" si="56"/>
        <v>Felix</v>
      </c>
      <c r="P617" t="str">
        <f t="shared" si="57"/>
        <v>Baumeler</v>
      </c>
      <c r="Q617">
        <f t="shared" si="58"/>
        <v>1</v>
      </c>
      <c r="R617" t="str">
        <f t="shared" si="59"/>
        <v>Eisenträger-Siemer-Felix-Baumeler</v>
      </c>
    </row>
    <row r="618" spans="1:18" x14ac:dyDescent="0.25">
      <c r="A618" s="1" t="s">
        <v>11</v>
      </c>
      <c r="B618" s="1">
        <v>22</v>
      </c>
      <c r="C618" s="1" t="s">
        <v>12</v>
      </c>
      <c r="D618" s="1">
        <v>2</v>
      </c>
      <c r="E618" s="1" t="s">
        <v>146</v>
      </c>
      <c r="F618" s="1">
        <v>1</v>
      </c>
      <c r="G618" s="1">
        <v>0</v>
      </c>
      <c r="H618" s="1" t="s">
        <v>147</v>
      </c>
      <c r="I618" s="1" t="s">
        <v>148</v>
      </c>
      <c r="J618" s="1" t="s">
        <v>149</v>
      </c>
      <c r="K618" s="1" t="s">
        <v>369</v>
      </c>
      <c r="L618" s="1" t="s">
        <v>355</v>
      </c>
      <c r="M618" t="str">
        <f t="shared" si="54"/>
        <v>Eisenträger</v>
      </c>
      <c r="N618" t="str">
        <f t="shared" si="55"/>
        <v>Siemer</v>
      </c>
      <c r="O618" t="str">
        <f t="shared" si="56"/>
        <v>Felix</v>
      </c>
      <c r="P618" t="str">
        <f t="shared" si="57"/>
        <v>Baumeler</v>
      </c>
      <c r="Q618">
        <f t="shared" si="58"/>
        <v>1</v>
      </c>
      <c r="R618" t="str">
        <f t="shared" si="59"/>
        <v>Eisenträger-Siemer-Felix-Baumeler</v>
      </c>
    </row>
    <row r="619" spans="1:18" x14ac:dyDescent="0.25">
      <c r="A619" s="1" t="s">
        <v>11</v>
      </c>
      <c r="B619" s="1">
        <v>24</v>
      </c>
      <c r="C619" s="1" t="s">
        <v>18</v>
      </c>
      <c r="D619" s="1">
        <v>1</v>
      </c>
      <c r="E619" s="1" t="s">
        <v>146</v>
      </c>
      <c r="F619" s="1">
        <v>1</v>
      </c>
      <c r="G619" s="1">
        <v>0</v>
      </c>
      <c r="H619" s="1" t="s">
        <v>147</v>
      </c>
      <c r="I619" s="1" t="s">
        <v>151</v>
      </c>
      <c r="J619" s="1" t="s">
        <v>152</v>
      </c>
      <c r="K619" s="1" t="s">
        <v>369</v>
      </c>
      <c r="L619" s="1" t="s">
        <v>355</v>
      </c>
      <c r="M619" t="str">
        <f t="shared" si="54"/>
        <v>Grönebaum</v>
      </c>
      <c r="N619" t="str">
        <f t="shared" si="55"/>
        <v>Prüfer</v>
      </c>
      <c r="O619" t="str">
        <f t="shared" si="56"/>
        <v>Rimle</v>
      </c>
      <c r="P619" t="str">
        <f t="shared" si="57"/>
        <v>Peter</v>
      </c>
      <c r="Q619">
        <f t="shared" si="58"/>
        <v>1</v>
      </c>
      <c r="R619" t="str">
        <f t="shared" si="59"/>
        <v>Grönebaum-Prüfer-Rimle-Peter</v>
      </c>
    </row>
    <row r="620" spans="1:18" x14ac:dyDescent="0.25">
      <c r="A620" s="1" t="s">
        <v>11</v>
      </c>
      <c r="B620" s="1">
        <v>25</v>
      </c>
      <c r="C620" s="1" t="s">
        <v>18</v>
      </c>
      <c r="D620" s="1">
        <v>2</v>
      </c>
      <c r="E620" s="1" t="s">
        <v>146</v>
      </c>
      <c r="F620" s="1">
        <v>1</v>
      </c>
      <c r="G620" s="1">
        <v>0</v>
      </c>
      <c r="H620" s="1" t="s">
        <v>147</v>
      </c>
      <c r="I620" s="1" t="s">
        <v>151</v>
      </c>
      <c r="J620" s="1" t="s">
        <v>152</v>
      </c>
      <c r="K620" s="1" t="s">
        <v>369</v>
      </c>
      <c r="L620" s="1" t="s">
        <v>355</v>
      </c>
      <c r="M620" t="str">
        <f t="shared" si="54"/>
        <v>Grönebaum</v>
      </c>
      <c r="N620" t="str">
        <f t="shared" si="55"/>
        <v>Prüfer</v>
      </c>
      <c r="O620" t="str">
        <f t="shared" si="56"/>
        <v>Rimle</v>
      </c>
      <c r="P620" t="str">
        <f t="shared" si="57"/>
        <v>Peter</v>
      </c>
      <c r="Q620">
        <f t="shared" si="58"/>
        <v>1</v>
      </c>
      <c r="R620" t="str">
        <f t="shared" si="59"/>
        <v>Grönebaum-Prüfer-Rimle-Peter</v>
      </c>
    </row>
    <row r="621" spans="1:18" x14ac:dyDescent="0.25">
      <c r="A621" s="1" t="s">
        <v>11</v>
      </c>
      <c r="B621" s="1">
        <v>27</v>
      </c>
      <c r="C621" s="1" t="s">
        <v>21</v>
      </c>
      <c r="D621" s="1">
        <v>1</v>
      </c>
      <c r="E621" s="1" t="s">
        <v>146</v>
      </c>
      <c r="F621" s="1">
        <v>1</v>
      </c>
      <c r="G621" s="1">
        <v>0</v>
      </c>
      <c r="H621" s="1" t="s">
        <v>147</v>
      </c>
      <c r="I621" s="1" t="s">
        <v>153</v>
      </c>
      <c r="J621" s="1" t="s">
        <v>154</v>
      </c>
      <c r="K621" s="1" t="s">
        <v>369</v>
      </c>
      <c r="L621" s="1" t="s">
        <v>355</v>
      </c>
      <c r="M621" t="str">
        <f t="shared" si="54"/>
        <v>Claus</v>
      </c>
      <c r="N621" t="str">
        <f t="shared" si="55"/>
        <v>Lauterbach</v>
      </c>
      <c r="O621" t="str">
        <f t="shared" si="56"/>
        <v>Pasetti</v>
      </c>
      <c r="P621" t="str">
        <f t="shared" si="57"/>
        <v>Widin</v>
      </c>
      <c r="Q621">
        <f t="shared" si="58"/>
        <v>1</v>
      </c>
      <c r="R621" t="str">
        <f t="shared" si="59"/>
        <v>Claus-Lauterbach-Pasetti-Widin</v>
      </c>
    </row>
    <row r="622" spans="1:18" x14ac:dyDescent="0.25">
      <c r="A622" s="1" t="s">
        <v>11</v>
      </c>
      <c r="B622" s="1">
        <v>28</v>
      </c>
      <c r="C622" s="1" t="s">
        <v>21</v>
      </c>
      <c r="D622" s="1">
        <v>2</v>
      </c>
      <c r="E622" s="1" t="s">
        <v>146</v>
      </c>
      <c r="F622" s="1">
        <v>1</v>
      </c>
      <c r="G622" s="1">
        <v>0</v>
      </c>
      <c r="H622" s="1" t="s">
        <v>147</v>
      </c>
      <c r="I622" s="1" t="s">
        <v>153</v>
      </c>
      <c r="J622" s="1" t="s">
        <v>154</v>
      </c>
      <c r="K622" s="1" t="s">
        <v>369</v>
      </c>
      <c r="L622" s="1" t="s">
        <v>355</v>
      </c>
      <c r="M622" t="str">
        <f t="shared" si="54"/>
        <v>Claus</v>
      </c>
      <c r="N622" t="str">
        <f t="shared" si="55"/>
        <v>Lauterbach</v>
      </c>
      <c r="O622" t="str">
        <f t="shared" si="56"/>
        <v>Pasetti</v>
      </c>
      <c r="P622" t="str">
        <f t="shared" si="57"/>
        <v>Widin</v>
      </c>
      <c r="Q622">
        <f t="shared" si="58"/>
        <v>1</v>
      </c>
      <c r="R622" t="str">
        <f t="shared" si="59"/>
        <v>Claus-Lauterbach-Pasetti-Widin</v>
      </c>
    </row>
    <row r="623" spans="1:18" x14ac:dyDescent="0.25">
      <c r="A623" s="1" t="s">
        <v>11</v>
      </c>
      <c r="B623" s="1">
        <v>39</v>
      </c>
      <c r="C623" s="1" t="s">
        <v>12</v>
      </c>
      <c r="D623" s="1">
        <v>1</v>
      </c>
      <c r="E623" s="1" t="s">
        <v>155</v>
      </c>
      <c r="F623" s="1">
        <v>17</v>
      </c>
      <c r="G623" s="1">
        <v>21</v>
      </c>
      <c r="H623" s="1" t="s">
        <v>156</v>
      </c>
      <c r="I623" s="1" t="s">
        <v>157</v>
      </c>
      <c r="J623" s="1" t="s">
        <v>158</v>
      </c>
      <c r="K623" s="1" t="s">
        <v>159</v>
      </c>
      <c r="L623" s="1" t="s">
        <v>355</v>
      </c>
      <c r="M623" t="str">
        <f t="shared" si="54"/>
        <v>Bazzani</v>
      </c>
      <c r="N623" t="str">
        <f t="shared" si="55"/>
        <v>Borsotti</v>
      </c>
      <c r="O623" t="str">
        <f t="shared" si="56"/>
        <v>Bachler</v>
      </c>
      <c r="P623" t="str">
        <f t="shared" si="57"/>
        <v>Dziruni</v>
      </c>
      <c r="Q623">
        <f t="shared" si="58"/>
        <v>0</v>
      </c>
      <c r="R623" t="str">
        <f t="shared" si="59"/>
        <v>Bazzani-Borsotti-Bachler-Dziruni</v>
      </c>
    </row>
    <row r="624" spans="1:18" x14ac:dyDescent="0.25">
      <c r="A624" s="1" t="s">
        <v>11</v>
      </c>
      <c r="B624" s="1">
        <v>42</v>
      </c>
      <c r="C624" s="1" t="s">
        <v>18</v>
      </c>
      <c r="D624" s="1">
        <v>1</v>
      </c>
      <c r="E624" s="1" t="s">
        <v>155</v>
      </c>
      <c r="F624" s="1">
        <v>21</v>
      </c>
      <c r="G624" s="1">
        <v>14</v>
      </c>
      <c r="H624" s="1" t="s">
        <v>156</v>
      </c>
      <c r="I624" s="1" t="s">
        <v>160</v>
      </c>
      <c r="J624" s="1" t="s">
        <v>161</v>
      </c>
      <c r="K624" s="1" t="s">
        <v>159</v>
      </c>
      <c r="L624" s="1" t="s">
        <v>355</v>
      </c>
      <c r="M624" t="str">
        <f t="shared" si="54"/>
        <v>Dudine</v>
      </c>
      <c r="N624" t="str">
        <f t="shared" si="55"/>
        <v>Zanellato</v>
      </c>
      <c r="O624" t="str">
        <f t="shared" si="56"/>
        <v>Handschmann</v>
      </c>
      <c r="P624" t="str">
        <f t="shared" si="57"/>
        <v>Jindra</v>
      </c>
      <c r="Q624">
        <f t="shared" si="58"/>
        <v>1</v>
      </c>
      <c r="R624" t="str">
        <f t="shared" si="59"/>
        <v>Dudine-Zanellato-Handschmann-Jindra</v>
      </c>
    </row>
    <row r="625" spans="1:18" x14ac:dyDescent="0.25">
      <c r="A625" s="1" t="s">
        <v>11</v>
      </c>
      <c r="B625" s="1">
        <v>45</v>
      </c>
      <c r="C625" s="1" t="s">
        <v>21</v>
      </c>
      <c r="D625" s="1">
        <v>1</v>
      </c>
      <c r="E625" s="1" t="s">
        <v>155</v>
      </c>
      <c r="F625" s="1">
        <v>18</v>
      </c>
      <c r="G625" s="1">
        <v>21</v>
      </c>
      <c r="H625" s="1" t="s">
        <v>156</v>
      </c>
      <c r="I625" s="1" t="s">
        <v>364</v>
      </c>
      <c r="J625" s="1" t="s">
        <v>163</v>
      </c>
      <c r="K625" s="1" t="s">
        <v>159</v>
      </c>
      <c r="L625" s="1" t="s">
        <v>355</v>
      </c>
      <c r="M625" t="str">
        <f t="shared" si="54"/>
        <v>mercadini</v>
      </c>
      <c r="N625" t="str">
        <f t="shared" si="55"/>
        <v>Sacchini</v>
      </c>
      <c r="O625" t="str">
        <f t="shared" si="56"/>
        <v>Eynard</v>
      </c>
      <c r="P625" t="str">
        <f t="shared" si="57"/>
        <v>Stoisser</v>
      </c>
      <c r="Q625">
        <f t="shared" si="58"/>
        <v>0</v>
      </c>
      <c r="R625" t="str">
        <f t="shared" si="59"/>
        <v>mercadini-Sacchini-Eynard-Stoisser</v>
      </c>
    </row>
    <row r="626" spans="1:18" x14ac:dyDescent="0.25">
      <c r="A626" s="1" t="s">
        <v>11</v>
      </c>
      <c r="B626" s="1">
        <v>48</v>
      </c>
      <c r="C626" s="1" t="s">
        <v>24</v>
      </c>
      <c r="D626" s="1">
        <v>1</v>
      </c>
      <c r="E626" s="1" t="s">
        <v>155</v>
      </c>
      <c r="F626" s="1">
        <v>21</v>
      </c>
      <c r="G626" s="1">
        <v>19</v>
      </c>
      <c r="H626" s="1" t="s">
        <v>156</v>
      </c>
      <c r="I626" s="1" t="s">
        <v>164</v>
      </c>
      <c r="J626" s="1" t="s">
        <v>165</v>
      </c>
      <c r="K626" s="1" t="s">
        <v>159</v>
      </c>
      <c r="L626" s="1" t="s">
        <v>355</v>
      </c>
      <c r="M626" t="str">
        <f t="shared" si="54"/>
        <v>Grazi</v>
      </c>
      <c r="N626" t="str">
        <f t="shared" si="55"/>
        <v>Pareschi</v>
      </c>
      <c r="O626" t="str">
        <f t="shared" si="56"/>
        <v>Gangkofner</v>
      </c>
      <c r="P626" t="str">
        <f t="shared" si="57"/>
        <v>Mitterwald</v>
      </c>
      <c r="Q626">
        <f t="shared" si="58"/>
        <v>1</v>
      </c>
      <c r="R626" t="str">
        <f t="shared" si="59"/>
        <v>Grazi-Pareschi-Gangkofner-Mitterwald</v>
      </c>
    </row>
    <row r="627" spans="1:18" x14ac:dyDescent="0.25">
      <c r="A627" s="1" t="s">
        <v>11</v>
      </c>
      <c r="B627" s="1">
        <v>51</v>
      </c>
      <c r="C627" s="1" t="s">
        <v>27</v>
      </c>
      <c r="D627" s="1">
        <v>1</v>
      </c>
      <c r="E627" s="1" t="s">
        <v>155</v>
      </c>
      <c r="F627" s="1">
        <v>21</v>
      </c>
      <c r="G627" s="1">
        <v>15</v>
      </c>
      <c r="H627" s="1" t="s">
        <v>156</v>
      </c>
      <c r="I627" s="1" t="s">
        <v>166</v>
      </c>
      <c r="J627" s="1" t="s">
        <v>167</v>
      </c>
      <c r="K627" s="1" t="s">
        <v>159</v>
      </c>
      <c r="L627" s="1" t="s">
        <v>355</v>
      </c>
      <c r="M627" t="str">
        <f t="shared" si="54"/>
        <v>Merlin</v>
      </c>
      <c r="N627" t="str">
        <f t="shared" si="55"/>
        <v>Molli</v>
      </c>
      <c r="O627" t="str">
        <f t="shared" si="56"/>
        <v>Anderle</v>
      </c>
      <c r="P627" t="str">
        <f t="shared" si="57"/>
        <v>Leidenfrost</v>
      </c>
      <c r="Q627">
        <f t="shared" si="58"/>
        <v>1</v>
      </c>
      <c r="R627" t="str">
        <f t="shared" si="59"/>
        <v>Merlin-Molli-Anderle-Leidenfrost</v>
      </c>
    </row>
    <row r="628" spans="1:18" x14ac:dyDescent="0.25">
      <c r="A628" s="1" t="s">
        <v>11</v>
      </c>
      <c r="B628" s="1">
        <v>57</v>
      </c>
      <c r="C628" s="1" t="s">
        <v>12</v>
      </c>
      <c r="D628" s="1">
        <v>1</v>
      </c>
      <c r="E628" s="1" t="s">
        <v>168</v>
      </c>
      <c r="F628" s="1">
        <v>21</v>
      </c>
      <c r="G628" s="1">
        <v>13</v>
      </c>
      <c r="H628" s="1" t="s">
        <v>169</v>
      </c>
      <c r="I628" s="1" t="s">
        <v>170</v>
      </c>
      <c r="J628" s="1" t="s">
        <v>171</v>
      </c>
      <c r="K628" s="1" t="s">
        <v>172</v>
      </c>
      <c r="L628" s="1" t="s">
        <v>355</v>
      </c>
      <c r="M628" t="str">
        <f t="shared" si="54"/>
        <v>Clark</v>
      </c>
      <c r="N628" t="str">
        <f t="shared" si="55"/>
        <v>Florinda</v>
      </c>
      <c r="O628" t="str">
        <f t="shared" si="56"/>
        <v>Ekman</v>
      </c>
      <c r="P628" t="str">
        <f t="shared" si="57"/>
        <v>Stenquist</v>
      </c>
      <c r="Q628">
        <f t="shared" si="58"/>
        <v>1</v>
      </c>
      <c r="R628" t="str">
        <f t="shared" si="59"/>
        <v>Clark-Florinda-Ekman-Stenquist</v>
      </c>
    </row>
    <row r="629" spans="1:18" x14ac:dyDescent="0.25">
      <c r="A629" s="1" t="s">
        <v>11</v>
      </c>
      <c r="B629" s="1">
        <v>60</v>
      </c>
      <c r="C629" s="1" t="s">
        <v>18</v>
      </c>
      <c r="D629" s="1">
        <v>1</v>
      </c>
      <c r="E629" s="1" t="s">
        <v>168</v>
      </c>
      <c r="F629" s="1">
        <v>21</v>
      </c>
      <c r="G629" s="1">
        <v>19</v>
      </c>
      <c r="H629" s="1" t="s">
        <v>169</v>
      </c>
      <c r="I629" s="1" t="s">
        <v>173</v>
      </c>
      <c r="J629" s="1" t="s">
        <v>174</v>
      </c>
      <c r="K629" s="1" t="s">
        <v>172</v>
      </c>
      <c r="L629" s="1" t="s">
        <v>355</v>
      </c>
      <c r="M629" t="str">
        <f t="shared" si="54"/>
        <v>Améziane</v>
      </c>
      <c r="N629" t="str">
        <f t="shared" si="55"/>
        <v>Mareschal</v>
      </c>
      <c r="O629" t="str">
        <f t="shared" si="56"/>
        <v>Henström</v>
      </c>
      <c r="P629" t="str">
        <f t="shared" si="57"/>
        <v>Mjönes</v>
      </c>
      <c r="Q629">
        <f t="shared" si="58"/>
        <v>1</v>
      </c>
      <c r="R629" t="str">
        <f t="shared" si="59"/>
        <v>Améziane-Mareschal-Henström-Mjönes</v>
      </c>
    </row>
    <row r="630" spans="1:18" x14ac:dyDescent="0.25">
      <c r="A630" s="1" t="s">
        <v>11</v>
      </c>
      <c r="B630" s="1">
        <v>63</v>
      </c>
      <c r="C630" s="1" t="s">
        <v>21</v>
      </c>
      <c r="D630" s="1">
        <v>1</v>
      </c>
      <c r="E630" s="1" t="s">
        <v>168</v>
      </c>
      <c r="F630" s="1">
        <v>25</v>
      </c>
      <c r="G630" s="1">
        <v>23</v>
      </c>
      <c r="H630" s="1" t="s">
        <v>169</v>
      </c>
      <c r="I630" s="1" t="s">
        <v>175</v>
      </c>
      <c r="J630" s="1" t="s">
        <v>176</v>
      </c>
      <c r="K630" s="1" t="s">
        <v>172</v>
      </c>
      <c r="L630" s="1" t="s">
        <v>355</v>
      </c>
      <c r="M630" t="str">
        <f t="shared" si="54"/>
        <v>Caux-Ramon</v>
      </c>
      <c r="N630" t="str">
        <f t="shared" si="55"/>
        <v>Lacombe</v>
      </c>
      <c r="O630" t="str">
        <f t="shared" si="56"/>
        <v>Millton</v>
      </c>
      <c r="P630" t="str">
        <f t="shared" si="57"/>
        <v>Baggman</v>
      </c>
      <c r="Q630">
        <f t="shared" si="58"/>
        <v>1</v>
      </c>
      <c r="R630" t="str">
        <f t="shared" si="59"/>
        <v>Caux-Ramon-Lacombe-Millton-Baggman</v>
      </c>
    </row>
    <row r="631" spans="1:18" x14ac:dyDescent="0.25">
      <c r="A631" s="1" t="s">
        <v>11</v>
      </c>
      <c r="B631" s="1">
        <v>66</v>
      </c>
      <c r="C631" s="1" t="s">
        <v>24</v>
      </c>
      <c r="D631" s="1">
        <v>1</v>
      </c>
      <c r="E631" s="1" t="s">
        <v>168</v>
      </c>
      <c r="F631" s="1">
        <v>28</v>
      </c>
      <c r="G631" s="1">
        <v>26</v>
      </c>
      <c r="H631" s="1" t="s">
        <v>169</v>
      </c>
      <c r="I631" s="1" t="s">
        <v>177</v>
      </c>
      <c r="J631" s="1" t="s">
        <v>178</v>
      </c>
      <c r="K631" s="1" t="s">
        <v>172</v>
      </c>
      <c r="L631" s="1" t="s">
        <v>355</v>
      </c>
      <c r="M631" t="str">
        <f t="shared" si="54"/>
        <v>Danekas</v>
      </c>
      <c r="N631" t="str">
        <f t="shared" si="55"/>
        <v>Lecrosnier</v>
      </c>
      <c r="O631" t="str">
        <f t="shared" si="56"/>
        <v>Jansson</v>
      </c>
      <c r="P631" t="str">
        <f t="shared" si="57"/>
        <v>Svensson</v>
      </c>
      <c r="Q631">
        <f t="shared" si="58"/>
        <v>1</v>
      </c>
      <c r="R631" t="str">
        <f t="shared" si="59"/>
        <v>Danekas-Lecrosnier-Jansson-Svensson</v>
      </c>
    </row>
    <row r="632" spans="1:18" x14ac:dyDescent="0.25">
      <c r="A632" s="1" t="s">
        <v>11</v>
      </c>
      <c r="B632" s="1">
        <v>69</v>
      </c>
      <c r="C632" s="1" t="s">
        <v>27</v>
      </c>
      <c r="D632" s="1">
        <v>1</v>
      </c>
      <c r="E632" s="1" t="s">
        <v>168</v>
      </c>
      <c r="F632" s="1">
        <v>21</v>
      </c>
      <c r="G632" s="1">
        <v>14</v>
      </c>
      <c r="H632" s="1" t="s">
        <v>169</v>
      </c>
      <c r="I632" s="1" t="s">
        <v>179</v>
      </c>
      <c r="J632" s="1" t="s">
        <v>180</v>
      </c>
      <c r="K632" s="1" t="s">
        <v>172</v>
      </c>
      <c r="L632" s="1" t="s">
        <v>355</v>
      </c>
      <c r="M632" t="str">
        <f t="shared" si="54"/>
        <v>Renimel</v>
      </c>
      <c r="N632" t="str">
        <f t="shared" si="55"/>
        <v>Sandoz</v>
      </c>
      <c r="O632" t="str">
        <f t="shared" si="56"/>
        <v>Skogward</v>
      </c>
      <c r="P632" t="str">
        <f t="shared" si="57"/>
        <v>Ljung</v>
      </c>
      <c r="Q632">
        <f t="shared" si="58"/>
        <v>1</v>
      </c>
      <c r="R632" t="str">
        <f t="shared" si="59"/>
        <v>Renimel-Sandoz-Skogward-Ljung</v>
      </c>
    </row>
    <row r="633" spans="1:18" x14ac:dyDescent="0.25">
      <c r="A633" s="1" t="s">
        <v>11</v>
      </c>
      <c r="B633" s="1">
        <v>75</v>
      </c>
      <c r="C633" s="1" t="s">
        <v>12</v>
      </c>
      <c r="D633" s="1">
        <v>1</v>
      </c>
      <c r="E633" s="1" t="s">
        <v>181</v>
      </c>
      <c r="F633" s="1">
        <v>1</v>
      </c>
      <c r="G633" s="1">
        <v>0</v>
      </c>
      <c r="H633" s="1" t="s">
        <v>182</v>
      </c>
      <c r="I633" s="1" t="s">
        <v>183</v>
      </c>
      <c r="J633" s="1" t="s">
        <v>184</v>
      </c>
      <c r="K633" s="1" t="s">
        <v>185</v>
      </c>
      <c r="L633" s="1" t="s">
        <v>355</v>
      </c>
      <c r="M633" t="str">
        <f t="shared" si="54"/>
        <v>Christensen</v>
      </c>
      <c r="N633" t="str">
        <f t="shared" si="55"/>
        <v>Søvndal</v>
      </c>
      <c r="O633" t="str">
        <f t="shared" si="56"/>
        <v>Campos</v>
      </c>
      <c r="P633" t="str">
        <f t="shared" si="57"/>
        <v>Forschner</v>
      </c>
      <c r="Q633">
        <f t="shared" si="58"/>
        <v>1</v>
      </c>
      <c r="R633" t="str">
        <f t="shared" si="59"/>
        <v>Christensen-Søvndal-Campos-Forschner</v>
      </c>
    </row>
    <row r="634" spans="1:18" x14ac:dyDescent="0.25">
      <c r="A634" s="1" t="s">
        <v>11</v>
      </c>
      <c r="B634" s="1">
        <v>79</v>
      </c>
      <c r="C634" s="1" t="s">
        <v>18</v>
      </c>
      <c r="D634" s="1">
        <v>2</v>
      </c>
      <c r="E634" s="1" t="s">
        <v>181</v>
      </c>
      <c r="F634" s="1">
        <v>1</v>
      </c>
      <c r="G634" s="1">
        <v>0</v>
      </c>
      <c r="H634" s="1" t="s">
        <v>182</v>
      </c>
      <c r="I634" s="1" t="s">
        <v>186</v>
      </c>
      <c r="J634" s="1" t="s">
        <v>187</v>
      </c>
      <c r="K634" s="1" t="s">
        <v>185</v>
      </c>
      <c r="L634" s="1" t="s">
        <v>355</v>
      </c>
      <c r="M634" t="str">
        <f t="shared" si="54"/>
        <v>Norlyk</v>
      </c>
      <c r="N634" t="str">
        <f t="shared" si="55"/>
        <v>Linnet</v>
      </c>
      <c r="O634" t="str">
        <f t="shared" si="56"/>
        <v>E. Cuesta</v>
      </c>
      <c r="P634" t="str">
        <f t="shared" si="57"/>
        <v>G. Cuesta</v>
      </c>
      <c r="Q634">
        <f t="shared" si="58"/>
        <v>1</v>
      </c>
      <c r="R634" t="str">
        <f t="shared" si="59"/>
        <v>Norlyk-Linnet-E. Cuesta-G. Cuesta</v>
      </c>
    </row>
    <row r="635" spans="1:18" x14ac:dyDescent="0.25">
      <c r="A635" s="1" t="s">
        <v>11</v>
      </c>
      <c r="B635" s="1">
        <v>81</v>
      </c>
      <c r="C635" s="1" t="s">
        <v>21</v>
      </c>
      <c r="D635" s="1">
        <v>1</v>
      </c>
      <c r="E635" s="1" t="s">
        <v>181</v>
      </c>
      <c r="F635" s="1">
        <v>1</v>
      </c>
      <c r="G635" s="1">
        <v>0</v>
      </c>
      <c r="H635" s="1" t="s">
        <v>182</v>
      </c>
      <c r="I635" s="1" t="s">
        <v>188</v>
      </c>
      <c r="J635" s="1" t="s">
        <v>379</v>
      </c>
      <c r="K635" s="1" t="s">
        <v>185</v>
      </c>
      <c r="L635" s="1" t="s">
        <v>355</v>
      </c>
      <c r="M635" t="str">
        <f t="shared" si="54"/>
        <v>Klinkby</v>
      </c>
      <c r="N635" t="str">
        <f t="shared" si="55"/>
        <v>Hammar</v>
      </c>
      <c r="O635" t="str">
        <f t="shared" si="56"/>
        <v>Navio</v>
      </c>
      <c r="P635" t="str">
        <f t="shared" si="57"/>
        <v>M. Egea</v>
      </c>
      <c r="Q635">
        <f t="shared" si="58"/>
        <v>1</v>
      </c>
      <c r="R635" t="str">
        <f t="shared" si="59"/>
        <v>Klinkby-Hammar-Navio-M. Egea</v>
      </c>
    </row>
    <row r="636" spans="1:18" x14ac:dyDescent="0.25">
      <c r="A636" s="1" t="s">
        <v>11</v>
      </c>
      <c r="B636" s="1">
        <v>85</v>
      </c>
      <c r="C636" s="1" t="s">
        <v>24</v>
      </c>
      <c r="D636" s="1">
        <v>2</v>
      </c>
      <c r="E636" s="1" t="s">
        <v>181</v>
      </c>
      <c r="F636" s="1">
        <v>1</v>
      </c>
      <c r="G636" s="1">
        <v>0</v>
      </c>
      <c r="H636" s="1" t="s">
        <v>182</v>
      </c>
      <c r="I636" s="1" t="s">
        <v>190</v>
      </c>
      <c r="J636" s="1" t="s">
        <v>380</v>
      </c>
      <c r="K636" s="1" t="s">
        <v>185</v>
      </c>
      <c r="L636" s="1" t="s">
        <v>355</v>
      </c>
      <c r="M636" t="str">
        <f t="shared" si="54"/>
        <v>Knudsen</v>
      </c>
      <c r="N636" t="str">
        <f t="shared" si="55"/>
        <v>Damgaard</v>
      </c>
      <c r="O636" t="str">
        <f t="shared" si="56"/>
        <v>Luna</v>
      </c>
      <c r="P636" t="str">
        <f t="shared" si="57"/>
        <v>D. Egea</v>
      </c>
      <c r="Q636">
        <f t="shared" si="58"/>
        <v>1</v>
      </c>
      <c r="R636" t="str">
        <f t="shared" si="59"/>
        <v>Knudsen-Damgaard-Luna-D. Egea</v>
      </c>
    </row>
    <row r="637" spans="1:18" x14ac:dyDescent="0.25">
      <c r="A637" s="1" t="s">
        <v>11</v>
      </c>
      <c r="B637" s="1">
        <v>87</v>
      </c>
      <c r="C637" s="1" t="s">
        <v>27</v>
      </c>
      <c r="D637" s="1">
        <v>1</v>
      </c>
      <c r="E637" s="1" t="s">
        <v>181</v>
      </c>
      <c r="F637" s="1">
        <v>0</v>
      </c>
      <c r="G637" s="1">
        <v>1</v>
      </c>
      <c r="H637" s="1" t="s">
        <v>182</v>
      </c>
      <c r="I637" s="1" t="s">
        <v>396</v>
      </c>
      <c r="J637" s="1" t="s">
        <v>193</v>
      </c>
      <c r="K637" s="1" t="s">
        <v>185</v>
      </c>
      <c r="L637" s="1" t="s">
        <v>355</v>
      </c>
      <c r="M637" t="str">
        <f t="shared" si="54"/>
        <v>Høy</v>
      </c>
      <c r="N637" t="str">
        <f t="shared" si="55"/>
        <v>J. Nielsen</v>
      </c>
      <c r="O637" t="str">
        <f t="shared" si="56"/>
        <v>Muratel</v>
      </c>
      <c r="P637" t="str">
        <f t="shared" si="57"/>
        <v>Gonzalez</v>
      </c>
      <c r="Q637">
        <f t="shared" si="58"/>
        <v>0</v>
      </c>
      <c r="R637" t="str">
        <f t="shared" si="59"/>
        <v>Høy-J. Nielsen-Muratel-Gonzalez</v>
      </c>
    </row>
    <row r="638" spans="1:18" x14ac:dyDescent="0.25">
      <c r="A638" s="1" t="s">
        <v>11</v>
      </c>
      <c r="B638" s="1">
        <v>3</v>
      </c>
      <c r="C638" s="1" t="s">
        <v>12</v>
      </c>
      <c r="D638" s="1">
        <v>1</v>
      </c>
      <c r="E638" s="1" t="s">
        <v>194</v>
      </c>
      <c r="F638" s="1">
        <v>21</v>
      </c>
      <c r="G638" s="1">
        <v>16</v>
      </c>
      <c r="H638" s="1" t="s">
        <v>195</v>
      </c>
      <c r="I638" s="1" t="s">
        <v>196</v>
      </c>
      <c r="J638" s="1" t="s">
        <v>197</v>
      </c>
      <c r="K638" s="1" t="s">
        <v>198</v>
      </c>
      <c r="L638" s="1" t="s">
        <v>355</v>
      </c>
      <c r="M638" t="str">
        <f t="shared" si="54"/>
        <v>Bosak</v>
      </c>
      <c r="N638" t="str">
        <f t="shared" si="55"/>
        <v>Cote</v>
      </c>
      <c r="O638" t="str">
        <f t="shared" si="56"/>
        <v>Cole</v>
      </c>
      <c r="P638" t="str">
        <f t="shared" si="57"/>
        <v>Klapwijk</v>
      </c>
      <c r="Q638">
        <f t="shared" si="58"/>
        <v>1</v>
      </c>
      <c r="R638" t="str">
        <f t="shared" si="59"/>
        <v>Bosak-Cote-Cole-Klapwijk</v>
      </c>
    </row>
    <row r="639" spans="1:18" x14ac:dyDescent="0.25">
      <c r="A639" s="1" t="s">
        <v>11</v>
      </c>
      <c r="B639" s="1">
        <v>4</v>
      </c>
      <c r="C639" s="1" t="s">
        <v>12</v>
      </c>
      <c r="D639" s="1">
        <v>2</v>
      </c>
      <c r="E639" s="1" t="s">
        <v>194</v>
      </c>
      <c r="F639" s="1">
        <v>18</v>
      </c>
      <c r="G639" s="1">
        <v>21</v>
      </c>
      <c r="H639" s="1" t="s">
        <v>195</v>
      </c>
      <c r="I639" s="1" t="s">
        <v>196</v>
      </c>
      <c r="J639" s="1" t="s">
        <v>197</v>
      </c>
      <c r="K639" s="1" t="s">
        <v>198</v>
      </c>
      <c r="L639" s="1" t="s">
        <v>355</v>
      </c>
      <c r="M639" t="str">
        <f t="shared" si="54"/>
        <v>Bosak</v>
      </c>
      <c r="N639" t="str">
        <f t="shared" si="55"/>
        <v>Cote</v>
      </c>
      <c r="O639" t="str">
        <f t="shared" si="56"/>
        <v>Cole</v>
      </c>
      <c r="P639" t="str">
        <f t="shared" si="57"/>
        <v>Klapwijk</v>
      </c>
      <c r="Q639">
        <f t="shared" si="58"/>
        <v>0</v>
      </c>
      <c r="R639" t="str">
        <f t="shared" si="59"/>
        <v>Bosak-Cote-Cole-Klapwijk</v>
      </c>
    </row>
    <row r="640" spans="1:18" x14ac:dyDescent="0.25">
      <c r="A640" s="1" t="s">
        <v>11</v>
      </c>
      <c r="B640" s="1">
        <v>5</v>
      </c>
      <c r="C640" s="1" t="s">
        <v>12</v>
      </c>
      <c r="D640" s="1">
        <v>3</v>
      </c>
      <c r="E640" s="1" t="s">
        <v>194</v>
      </c>
      <c r="F640" s="1">
        <v>21</v>
      </c>
      <c r="G640" s="1">
        <v>18</v>
      </c>
      <c r="H640" s="1" t="s">
        <v>195</v>
      </c>
      <c r="I640" s="1" t="s">
        <v>196</v>
      </c>
      <c r="J640" s="1" t="s">
        <v>197</v>
      </c>
      <c r="K640" s="1" t="s">
        <v>198</v>
      </c>
      <c r="L640" s="1" t="s">
        <v>355</v>
      </c>
      <c r="M640" t="str">
        <f t="shared" si="54"/>
        <v>Bosak</v>
      </c>
      <c r="N640" t="str">
        <f t="shared" si="55"/>
        <v>Cote</v>
      </c>
      <c r="O640" t="str">
        <f t="shared" si="56"/>
        <v>Cole</v>
      </c>
      <c r="P640" t="str">
        <f t="shared" si="57"/>
        <v>Klapwijk</v>
      </c>
      <c r="Q640">
        <f t="shared" si="58"/>
        <v>1</v>
      </c>
      <c r="R640" t="str">
        <f t="shared" si="59"/>
        <v>Bosak-Cote-Cole-Klapwijk</v>
      </c>
    </row>
    <row r="641" spans="1:18" x14ac:dyDescent="0.25">
      <c r="A641" s="1" t="s">
        <v>11</v>
      </c>
      <c r="B641" s="1">
        <v>6</v>
      </c>
      <c r="C641" s="1" t="s">
        <v>18</v>
      </c>
      <c r="D641" s="1">
        <v>1</v>
      </c>
      <c r="E641" s="1" t="s">
        <v>194</v>
      </c>
      <c r="F641" s="1">
        <v>21</v>
      </c>
      <c r="G641" s="1">
        <v>16</v>
      </c>
      <c r="H641" s="1" t="s">
        <v>195</v>
      </c>
      <c r="I641" s="1" t="s">
        <v>199</v>
      </c>
      <c r="J641" s="1" t="s">
        <v>200</v>
      </c>
      <c r="K641" s="1" t="s">
        <v>198</v>
      </c>
      <c r="L641" s="1" t="s">
        <v>355</v>
      </c>
      <c r="M641" t="str">
        <f t="shared" si="54"/>
        <v>Dean</v>
      </c>
      <c r="N641" t="str">
        <f t="shared" si="55"/>
        <v>Gagnon</v>
      </c>
      <c r="O641" t="str">
        <f t="shared" si="56"/>
        <v>Finocchi</v>
      </c>
      <c r="P641" t="str">
        <f t="shared" si="57"/>
        <v>Picone</v>
      </c>
      <c r="Q641">
        <f t="shared" si="58"/>
        <v>1</v>
      </c>
      <c r="R641" t="str">
        <f t="shared" si="59"/>
        <v>Dean-Gagnon-Finocchi-Picone</v>
      </c>
    </row>
    <row r="642" spans="1:18" x14ac:dyDescent="0.25">
      <c r="A642" s="1" t="s">
        <v>11</v>
      </c>
      <c r="B642" s="1">
        <v>7</v>
      </c>
      <c r="C642" s="1" t="s">
        <v>18</v>
      </c>
      <c r="D642" s="1">
        <v>2</v>
      </c>
      <c r="E642" s="1" t="s">
        <v>194</v>
      </c>
      <c r="F642" s="1">
        <v>21</v>
      </c>
      <c r="G642" s="1">
        <v>14</v>
      </c>
      <c r="H642" s="1" t="s">
        <v>195</v>
      </c>
      <c r="I642" s="1" t="s">
        <v>199</v>
      </c>
      <c r="J642" s="1" t="s">
        <v>200</v>
      </c>
      <c r="K642" s="1" t="s">
        <v>198</v>
      </c>
      <c r="L642" s="1" t="s">
        <v>355</v>
      </c>
      <c r="M642" t="str">
        <f t="shared" ref="M642:M705" si="60">_xlfn.TEXTBEFORE(I642,"/")</f>
        <v>Dean</v>
      </c>
      <c r="N642" t="str">
        <f t="shared" ref="N642:N705" si="61">_xlfn.TEXTAFTER(I642,"/ ")</f>
        <v>Gagnon</v>
      </c>
      <c r="O642" t="str">
        <f t="shared" ref="O642:O705" si="62">_xlfn.TEXTBEFORE(J642,"/")</f>
        <v>Finocchi</v>
      </c>
      <c r="P642" t="str">
        <f t="shared" ref="P642:P705" si="63">_xlfn.TEXTAFTER(J642,"/ ")</f>
        <v>Picone</v>
      </c>
      <c r="Q642">
        <f t="shared" ref="Q642:Q705" si="64">IF(F642&gt;G642,1,0)</f>
        <v>1</v>
      </c>
      <c r="R642" t="str">
        <f t="shared" ref="R642:R705" si="65">_xlfn.TEXTJOIN("-",TRUE,M642,N642,O642,P642)</f>
        <v>Dean-Gagnon-Finocchi-Picone</v>
      </c>
    </row>
    <row r="643" spans="1:18" x14ac:dyDescent="0.25">
      <c r="A643" s="1" t="s">
        <v>11</v>
      </c>
      <c r="B643" s="1">
        <v>9</v>
      </c>
      <c r="C643" s="1" t="s">
        <v>21</v>
      </c>
      <c r="D643" s="1">
        <v>1</v>
      </c>
      <c r="E643" s="1" t="s">
        <v>194</v>
      </c>
      <c r="F643" s="1">
        <v>26</v>
      </c>
      <c r="G643" s="1">
        <v>28</v>
      </c>
      <c r="H643" s="1" t="s">
        <v>195</v>
      </c>
      <c r="I643" s="1" t="s">
        <v>392</v>
      </c>
      <c r="J643" s="1" t="s">
        <v>202</v>
      </c>
      <c r="K643" s="1" t="s">
        <v>198</v>
      </c>
      <c r="L643" s="1" t="s">
        <v>355</v>
      </c>
      <c r="M643" t="str">
        <f t="shared" si="60"/>
        <v>Mathieu</v>
      </c>
      <c r="N643" t="str">
        <f t="shared" si="61"/>
        <v>E. Leung</v>
      </c>
      <c r="O643" t="str">
        <f t="shared" si="62"/>
        <v>Bondi</v>
      </c>
      <c r="P643" t="str">
        <f t="shared" si="63"/>
        <v>Gross</v>
      </c>
      <c r="Q643">
        <f t="shared" si="64"/>
        <v>0</v>
      </c>
      <c r="R643" t="str">
        <f t="shared" si="65"/>
        <v>Mathieu-E. Leung-Bondi-Gross</v>
      </c>
    </row>
    <row r="644" spans="1:18" x14ac:dyDescent="0.25">
      <c r="A644" s="1" t="s">
        <v>11</v>
      </c>
      <c r="B644" s="1">
        <v>10</v>
      </c>
      <c r="C644" s="1" t="s">
        <v>21</v>
      </c>
      <c r="D644" s="1">
        <v>2</v>
      </c>
      <c r="E644" s="1" t="s">
        <v>194</v>
      </c>
      <c r="F644" s="1">
        <v>21</v>
      </c>
      <c r="G644" s="1">
        <v>17</v>
      </c>
      <c r="H644" s="1" t="s">
        <v>195</v>
      </c>
      <c r="I644" s="1" t="s">
        <v>392</v>
      </c>
      <c r="J644" s="1" t="s">
        <v>202</v>
      </c>
      <c r="K644" s="1" t="s">
        <v>198</v>
      </c>
      <c r="L644" s="1" t="s">
        <v>355</v>
      </c>
      <c r="M644" t="str">
        <f t="shared" si="60"/>
        <v>Mathieu</v>
      </c>
      <c r="N644" t="str">
        <f t="shared" si="61"/>
        <v>E. Leung</v>
      </c>
      <c r="O644" t="str">
        <f t="shared" si="62"/>
        <v>Bondi</v>
      </c>
      <c r="P644" t="str">
        <f t="shared" si="63"/>
        <v>Gross</v>
      </c>
      <c r="Q644">
        <f t="shared" si="64"/>
        <v>1</v>
      </c>
      <c r="R644" t="str">
        <f t="shared" si="65"/>
        <v>Mathieu-E. Leung-Bondi-Gross</v>
      </c>
    </row>
    <row r="645" spans="1:18" x14ac:dyDescent="0.25">
      <c r="A645" s="1" t="s">
        <v>11</v>
      </c>
      <c r="B645" s="1">
        <v>11</v>
      </c>
      <c r="C645" s="1" t="s">
        <v>21</v>
      </c>
      <c r="D645" s="1">
        <v>3</v>
      </c>
      <c r="E645" s="1" t="s">
        <v>194</v>
      </c>
      <c r="F645" s="1">
        <v>19</v>
      </c>
      <c r="G645" s="1">
        <v>21</v>
      </c>
      <c r="H645" s="1" t="s">
        <v>195</v>
      </c>
      <c r="I645" s="1" t="s">
        <v>392</v>
      </c>
      <c r="J645" s="1" t="s">
        <v>202</v>
      </c>
      <c r="K645" s="1" t="s">
        <v>198</v>
      </c>
      <c r="L645" s="1" t="s">
        <v>355</v>
      </c>
      <c r="M645" t="str">
        <f t="shared" si="60"/>
        <v>Mathieu</v>
      </c>
      <c r="N645" t="str">
        <f t="shared" si="61"/>
        <v>E. Leung</v>
      </c>
      <c r="O645" t="str">
        <f t="shared" si="62"/>
        <v>Bondi</v>
      </c>
      <c r="P645" t="str">
        <f t="shared" si="63"/>
        <v>Gross</v>
      </c>
      <c r="Q645">
        <f t="shared" si="64"/>
        <v>0</v>
      </c>
      <c r="R645" t="str">
        <f t="shared" si="65"/>
        <v>Mathieu-E. Leung-Bondi-Gross</v>
      </c>
    </row>
    <row r="646" spans="1:18" x14ac:dyDescent="0.25">
      <c r="A646" s="1" t="s">
        <v>11</v>
      </c>
      <c r="B646" s="1">
        <v>12</v>
      </c>
      <c r="C646" s="1" t="s">
        <v>24</v>
      </c>
      <c r="D646" s="1">
        <v>1</v>
      </c>
      <c r="E646" s="1" t="s">
        <v>194</v>
      </c>
      <c r="F646" s="1">
        <v>14</v>
      </c>
      <c r="G646" s="1">
        <v>21</v>
      </c>
      <c r="H646" s="1" t="s">
        <v>195</v>
      </c>
      <c r="I646" s="1" t="s">
        <v>203</v>
      </c>
      <c r="J646" s="1" t="s">
        <v>204</v>
      </c>
      <c r="K646" s="1" t="s">
        <v>198</v>
      </c>
      <c r="L646" s="1" t="s">
        <v>355</v>
      </c>
      <c r="M646" t="str">
        <f t="shared" si="60"/>
        <v>Prince</v>
      </c>
      <c r="N646" t="str">
        <f t="shared" si="61"/>
        <v>Brown</v>
      </c>
      <c r="O646" t="str">
        <f t="shared" si="62"/>
        <v>Hamilton</v>
      </c>
      <c r="P646" t="str">
        <f t="shared" si="63"/>
        <v>Marino</v>
      </c>
      <c r="Q646">
        <f t="shared" si="64"/>
        <v>0</v>
      </c>
      <c r="R646" t="str">
        <f t="shared" si="65"/>
        <v>Prince-Brown-Hamilton-Marino</v>
      </c>
    </row>
    <row r="647" spans="1:18" x14ac:dyDescent="0.25">
      <c r="A647" s="1" t="s">
        <v>11</v>
      </c>
      <c r="B647" s="1">
        <v>13</v>
      </c>
      <c r="C647" s="1" t="s">
        <v>24</v>
      </c>
      <c r="D647" s="1">
        <v>2</v>
      </c>
      <c r="E647" s="1" t="s">
        <v>194</v>
      </c>
      <c r="F647" s="1">
        <v>18</v>
      </c>
      <c r="G647" s="1">
        <v>21</v>
      </c>
      <c r="H647" s="1" t="s">
        <v>195</v>
      </c>
      <c r="I647" s="1" t="s">
        <v>203</v>
      </c>
      <c r="J647" s="1" t="s">
        <v>204</v>
      </c>
      <c r="K647" s="1" t="s">
        <v>198</v>
      </c>
      <c r="L647" s="1" t="s">
        <v>355</v>
      </c>
      <c r="M647" t="str">
        <f t="shared" si="60"/>
        <v>Prince</v>
      </c>
      <c r="N647" t="str">
        <f t="shared" si="61"/>
        <v>Brown</v>
      </c>
      <c r="O647" t="str">
        <f t="shared" si="62"/>
        <v>Hamilton</v>
      </c>
      <c r="P647" t="str">
        <f t="shared" si="63"/>
        <v>Marino</v>
      </c>
      <c r="Q647">
        <f t="shared" si="64"/>
        <v>0</v>
      </c>
      <c r="R647" t="str">
        <f t="shared" si="65"/>
        <v>Prince-Brown-Hamilton-Marino</v>
      </c>
    </row>
    <row r="648" spans="1:18" x14ac:dyDescent="0.25">
      <c r="A648" s="1" t="s">
        <v>11</v>
      </c>
      <c r="B648" s="1">
        <v>15</v>
      </c>
      <c r="C648" s="1" t="s">
        <v>27</v>
      </c>
      <c r="D648" s="1">
        <v>1</v>
      </c>
      <c r="E648" s="1" t="s">
        <v>194</v>
      </c>
      <c r="F648" s="1">
        <v>13</v>
      </c>
      <c r="G648" s="1">
        <v>21</v>
      </c>
      <c r="H648" s="1" t="s">
        <v>195</v>
      </c>
      <c r="I648" s="1" t="s">
        <v>205</v>
      </c>
      <c r="J648" s="1" t="s">
        <v>206</v>
      </c>
      <c r="K648" s="1" t="s">
        <v>198</v>
      </c>
      <c r="L648" s="1" t="s">
        <v>355</v>
      </c>
      <c r="M648" t="str">
        <f t="shared" si="60"/>
        <v>Babin</v>
      </c>
      <c r="N648" t="str">
        <f t="shared" si="61"/>
        <v>Laurin</v>
      </c>
      <c r="O648" t="str">
        <f t="shared" si="62"/>
        <v>Nelson</v>
      </c>
      <c r="P648" t="str">
        <f t="shared" si="63"/>
        <v>Rose</v>
      </c>
      <c r="Q648">
        <f t="shared" si="64"/>
        <v>0</v>
      </c>
      <c r="R648" t="str">
        <f t="shared" si="65"/>
        <v>Babin-Laurin-Nelson-Rose</v>
      </c>
    </row>
    <row r="649" spans="1:18" x14ac:dyDescent="0.25">
      <c r="A649" s="1" t="s">
        <v>11</v>
      </c>
      <c r="B649" s="1">
        <v>16</v>
      </c>
      <c r="C649" s="1" t="s">
        <v>27</v>
      </c>
      <c r="D649" s="1">
        <v>2</v>
      </c>
      <c r="E649" s="1" t="s">
        <v>194</v>
      </c>
      <c r="F649" s="1">
        <v>14</v>
      </c>
      <c r="G649" s="1">
        <v>21</v>
      </c>
      <c r="H649" s="1" t="s">
        <v>195</v>
      </c>
      <c r="I649" s="1" t="s">
        <v>205</v>
      </c>
      <c r="J649" s="1" t="s">
        <v>206</v>
      </c>
      <c r="K649" s="1" t="s">
        <v>198</v>
      </c>
      <c r="L649" s="1" t="s">
        <v>355</v>
      </c>
      <c r="M649" t="str">
        <f t="shared" si="60"/>
        <v>Babin</v>
      </c>
      <c r="N649" t="str">
        <f t="shared" si="61"/>
        <v>Laurin</v>
      </c>
      <c r="O649" t="str">
        <f t="shared" si="62"/>
        <v>Nelson</v>
      </c>
      <c r="P649" t="str">
        <f t="shared" si="63"/>
        <v>Rose</v>
      </c>
      <c r="Q649">
        <f t="shared" si="64"/>
        <v>0</v>
      </c>
      <c r="R649" t="str">
        <f t="shared" si="65"/>
        <v>Babin-Laurin-Nelson-Rose</v>
      </c>
    </row>
    <row r="650" spans="1:18" x14ac:dyDescent="0.25">
      <c r="A650" s="1" t="s">
        <v>429</v>
      </c>
      <c r="B650" s="1">
        <v>1</v>
      </c>
      <c r="C650" s="1" t="s">
        <v>12</v>
      </c>
      <c r="D650" s="1">
        <v>1</v>
      </c>
      <c r="E650" s="7" t="s">
        <v>156</v>
      </c>
      <c r="F650" s="1">
        <v>15</v>
      </c>
      <c r="G650" s="1">
        <v>8</v>
      </c>
      <c r="H650" s="7" t="s">
        <v>155</v>
      </c>
      <c r="I650" s="1" t="s">
        <v>255</v>
      </c>
      <c r="J650" s="1" t="s">
        <v>257</v>
      </c>
      <c r="K650" s="1" t="s">
        <v>400</v>
      </c>
      <c r="L650" s="1" t="s">
        <v>354</v>
      </c>
      <c r="M650" t="str">
        <f t="shared" si="60"/>
        <v>Leybourne</v>
      </c>
      <c r="N650" t="str">
        <f t="shared" si="61"/>
        <v>Kadlec</v>
      </c>
      <c r="O650" t="str">
        <f t="shared" si="62"/>
        <v>Rossetto</v>
      </c>
      <c r="P650" t="str">
        <f t="shared" si="63"/>
        <v>Zanella</v>
      </c>
      <c r="Q650">
        <f t="shared" si="64"/>
        <v>1</v>
      </c>
      <c r="R650" t="str">
        <f t="shared" si="65"/>
        <v>Leybourne-Kadlec-Rossetto-Zanella</v>
      </c>
    </row>
    <row r="651" spans="1:18" x14ac:dyDescent="0.25">
      <c r="A651" s="1" t="s">
        <v>429</v>
      </c>
      <c r="B651" s="1">
        <v>1</v>
      </c>
      <c r="C651" s="1" t="s">
        <v>18</v>
      </c>
      <c r="D651" s="1">
        <v>1</v>
      </c>
      <c r="E651" s="7" t="s">
        <v>156</v>
      </c>
      <c r="F651" s="1">
        <v>15</v>
      </c>
      <c r="G651" s="1">
        <v>6</v>
      </c>
      <c r="H651" s="7" t="s">
        <v>155</v>
      </c>
      <c r="I651" s="1" t="s">
        <v>258</v>
      </c>
      <c r="J651" s="1" t="s">
        <v>260</v>
      </c>
      <c r="K651" s="1" t="s">
        <v>400</v>
      </c>
      <c r="L651" s="1" t="s">
        <v>354</v>
      </c>
      <c r="M651" t="str">
        <f t="shared" si="60"/>
        <v>Kornek</v>
      </c>
      <c r="N651" t="str">
        <f t="shared" si="61"/>
        <v>Teskey</v>
      </c>
      <c r="O651" t="str">
        <f t="shared" si="62"/>
        <v>Patat</v>
      </c>
      <c r="P651" t="str">
        <f t="shared" si="63"/>
        <v>Pernigo</v>
      </c>
      <c r="Q651">
        <f t="shared" si="64"/>
        <v>1</v>
      </c>
      <c r="R651" t="str">
        <f t="shared" si="65"/>
        <v>Kornek-Teskey-Patat-Pernigo</v>
      </c>
    </row>
    <row r="652" spans="1:18" x14ac:dyDescent="0.25">
      <c r="A652" s="1" t="s">
        <v>429</v>
      </c>
      <c r="B652" s="1">
        <v>1</v>
      </c>
      <c r="C652" s="1" t="s">
        <v>21</v>
      </c>
      <c r="D652" s="1">
        <v>1</v>
      </c>
      <c r="E652" s="7" t="s">
        <v>156</v>
      </c>
      <c r="F652" s="1">
        <v>16</v>
      </c>
      <c r="G652" s="1">
        <v>14</v>
      </c>
      <c r="H652" s="7" t="s">
        <v>155</v>
      </c>
      <c r="I652" s="1" t="s">
        <v>368</v>
      </c>
      <c r="J652" s="1" t="s">
        <v>263</v>
      </c>
      <c r="K652" s="1" t="s">
        <v>400</v>
      </c>
      <c r="L652" s="1" t="s">
        <v>354</v>
      </c>
      <c r="M652" t="str">
        <f t="shared" si="60"/>
        <v>Lehner</v>
      </c>
      <c r="N652" t="str">
        <f t="shared" si="61"/>
        <v>orlandini</v>
      </c>
      <c r="O652" t="str">
        <f t="shared" si="62"/>
        <v>Augello</v>
      </c>
      <c r="P652" t="str">
        <f t="shared" si="63"/>
        <v>Del Pioluogo</v>
      </c>
      <c r="Q652">
        <f t="shared" si="64"/>
        <v>1</v>
      </c>
      <c r="R652" t="str">
        <f t="shared" si="65"/>
        <v>Lehner-orlandini-Augello-Del Pioluogo</v>
      </c>
    </row>
    <row r="653" spans="1:18" x14ac:dyDescent="0.25">
      <c r="A653" s="1" t="s">
        <v>429</v>
      </c>
      <c r="B653" s="1">
        <v>1</v>
      </c>
      <c r="C653" s="1" t="s">
        <v>24</v>
      </c>
      <c r="D653" s="1">
        <v>1</v>
      </c>
      <c r="E653" s="7" t="s">
        <v>156</v>
      </c>
      <c r="F653" s="1">
        <v>15</v>
      </c>
      <c r="G653" s="1">
        <v>8</v>
      </c>
      <c r="H653" s="7" t="s">
        <v>155</v>
      </c>
      <c r="I653" s="1" t="s">
        <v>366</v>
      </c>
      <c r="J653" s="1" t="s">
        <v>365</v>
      </c>
      <c r="K653" s="1" t="s">
        <v>400</v>
      </c>
      <c r="L653" s="1" t="s">
        <v>354</v>
      </c>
      <c r="M653" t="str">
        <f t="shared" si="60"/>
        <v>A. Bauer</v>
      </c>
      <c r="N653" t="str">
        <f t="shared" si="61"/>
        <v>Sundl</v>
      </c>
      <c r="O653" t="str">
        <f t="shared" si="62"/>
        <v>Biondini</v>
      </c>
      <c r="P653" t="str">
        <f t="shared" si="63"/>
        <v>canu</v>
      </c>
      <c r="Q653">
        <f t="shared" si="64"/>
        <v>1</v>
      </c>
      <c r="R653" t="str">
        <f t="shared" si="65"/>
        <v>A. Bauer-Sundl-Biondini-canu</v>
      </c>
    </row>
    <row r="654" spans="1:18" x14ac:dyDescent="0.25">
      <c r="A654" s="1" t="s">
        <v>429</v>
      </c>
      <c r="B654" s="1">
        <v>1</v>
      </c>
      <c r="C654" s="1" t="s">
        <v>27</v>
      </c>
      <c r="D654" s="1">
        <v>1</v>
      </c>
      <c r="E654" s="7" t="s">
        <v>156</v>
      </c>
      <c r="F654" s="1">
        <v>15</v>
      </c>
      <c r="G654" s="1">
        <v>10</v>
      </c>
      <c r="H654" s="7" t="s">
        <v>155</v>
      </c>
      <c r="I654" s="1" t="s">
        <v>267</v>
      </c>
      <c r="J654" s="1" t="s">
        <v>268</v>
      </c>
      <c r="K654" s="1" t="s">
        <v>400</v>
      </c>
      <c r="L654" s="1" t="s">
        <v>354</v>
      </c>
      <c r="M654" t="str">
        <f t="shared" si="60"/>
        <v>Mrak</v>
      </c>
      <c r="N654" t="str">
        <f t="shared" si="61"/>
        <v>Seiberl</v>
      </c>
      <c r="O654" t="str">
        <f t="shared" si="62"/>
        <v>Ferragina</v>
      </c>
      <c r="P654" t="str">
        <f t="shared" si="63"/>
        <v>Lucchiari</v>
      </c>
      <c r="Q654">
        <f t="shared" si="64"/>
        <v>1</v>
      </c>
      <c r="R654" t="str">
        <f t="shared" si="65"/>
        <v>Mrak-Seiberl-Ferragina-Lucchiari</v>
      </c>
    </row>
    <row r="655" spans="1:18" x14ac:dyDescent="0.25">
      <c r="A655" s="1" t="s">
        <v>429</v>
      </c>
      <c r="B655" s="1">
        <v>1</v>
      </c>
      <c r="C655" s="1" t="s">
        <v>12</v>
      </c>
      <c r="D655" s="1">
        <v>1</v>
      </c>
      <c r="E655" s="7" t="s">
        <v>14</v>
      </c>
      <c r="F655" s="1">
        <v>12</v>
      </c>
      <c r="G655" s="1">
        <v>15</v>
      </c>
      <c r="H655" s="7" t="s">
        <v>155</v>
      </c>
      <c r="I655" s="1" t="s">
        <v>300</v>
      </c>
      <c r="J655" s="1" t="s">
        <v>257</v>
      </c>
      <c r="K655" s="1" t="s">
        <v>400</v>
      </c>
      <c r="L655" s="1" t="s">
        <v>354</v>
      </c>
      <c r="M655" t="str">
        <f t="shared" si="60"/>
        <v>Fatt</v>
      </c>
      <c r="N655" t="str">
        <f t="shared" si="61"/>
        <v>Quibell</v>
      </c>
      <c r="O655" t="str">
        <f t="shared" si="62"/>
        <v>Rossetto</v>
      </c>
      <c r="P655" t="str">
        <f t="shared" si="63"/>
        <v>Zanella</v>
      </c>
      <c r="Q655">
        <f t="shared" si="64"/>
        <v>0</v>
      </c>
      <c r="R655" t="str">
        <f t="shared" si="65"/>
        <v>Fatt-Quibell-Rossetto-Zanella</v>
      </c>
    </row>
    <row r="656" spans="1:18" x14ac:dyDescent="0.25">
      <c r="A656" s="1" t="s">
        <v>429</v>
      </c>
      <c r="B656" s="1">
        <v>1</v>
      </c>
      <c r="C656" s="1" t="s">
        <v>18</v>
      </c>
      <c r="D656" s="1">
        <v>1</v>
      </c>
      <c r="E656" s="7" t="s">
        <v>14</v>
      </c>
      <c r="F656" s="1">
        <v>17</v>
      </c>
      <c r="G656" s="1">
        <v>16</v>
      </c>
      <c r="H656" s="7" t="s">
        <v>155</v>
      </c>
      <c r="I656" s="1" t="s">
        <v>302</v>
      </c>
      <c r="J656" s="1" t="s">
        <v>260</v>
      </c>
      <c r="K656" s="1" t="s">
        <v>400</v>
      </c>
      <c r="L656" s="1" t="s">
        <v>354</v>
      </c>
      <c r="M656" t="str">
        <f t="shared" si="60"/>
        <v>Troughton</v>
      </c>
      <c r="N656" t="str">
        <f t="shared" si="61"/>
        <v>Cooke</v>
      </c>
      <c r="O656" t="str">
        <f t="shared" si="62"/>
        <v>Patat</v>
      </c>
      <c r="P656" t="str">
        <f t="shared" si="63"/>
        <v>Pernigo</v>
      </c>
      <c r="Q656">
        <f t="shared" si="64"/>
        <v>1</v>
      </c>
      <c r="R656" t="str">
        <f t="shared" si="65"/>
        <v>Troughton-Cooke-Patat-Pernigo</v>
      </c>
    </row>
    <row r="657" spans="1:18" x14ac:dyDescent="0.25">
      <c r="A657" s="1" t="s">
        <v>429</v>
      </c>
      <c r="B657" s="1">
        <v>1</v>
      </c>
      <c r="C657" s="1" t="s">
        <v>21</v>
      </c>
      <c r="D657" s="1">
        <v>1</v>
      </c>
      <c r="E657" s="7" t="s">
        <v>14</v>
      </c>
      <c r="F657" s="1">
        <v>15</v>
      </c>
      <c r="G657" s="1">
        <v>8</v>
      </c>
      <c r="H657" s="7" t="s">
        <v>155</v>
      </c>
      <c r="I657" s="1" t="s">
        <v>402</v>
      </c>
      <c r="J657" s="1" t="s">
        <v>263</v>
      </c>
      <c r="K657" s="1" t="s">
        <v>400</v>
      </c>
      <c r="L657" s="1" t="s">
        <v>354</v>
      </c>
      <c r="M657" t="str">
        <f t="shared" si="60"/>
        <v>Hill-Smith</v>
      </c>
      <c r="N657" t="str">
        <f t="shared" si="61"/>
        <v>Ja. Cheung</v>
      </c>
      <c r="O657" t="str">
        <f t="shared" si="62"/>
        <v>Augello</v>
      </c>
      <c r="P657" t="str">
        <f t="shared" si="63"/>
        <v>Del Pioluogo</v>
      </c>
      <c r="Q657">
        <f t="shared" si="64"/>
        <v>1</v>
      </c>
      <c r="R657" t="str">
        <f t="shared" si="65"/>
        <v>Hill-Smith-Ja. Cheung-Augello-Del Pioluogo</v>
      </c>
    </row>
    <row r="658" spans="1:18" x14ac:dyDescent="0.25">
      <c r="A658" s="1" t="s">
        <v>429</v>
      </c>
      <c r="B658" s="1">
        <v>1</v>
      </c>
      <c r="C658" s="1" t="s">
        <v>24</v>
      </c>
      <c r="D658" s="1">
        <v>1</v>
      </c>
      <c r="E658" s="7" t="s">
        <v>14</v>
      </c>
      <c r="F658" s="1">
        <v>10</v>
      </c>
      <c r="G658" s="1">
        <v>15</v>
      </c>
      <c r="H658" s="7" t="s">
        <v>155</v>
      </c>
      <c r="I658" s="1" t="s">
        <v>405</v>
      </c>
      <c r="J658" s="1" t="s">
        <v>365</v>
      </c>
      <c r="K658" s="1" t="s">
        <v>400</v>
      </c>
      <c r="L658" s="1" t="s">
        <v>354</v>
      </c>
      <c r="M658" t="str">
        <f t="shared" si="60"/>
        <v>Smith</v>
      </c>
      <c r="N658" t="str">
        <f t="shared" si="61"/>
        <v>Jem. Lee</v>
      </c>
      <c r="O658" t="str">
        <f t="shared" si="62"/>
        <v>Biondini</v>
      </c>
      <c r="P658" t="str">
        <f t="shared" si="63"/>
        <v>canu</v>
      </c>
      <c r="Q658">
        <f t="shared" si="64"/>
        <v>0</v>
      </c>
      <c r="R658" t="str">
        <f t="shared" si="65"/>
        <v>Smith-Jem. Lee-Biondini-canu</v>
      </c>
    </row>
    <row r="659" spans="1:18" x14ac:dyDescent="0.25">
      <c r="A659" s="1" t="s">
        <v>429</v>
      </c>
      <c r="B659" s="1">
        <v>1</v>
      </c>
      <c r="C659" s="1" t="s">
        <v>27</v>
      </c>
      <c r="D659" s="1">
        <v>1</v>
      </c>
      <c r="E659" s="7" t="s">
        <v>14</v>
      </c>
      <c r="F659" s="1">
        <v>11</v>
      </c>
      <c r="G659" s="1">
        <v>15</v>
      </c>
      <c r="H659" s="7" t="s">
        <v>155</v>
      </c>
      <c r="I659" s="1" t="s">
        <v>308</v>
      </c>
      <c r="J659" s="1" t="s">
        <v>268</v>
      </c>
      <c r="K659" s="1" t="s">
        <v>400</v>
      </c>
      <c r="L659" s="1" t="s">
        <v>354</v>
      </c>
      <c r="M659" t="str">
        <f t="shared" si="60"/>
        <v>Field</v>
      </c>
      <c r="N659" t="str">
        <f t="shared" si="61"/>
        <v>Ognjenovic</v>
      </c>
      <c r="O659" t="str">
        <f t="shared" si="62"/>
        <v>Ferragina</v>
      </c>
      <c r="P659" t="str">
        <f t="shared" si="63"/>
        <v>Lucchiari</v>
      </c>
      <c r="Q659">
        <f t="shared" si="64"/>
        <v>0</v>
      </c>
      <c r="R659" t="str">
        <f t="shared" si="65"/>
        <v>Field-Ognjenovic-Ferragina-Lucchiari</v>
      </c>
    </row>
    <row r="660" spans="1:18" x14ac:dyDescent="0.25">
      <c r="A660" s="1" t="s">
        <v>429</v>
      </c>
      <c r="B660" s="1">
        <v>1</v>
      </c>
      <c r="C660" s="1" t="s">
        <v>12</v>
      </c>
      <c r="D660" s="1">
        <v>1</v>
      </c>
      <c r="E660" s="7" t="s">
        <v>95</v>
      </c>
      <c r="F660" s="1">
        <v>6</v>
      </c>
      <c r="G660" s="1">
        <v>15</v>
      </c>
      <c r="H660" s="7" t="s">
        <v>155</v>
      </c>
      <c r="I660" s="1" t="s">
        <v>285</v>
      </c>
      <c r="J660" s="1" t="s">
        <v>257</v>
      </c>
      <c r="K660" s="1" t="s">
        <v>400</v>
      </c>
      <c r="L660" s="1" t="s">
        <v>354</v>
      </c>
      <c r="M660" t="str">
        <f t="shared" si="60"/>
        <v>Bouma</v>
      </c>
      <c r="N660" t="str">
        <f t="shared" si="61"/>
        <v>Meijer</v>
      </c>
      <c r="O660" t="str">
        <f t="shared" si="62"/>
        <v>Rossetto</v>
      </c>
      <c r="P660" t="str">
        <f t="shared" si="63"/>
        <v>Zanella</v>
      </c>
      <c r="Q660">
        <f t="shared" si="64"/>
        <v>0</v>
      </c>
      <c r="R660" t="str">
        <f t="shared" si="65"/>
        <v>Bouma-Meijer-Rossetto-Zanella</v>
      </c>
    </row>
    <row r="661" spans="1:18" x14ac:dyDescent="0.25">
      <c r="A661" s="1" t="s">
        <v>429</v>
      </c>
      <c r="B661" s="1">
        <v>1</v>
      </c>
      <c r="C661" s="1" t="s">
        <v>18</v>
      </c>
      <c r="D661" s="1">
        <v>1</v>
      </c>
      <c r="E661" s="7" t="s">
        <v>95</v>
      </c>
      <c r="F661" s="1">
        <v>11</v>
      </c>
      <c r="G661" s="1">
        <v>16</v>
      </c>
      <c r="H661" s="7" t="s">
        <v>155</v>
      </c>
      <c r="I661" s="1" t="s">
        <v>286</v>
      </c>
      <c r="J661" s="1" t="s">
        <v>260</v>
      </c>
      <c r="K661" s="1" t="s">
        <v>400</v>
      </c>
      <c r="L661" s="1" t="s">
        <v>354</v>
      </c>
      <c r="M661" t="str">
        <f t="shared" si="60"/>
        <v>Shannon Dieltjes</v>
      </c>
      <c r="N661" t="str">
        <f t="shared" si="61"/>
        <v>Shauny Dieltjes</v>
      </c>
      <c r="O661" t="str">
        <f t="shared" si="62"/>
        <v>Patat</v>
      </c>
      <c r="P661" t="str">
        <f t="shared" si="63"/>
        <v>Pernigo</v>
      </c>
      <c r="Q661">
        <f t="shared" si="64"/>
        <v>0</v>
      </c>
      <c r="R661" t="str">
        <f t="shared" si="65"/>
        <v>Shannon Dieltjes-Shauny Dieltjes-Patat-Pernigo</v>
      </c>
    </row>
    <row r="662" spans="1:18" x14ac:dyDescent="0.25">
      <c r="A662" s="1" t="s">
        <v>429</v>
      </c>
      <c r="B662" s="1">
        <v>1</v>
      </c>
      <c r="C662" s="1" t="s">
        <v>21</v>
      </c>
      <c r="D662" s="1">
        <v>1</v>
      </c>
      <c r="E662" s="7" t="s">
        <v>95</v>
      </c>
      <c r="F662" s="1">
        <v>15</v>
      </c>
      <c r="G662" s="1">
        <v>10</v>
      </c>
      <c r="H662" s="7" t="s">
        <v>155</v>
      </c>
      <c r="I662" s="1" t="s">
        <v>287</v>
      </c>
      <c r="J662" s="1" t="s">
        <v>263</v>
      </c>
      <c r="K662" s="1" t="s">
        <v>400</v>
      </c>
      <c r="L662" s="1" t="s">
        <v>354</v>
      </c>
      <c r="M662" t="str">
        <f t="shared" si="60"/>
        <v>Smit</v>
      </c>
      <c r="N662" t="str">
        <f t="shared" si="61"/>
        <v>Van der Wielen</v>
      </c>
      <c r="O662" t="str">
        <f t="shared" si="62"/>
        <v>Augello</v>
      </c>
      <c r="P662" t="str">
        <f t="shared" si="63"/>
        <v>Del Pioluogo</v>
      </c>
      <c r="Q662">
        <f t="shared" si="64"/>
        <v>1</v>
      </c>
      <c r="R662" t="str">
        <f t="shared" si="65"/>
        <v>Smit-Van der Wielen-Augello-Del Pioluogo</v>
      </c>
    </row>
    <row r="663" spans="1:18" x14ac:dyDescent="0.25">
      <c r="A663" s="1" t="s">
        <v>429</v>
      </c>
      <c r="B663" s="1">
        <v>1</v>
      </c>
      <c r="C663" s="1" t="s">
        <v>24</v>
      </c>
      <c r="D663" s="1">
        <v>1</v>
      </c>
      <c r="E663" s="7" t="s">
        <v>95</v>
      </c>
      <c r="F663" s="1">
        <v>6</v>
      </c>
      <c r="G663" s="1">
        <v>15</v>
      </c>
      <c r="H663" s="7" t="s">
        <v>155</v>
      </c>
      <c r="I663" s="1" t="s">
        <v>288</v>
      </c>
      <c r="J663" s="1" t="s">
        <v>365</v>
      </c>
      <c r="K663" s="1" t="s">
        <v>400</v>
      </c>
      <c r="L663" s="1" t="s">
        <v>354</v>
      </c>
      <c r="M663" t="str">
        <f t="shared" si="60"/>
        <v>Thielen</v>
      </c>
      <c r="N663" t="str">
        <f t="shared" si="61"/>
        <v>Van der Donk</v>
      </c>
      <c r="O663" t="str">
        <f t="shared" si="62"/>
        <v>Biondini</v>
      </c>
      <c r="P663" t="str">
        <f t="shared" si="63"/>
        <v>canu</v>
      </c>
      <c r="Q663">
        <f t="shared" si="64"/>
        <v>0</v>
      </c>
      <c r="R663" t="str">
        <f t="shared" si="65"/>
        <v>Thielen-Van der Donk-Biondini-canu</v>
      </c>
    </row>
    <row r="664" spans="1:18" x14ac:dyDescent="0.25">
      <c r="A664" s="1" t="s">
        <v>429</v>
      </c>
      <c r="B664" s="1">
        <v>1</v>
      </c>
      <c r="C664" s="1" t="s">
        <v>27</v>
      </c>
      <c r="D664" s="1">
        <v>1</v>
      </c>
      <c r="E664" s="7" t="s">
        <v>95</v>
      </c>
      <c r="F664" s="1">
        <v>11</v>
      </c>
      <c r="G664" s="1">
        <v>15</v>
      </c>
      <c r="H664" s="7" t="s">
        <v>155</v>
      </c>
      <c r="I664" s="1" t="s">
        <v>289</v>
      </c>
      <c r="J664" s="1" t="s">
        <v>268</v>
      </c>
      <c r="K664" s="1" t="s">
        <v>400</v>
      </c>
      <c r="L664" s="1" t="s">
        <v>354</v>
      </c>
      <c r="M664" t="str">
        <f t="shared" si="60"/>
        <v>Schippers</v>
      </c>
      <c r="N664" t="str">
        <f t="shared" si="61"/>
        <v>Berveling</v>
      </c>
      <c r="O664" t="str">
        <f t="shared" si="62"/>
        <v>Ferragina</v>
      </c>
      <c r="P664" t="str">
        <f t="shared" si="63"/>
        <v>Lucchiari</v>
      </c>
      <c r="Q664">
        <f t="shared" si="64"/>
        <v>0</v>
      </c>
      <c r="R664" t="str">
        <f t="shared" si="65"/>
        <v>Schippers-Berveling-Ferragina-Lucchiari</v>
      </c>
    </row>
    <row r="665" spans="1:18" x14ac:dyDescent="0.25">
      <c r="A665" s="1" t="s">
        <v>383</v>
      </c>
      <c r="B665" s="1">
        <v>1</v>
      </c>
      <c r="C665" s="1" t="s">
        <v>12</v>
      </c>
      <c r="D665" s="1">
        <v>1</v>
      </c>
      <c r="E665" s="7" t="s">
        <v>156</v>
      </c>
      <c r="F665" s="1">
        <v>16</v>
      </c>
      <c r="G665" s="1">
        <v>17</v>
      </c>
      <c r="H665" s="7" t="s">
        <v>155</v>
      </c>
      <c r="I665" s="1" t="s">
        <v>255</v>
      </c>
      <c r="J665" s="1" t="s">
        <v>257</v>
      </c>
      <c r="K665" s="1" t="s">
        <v>400</v>
      </c>
      <c r="L665" s="1" t="s">
        <v>354</v>
      </c>
      <c r="M665" t="str">
        <f t="shared" si="60"/>
        <v>Leybourne</v>
      </c>
      <c r="N665" t="str">
        <f t="shared" si="61"/>
        <v>Kadlec</v>
      </c>
      <c r="O665" t="str">
        <f t="shared" si="62"/>
        <v>Rossetto</v>
      </c>
      <c r="P665" t="str">
        <f t="shared" si="63"/>
        <v>Zanella</v>
      </c>
      <c r="Q665">
        <f t="shared" si="64"/>
        <v>0</v>
      </c>
      <c r="R665" t="str">
        <f t="shared" si="65"/>
        <v>Leybourne-Kadlec-Rossetto-Zanella</v>
      </c>
    </row>
    <row r="666" spans="1:18" x14ac:dyDescent="0.25">
      <c r="A666" s="1" t="s">
        <v>383</v>
      </c>
      <c r="B666" s="1">
        <v>1</v>
      </c>
      <c r="C666" s="1" t="s">
        <v>18</v>
      </c>
      <c r="D666" s="1">
        <v>1</v>
      </c>
      <c r="E666" s="7" t="s">
        <v>156</v>
      </c>
      <c r="F666" s="1">
        <v>15</v>
      </c>
      <c r="G666" s="1">
        <v>8</v>
      </c>
      <c r="H666" s="7" t="s">
        <v>155</v>
      </c>
      <c r="I666" s="1" t="s">
        <v>258</v>
      </c>
      <c r="J666" s="1" t="s">
        <v>260</v>
      </c>
      <c r="K666" s="1" t="s">
        <v>400</v>
      </c>
      <c r="L666" s="1" t="s">
        <v>354</v>
      </c>
      <c r="M666" t="str">
        <f t="shared" si="60"/>
        <v>Kornek</v>
      </c>
      <c r="N666" t="str">
        <f t="shared" si="61"/>
        <v>Teskey</v>
      </c>
      <c r="O666" t="str">
        <f t="shared" si="62"/>
        <v>Patat</v>
      </c>
      <c r="P666" t="str">
        <f t="shared" si="63"/>
        <v>Pernigo</v>
      </c>
      <c r="Q666">
        <f t="shared" si="64"/>
        <v>1</v>
      </c>
      <c r="R666" t="str">
        <f t="shared" si="65"/>
        <v>Kornek-Teskey-Patat-Pernigo</v>
      </c>
    </row>
    <row r="667" spans="1:18" x14ac:dyDescent="0.25">
      <c r="A667" s="1" t="s">
        <v>383</v>
      </c>
      <c r="B667" s="1">
        <v>1</v>
      </c>
      <c r="C667" s="1" t="s">
        <v>21</v>
      </c>
      <c r="D667" s="1">
        <v>1</v>
      </c>
      <c r="E667" s="7" t="s">
        <v>156</v>
      </c>
      <c r="F667" s="1">
        <v>15</v>
      </c>
      <c r="G667" s="1">
        <v>8</v>
      </c>
      <c r="H667" s="7" t="s">
        <v>155</v>
      </c>
      <c r="I667" s="1" t="s">
        <v>368</v>
      </c>
      <c r="J667" s="1" t="s">
        <v>263</v>
      </c>
      <c r="K667" s="1" t="s">
        <v>400</v>
      </c>
      <c r="L667" s="1" t="s">
        <v>354</v>
      </c>
      <c r="M667" t="str">
        <f t="shared" si="60"/>
        <v>Lehner</v>
      </c>
      <c r="N667" t="str">
        <f t="shared" si="61"/>
        <v>orlandini</v>
      </c>
      <c r="O667" t="str">
        <f t="shared" si="62"/>
        <v>Augello</v>
      </c>
      <c r="P667" t="str">
        <f t="shared" si="63"/>
        <v>Del Pioluogo</v>
      </c>
      <c r="Q667">
        <f t="shared" si="64"/>
        <v>1</v>
      </c>
      <c r="R667" t="str">
        <f t="shared" si="65"/>
        <v>Lehner-orlandini-Augello-Del Pioluogo</v>
      </c>
    </row>
    <row r="668" spans="1:18" x14ac:dyDescent="0.25">
      <c r="A668" s="1" t="s">
        <v>383</v>
      </c>
      <c r="B668" s="1">
        <v>1</v>
      </c>
      <c r="C668" s="1" t="s">
        <v>24</v>
      </c>
      <c r="D668" s="1">
        <v>1</v>
      </c>
      <c r="E668" s="7" t="s">
        <v>156</v>
      </c>
      <c r="F668" s="1">
        <v>15</v>
      </c>
      <c r="G668" s="1">
        <v>9</v>
      </c>
      <c r="H668" s="7" t="s">
        <v>155</v>
      </c>
      <c r="I668" s="1" t="s">
        <v>366</v>
      </c>
      <c r="J668" s="1" t="s">
        <v>365</v>
      </c>
      <c r="K668" s="1" t="s">
        <v>400</v>
      </c>
      <c r="L668" s="1" t="s">
        <v>354</v>
      </c>
      <c r="M668" t="str">
        <f t="shared" si="60"/>
        <v>A. Bauer</v>
      </c>
      <c r="N668" t="str">
        <f t="shared" si="61"/>
        <v>Sundl</v>
      </c>
      <c r="O668" t="str">
        <f t="shared" si="62"/>
        <v>Biondini</v>
      </c>
      <c r="P668" t="str">
        <f t="shared" si="63"/>
        <v>canu</v>
      </c>
      <c r="Q668">
        <f t="shared" si="64"/>
        <v>1</v>
      </c>
      <c r="R668" t="str">
        <f t="shared" si="65"/>
        <v>A. Bauer-Sundl-Biondini-canu</v>
      </c>
    </row>
    <row r="669" spans="1:18" x14ac:dyDescent="0.25">
      <c r="A669" s="1" t="s">
        <v>383</v>
      </c>
      <c r="B669" s="1">
        <v>1</v>
      </c>
      <c r="C669" s="1" t="s">
        <v>27</v>
      </c>
      <c r="D669" s="1">
        <v>1</v>
      </c>
      <c r="E669" s="7" t="s">
        <v>156</v>
      </c>
      <c r="F669" s="1">
        <v>15</v>
      </c>
      <c r="G669" s="1">
        <v>12</v>
      </c>
      <c r="H669" s="7" t="s">
        <v>155</v>
      </c>
      <c r="I669" s="1" t="s">
        <v>267</v>
      </c>
      <c r="J669" s="1" t="s">
        <v>268</v>
      </c>
      <c r="K669" s="1" t="s">
        <v>400</v>
      </c>
      <c r="L669" s="1" t="s">
        <v>354</v>
      </c>
      <c r="M669" t="str">
        <f t="shared" si="60"/>
        <v>Mrak</v>
      </c>
      <c r="N669" t="str">
        <f t="shared" si="61"/>
        <v>Seiberl</v>
      </c>
      <c r="O669" t="str">
        <f t="shared" si="62"/>
        <v>Ferragina</v>
      </c>
      <c r="P669" t="str">
        <f t="shared" si="63"/>
        <v>Lucchiari</v>
      </c>
      <c r="Q669">
        <f t="shared" si="64"/>
        <v>1</v>
      </c>
      <c r="R669" t="str">
        <f t="shared" si="65"/>
        <v>Mrak-Seiberl-Ferragina-Lucchiari</v>
      </c>
    </row>
    <row r="670" spans="1:18" x14ac:dyDescent="0.25">
      <c r="A670" s="1" t="s">
        <v>383</v>
      </c>
      <c r="B670" s="1">
        <v>1</v>
      </c>
      <c r="C670" s="1" t="s">
        <v>12</v>
      </c>
      <c r="D670" s="1">
        <v>1</v>
      </c>
      <c r="E670" s="1" t="s">
        <v>195</v>
      </c>
      <c r="F670" s="1">
        <v>15</v>
      </c>
      <c r="G670" s="1">
        <v>8</v>
      </c>
      <c r="H670" s="1" t="s">
        <v>57</v>
      </c>
      <c r="I670" s="1" t="s">
        <v>230</v>
      </c>
      <c r="J670" s="1" t="s">
        <v>301</v>
      </c>
      <c r="K670" s="1" t="s">
        <v>400</v>
      </c>
      <c r="L670" s="1" t="s">
        <v>354</v>
      </c>
      <c r="M670" t="str">
        <f t="shared" si="60"/>
        <v>Hui</v>
      </c>
      <c r="N670" t="str">
        <f t="shared" si="61"/>
        <v>O. Jenki</v>
      </c>
      <c r="O670" t="str">
        <f t="shared" si="62"/>
        <v>Labonc</v>
      </c>
      <c r="P670" t="str">
        <f t="shared" si="63"/>
        <v>Sencovici</v>
      </c>
      <c r="Q670">
        <f t="shared" si="64"/>
        <v>1</v>
      </c>
      <c r="R670" t="str">
        <f t="shared" si="65"/>
        <v>Hui-O. Jenki-Labonc-Sencovici</v>
      </c>
    </row>
    <row r="671" spans="1:18" x14ac:dyDescent="0.25">
      <c r="A671" s="1" t="s">
        <v>383</v>
      </c>
      <c r="B671" s="1">
        <v>1</v>
      </c>
      <c r="C671" s="1" t="s">
        <v>18</v>
      </c>
      <c r="D671" s="1">
        <v>1</v>
      </c>
      <c r="E671" s="1" t="s">
        <v>195</v>
      </c>
      <c r="F671" s="1">
        <v>15</v>
      </c>
      <c r="G671" s="1">
        <v>10</v>
      </c>
      <c r="H671" s="1" t="s">
        <v>57</v>
      </c>
      <c r="I671" s="1" t="s">
        <v>235</v>
      </c>
      <c r="J671" s="1" t="s">
        <v>303</v>
      </c>
      <c r="K671" s="1" t="s">
        <v>400</v>
      </c>
      <c r="L671" s="1" t="s">
        <v>354</v>
      </c>
      <c r="M671" t="str">
        <f t="shared" si="60"/>
        <v>Washburn</v>
      </c>
      <c r="N671" t="str">
        <f t="shared" si="61"/>
        <v>A. Jenki</v>
      </c>
      <c r="O671" t="str">
        <f t="shared" si="62"/>
        <v>Pîrlea</v>
      </c>
      <c r="P671" t="str">
        <f t="shared" si="63"/>
        <v>Tărășilă</v>
      </c>
      <c r="Q671">
        <f t="shared" si="64"/>
        <v>1</v>
      </c>
      <c r="R671" t="str">
        <f t="shared" si="65"/>
        <v>Washburn-A. Jenki-Pîrlea-Tărășilă</v>
      </c>
    </row>
    <row r="672" spans="1:18" x14ac:dyDescent="0.25">
      <c r="A672" s="1" t="s">
        <v>383</v>
      </c>
      <c r="B672" s="1">
        <v>1</v>
      </c>
      <c r="C672" s="1" t="s">
        <v>21</v>
      </c>
      <c r="D672" s="1">
        <v>1</v>
      </c>
      <c r="E672" s="1" t="s">
        <v>195</v>
      </c>
      <c r="F672" s="1">
        <v>15</v>
      </c>
      <c r="G672" s="1">
        <v>8</v>
      </c>
      <c r="H672" s="1" t="s">
        <v>57</v>
      </c>
      <c r="I672" s="1" t="s">
        <v>240</v>
      </c>
      <c r="J672" s="1" t="s">
        <v>305</v>
      </c>
      <c r="K672" s="1" t="s">
        <v>400</v>
      </c>
      <c r="L672" s="1" t="s">
        <v>354</v>
      </c>
      <c r="M672" t="str">
        <f t="shared" si="60"/>
        <v>Morgan</v>
      </c>
      <c r="N672" t="str">
        <f t="shared" si="61"/>
        <v>Fleming</v>
      </c>
      <c r="O672" t="str">
        <f t="shared" si="62"/>
        <v>Cîmpian</v>
      </c>
      <c r="P672" t="str">
        <f t="shared" si="63"/>
        <v>Măriuța</v>
      </c>
      <c r="Q672">
        <f t="shared" si="64"/>
        <v>1</v>
      </c>
      <c r="R672" t="str">
        <f t="shared" si="65"/>
        <v>Morgan-Fleming-Cîmpian-Măriuța</v>
      </c>
    </row>
    <row r="673" spans="1:18" x14ac:dyDescent="0.25">
      <c r="A673" s="1" t="s">
        <v>383</v>
      </c>
      <c r="B673" s="1">
        <v>1</v>
      </c>
      <c r="C673" s="1" t="s">
        <v>24</v>
      </c>
      <c r="D673" s="1">
        <v>1</v>
      </c>
      <c r="E673" s="1" t="s">
        <v>195</v>
      </c>
      <c r="F673" s="1">
        <v>15</v>
      </c>
      <c r="G673" s="1">
        <v>9</v>
      </c>
      <c r="H673" s="1" t="s">
        <v>57</v>
      </c>
      <c r="I673" s="1" t="s">
        <v>245</v>
      </c>
      <c r="J673" s="1" t="s">
        <v>307</v>
      </c>
      <c r="K673" s="1" t="s">
        <v>400</v>
      </c>
      <c r="L673" s="1" t="s">
        <v>354</v>
      </c>
      <c r="M673" t="str">
        <f t="shared" si="60"/>
        <v>Pierson</v>
      </c>
      <c r="N673" t="str">
        <f t="shared" si="61"/>
        <v>Phan</v>
      </c>
      <c r="O673" t="str">
        <f t="shared" si="62"/>
        <v>Bob</v>
      </c>
      <c r="P673" t="str">
        <f t="shared" si="63"/>
        <v>Toporaș</v>
      </c>
      <c r="Q673">
        <f t="shared" si="64"/>
        <v>1</v>
      </c>
      <c r="R673" t="str">
        <f t="shared" si="65"/>
        <v>Pierson-Phan-Bob-Toporaș</v>
      </c>
    </row>
    <row r="674" spans="1:18" x14ac:dyDescent="0.25">
      <c r="A674" s="1" t="s">
        <v>383</v>
      </c>
      <c r="B674" s="1">
        <v>1</v>
      </c>
      <c r="C674" s="1" t="s">
        <v>27</v>
      </c>
      <c r="D674" s="1">
        <v>1</v>
      </c>
      <c r="E674" s="1" t="s">
        <v>195</v>
      </c>
      <c r="F674" s="1">
        <v>15</v>
      </c>
      <c r="G674" s="1">
        <v>10</v>
      </c>
      <c r="H674" s="1" t="s">
        <v>57</v>
      </c>
      <c r="I674" s="1" t="s">
        <v>250</v>
      </c>
      <c r="J674" s="1" t="s">
        <v>309</v>
      </c>
      <c r="K674" s="1" t="s">
        <v>400</v>
      </c>
      <c r="L674" s="1" t="s">
        <v>354</v>
      </c>
      <c r="M674" t="str">
        <f t="shared" si="60"/>
        <v>Timan</v>
      </c>
      <c r="N674" t="str">
        <f t="shared" si="61"/>
        <v>Allen</v>
      </c>
      <c r="O674" t="str">
        <f t="shared" si="62"/>
        <v>Ilie</v>
      </c>
      <c r="P674" t="str">
        <f t="shared" si="63"/>
        <v>Niță</v>
      </c>
      <c r="Q674">
        <f t="shared" si="64"/>
        <v>1</v>
      </c>
      <c r="R674" t="str">
        <f t="shared" si="65"/>
        <v>Timan-Allen-Ilie-Niță</v>
      </c>
    </row>
    <row r="675" spans="1:18" x14ac:dyDescent="0.25">
      <c r="A675" s="1" t="s">
        <v>383</v>
      </c>
      <c r="B675" s="1">
        <v>1</v>
      </c>
      <c r="C675" s="1" t="s">
        <v>12</v>
      </c>
      <c r="D675" s="1">
        <v>1</v>
      </c>
      <c r="E675" s="1" t="s">
        <v>168</v>
      </c>
      <c r="F675" s="1">
        <v>15</v>
      </c>
      <c r="G675" s="1">
        <v>8</v>
      </c>
      <c r="H675" s="7" t="s">
        <v>155</v>
      </c>
      <c r="I675" s="1" t="s">
        <v>232</v>
      </c>
      <c r="J675" s="1" t="s">
        <v>257</v>
      </c>
      <c r="K675" s="1" t="s">
        <v>400</v>
      </c>
      <c r="L675" s="1" t="s">
        <v>354</v>
      </c>
      <c r="M675" t="str">
        <f t="shared" si="60"/>
        <v>Alt</v>
      </c>
      <c r="N675" t="str">
        <f t="shared" si="61"/>
        <v>Paysan</v>
      </c>
      <c r="O675" t="str">
        <f t="shared" si="62"/>
        <v>Rossetto</v>
      </c>
      <c r="P675" t="str">
        <f t="shared" si="63"/>
        <v>Zanella</v>
      </c>
      <c r="Q675">
        <f t="shared" si="64"/>
        <v>1</v>
      </c>
      <c r="R675" t="str">
        <f t="shared" si="65"/>
        <v>Alt-Paysan-Rossetto-Zanella</v>
      </c>
    </row>
    <row r="676" spans="1:18" x14ac:dyDescent="0.25">
      <c r="A676" s="1" t="s">
        <v>383</v>
      </c>
      <c r="B676" s="1">
        <v>1</v>
      </c>
      <c r="C676" s="1" t="s">
        <v>18</v>
      </c>
      <c r="D676" s="1">
        <v>1</v>
      </c>
      <c r="E676" s="1" t="s">
        <v>168</v>
      </c>
      <c r="F676" s="1">
        <v>15</v>
      </c>
      <c r="G676" s="1">
        <v>8</v>
      </c>
      <c r="H676" s="7" t="s">
        <v>155</v>
      </c>
      <c r="I676" s="1" t="s">
        <v>237</v>
      </c>
      <c r="J676" s="1" t="s">
        <v>260</v>
      </c>
      <c r="K676" s="1" t="s">
        <v>400</v>
      </c>
      <c r="L676" s="1" t="s">
        <v>354</v>
      </c>
      <c r="M676" t="str">
        <f t="shared" si="60"/>
        <v>Duport</v>
      </c>
      <c r="N676" t="str">
        <f t="shared" si="61"/>
        <v>Liza</v>
      </c>
      <c r="O676" t="str">
        <f t="shared" si="62"/>
        <v>Patat</v>
      </c>
      <c r="P676" t="str">
        <f t="shared" si="63"/>
        <v>Pernigo</v>
      </c>
      <c r="Q676">
        <f t="shared" si="64"/>
        <v>1</v>
      </c>
      <c r="R676" t="str">
        <f t="shared" si="65"/>
        <v>Duport-Liza-Patat-Pernigo</v>
      </c>
    </row>
    <row r="677" spans="1:18" x14ac:dyDescent="0.25">
      <c r="A677" s="1" t="s">
        <v>383</v>
      </c>
      <c r="B677" s="1">
        <v>1</v>
      </c>
      <c r="C677" s="1" t="s">
        <v>21</v>
      </c>
      <c r="D677" s="1">
        <v>1</v>
      </c>
      <c r="E677" s="1" t="s">
        <v>168</v>
      </c>
      <c r="F677" s="1">
        <v>15</v>
      </c>
      <c r="G677" s="1">
        <v>8</v>
      </c>
      <c r="H677" s="7" t="s">
        <v>155</v>
      </c>
      <c r="I677" s="1" t="s">
        <v>395</v>
      </c>
      <c r="J677" s="1" t="s">
        <v>263</v>
      </c>
      <c r="K677" s="1" t="s">
        <v>400</v>
      </c>
      <c r="L677" s="1" t="s">
        <v>354</v>
      </c>
      <c r="M677" t="str">
        <f t="shared" si="60"/>
        <v>E. Martinez</v>
      </c>
      <c r="N677" t="str">
        <f t="shared" si="61"/>
        <v>Rouault</v>
      </c>
      <c r="O677" t="str">
        <f t="shared" si="62"/>
        <v>Augello</v>
      </c>
      <c r="P677" t="str">
        <f t="shared" si="63"/>
        <v>Del Pioluogo</v>
      </c>
      <c r="Q677">
        <f t="shared" si="64"/>
        <v>1</v>
      </c>
      <c r="R677" t="str">
        <f t="shared" si="65"/>
        <v>E. Martinez-Rouault-Augello-Del Pioluogo</v>
      </c>
    </row>
    <row r="678" spans="1:18" x14ac:dyDescent="0.25">
      <c r="A678" s="1" t="s">
        <v>383</v>
      </c>
      <c r="B678" s="1">
        <v>1</v>
      </c>
      <c r="C678" s="1" t="s">
        <v>24</v>
      </c>
      <c r="D678" s="1">
        <v>1</v>
      </c>
      <c r="E678" s="1" t="s">
        <v>168</v>
      </c>
      <c r="F678" s="1">
        <v>15</v>
      </c>
      <c r="G678" s="1">
        <v>9</v>
      </c>
      <c r="H678" s="7" t="s">
        <v>155</v>
      </c>
      <c r="I678" s="1" t="s">
        <v>247</v>
      </c>
      <c r="J678" s="1" t="s">
        <v>365</v>
      </c>
      <c r="K678" s="1" t="s">
        <v>400</v>
      </c>
      <c r="L678" s="1" t="s">
        <v>354</v>
      </c>
      <c r="M678" t="str">
        <f t="shared" si="60"/>
        <v>Joly</v>
      </c>
      <c r="N678" t="str">
        <f t="shared" si="61"/>
        <v>Novarese</v>
      </c>
      <c r="O678" t="str">
        <f t="shared" si="62"/>
        <v>Biondini</v>
      </c>
      <c r="P678" t="str">
        <f t="shared" si="63"/>
        <v>canu</v>
      </c>
      <c r="Q678">
        <f t="shared" si="64"/>
        <v>1</v>
      </c>
      <c r="R678" t="str">
        <f t="shared" si="65"/>
        <v>Joly-Novarese-Biondini-canu</v>
      </c>
    </row>
    <row r="679" spans="1:18" x14ac:dyDescent="0.25">
      <c r="A679" s="1" t="s">
        <v>383</v>
      </c>
      <c r="B679" s="1">
        <v>1</v>
      </c>
      <c r="C679" s="1" t="s">
        <v>27</v>
      </c>
      <c r="D679" s="1">
        <v>1</v>
      </c>
      <c r="E679" s="1" t="s">
        <v>168</v>
      </c>
      <c r="F679" s="1">
        <v>15</v>
      </c>
      <c r="G679" s="1">
        <v>12</v>
      </c>
      <c r="H679" s="7" t="s">
        <v>155</v>
      </c>
      <c r="I679" s="1" t="s">
        <v>252</v>
      </c>
      <c r="J679" s="1" t="s">
        <v>268</v>
      </c>
      <c r="K679" s="1" t="s">
        <v>400</v>
      </c>
      <c r="L679" s="1" t="s">
        <v>354</v>
      </c>
      <c r="M679" t="str">
        <f t="shared" si="60"/>
        <v>Eydoux</v>
      </c>
      <c r="N679" t="str">
        <f t="shared" si="61"/>
        <v>Martin</v>
      </c>
      <c r="O679" t="str">
        <f t="shared" si="62"/>
        <v>Ferragina</v>
      </c>
      <c r="P679" t="str">
        <f t="shared" si="63"/>
        <v>Lucchiari</v>
      </c>
      <c r="Q679">
        <f t="shared" si="64"/>
        <v>1</v>
      </c>
      <c r="R679" t="str">
        <f t="shared" si="65"/>
        <v>Eydoux-Martin-Ferragina-Lucchiari</v>
      </c>
    </row>
    <row r="680" spans="1:18" x14ac:dyDescent="0.25">
      <c r="A680" s="1" t="s">
        <v>383</v>
      </c>
      <c r="B680" s="1">
        <v>1</v>
      </c>
      <c r="C680" s="1" t="s">
        <v>12</v>
      </c>
      <c r="D680" s="1">
        <v>1</v>
      </c>
      <c r="E680" s="1" t="s">
        <v>168</v>
      </c>
      <c r="F680" s="1">
        <v>16</v>
      </c>
      <c r="G680" s="1">
        <v>14</v>
      </c>
      <c r="H680" s="1" t="s">
        <v>156</v>
      </c>
      <c r="I680" s="1" t="s">
        <v>232</v>
      </c>
      <c r="J680" s="1" t="s">
        <v>255</v>
      </c>
      <c r="K680" s="1" t="s">
        <v>400</v>
      </c>
      <c r="L680" s="1" t="s">
        <v>354</v>
      </c>
      <c r="M680" t="str">
        <f t="shared" si="60"/>
        <v>Alt</v>
      </c>
      <c r="N680" t="str">
        <f t="shared" si="61"/>
        <v>Paysan</v>
      </c>
      <c r="O680" t="str">
        <f t="shared" si="62"/>
        <v>Leybourne</v>
      </c>
      <c r="P680" t="str">
        <f t="shared" si="63"/>
        <v>Kadlec</v>
      </c>
      <c r="Q680">
        <f t="shared" si="64"/>
        <v>1</v>
      </c>
      <c r="R680" t="str">
        <f t="shared" si="65"/>
        <v>Alt-Paysan-Leybourne-Kadlec</v>
      </c>
    </row>
    <row r="681" spans="1:18" x14ac:dyDescent="0.25">
      <c r="A681" s="1" t="s">
        <v>383</v>
      </c>
      <c r="B681" s="1">
        <v>1</v>
      </c>
      <c r="C681" s="1" t="s">
        <v>18</v>
      </c>
      <c r="D681" s="1">
        <v>1</v>
      </c>
      <c r="E681" s="1" t="s">
        <v>168</v>
      </c>
      <c r="F681" s="1">
        <v>15</v>
      </c>
      <c r="G681" s="1">
        <v>13</v>
      </c>
      <c r="H681" s="1" t="s">
        <v>156</v>
      </c>
      <c r="I681" s="1" t="s">
        <v>237</v>
      </c>
      <c r="J681" s="1" t="s">
        <v>258</v>
      </c>
      <c r="K681" s="1" t="s">
        <v>400</v>
      </c>
      <c r="L681" s="1" t="s">
        <v>354</v>
      </c>
      <c r="M681" t="str">
        <f t="shared" si="60"/>
        <v>Duport</v>
      </c>
      <c r="N681" t="str">
        <f t="shared" si="61"/>
        <v>Liza</v>
      </c>
      <c r="O681" t="str">
        <f t="shared" si="62"/>
        <v>Kornek</v>
      </c>
      <c r="P681" t="str">
        <f t="shared" si="63"/>
        <v>Teskey</v>
      </c>
      <c r="Q681">
        <f t="shared" si="64"/>
        <v>1</v>
      </c>
      <c r="R681" t="str">
        <f t="shared" si="65"/>
        <v>Duport-Liza-Kornek-Teskey</v>
      </c>
    </row>
    <row r="682" spans="1:18" x14ac:dyDescent="0.25">
      <c r="A682" s="1" t="s">
        <v>383</v>
      </c>
      <c r="B682" s="1">
        <v>1</v>
      </c>
      <c r="C682" s="1" t="s">
        <v>21</v>
      </c>
      <c r="D682" s="1">
        <v>1</v>
      </c>
      <c r="E682" s="1" t="s">
        <v>168</v>
      </c>
      <c r="F682" s="1">
        <v>16</v>
      </c>
      <c r="G682" s="1">
        <v>17</v>
      </c>
      <c r="H682" s="1" t="s">
        <v>156</v>
      </c>
      <c r="I682" s="1" t="s">
        <v>395</v>
      </c>
      <c r="J682" s="1" t="s">
        <v>368</v>
      </c>
      <c r="K682" s="1" t="s">
        <v>400</v>
      </c>
      <c r="L682" s="1" t="s">
        <v>354</v>
      </c>
      <c r="M682" t="str">
        <f t="shared" si="60"/>
        <v>E. Martinez</v>
      </c>
      <c r="N682" t="str">
        <f t="shared" si="61"/>
        <v>Rouault</v>
      </c>
      <c r="O682" t="str">
        <f t="shared" si="62"/>
        <v>Lehner</v>
      </c>
      <c r="P682" t="str">
        <f t="shared" si="63"/>
        <v>orlandini</v>
      </c>
      <c r="Q682">
        <f t="shared" si="64"/>
        <v>0</v>
      </c>
      <c r="R682" t="str">
        <f t="shared" si="65"/>
        <v>E. Martinez-Rouault-Lehner-orlandini</v>
      </c>
    </row>
    <row r="683" spans="1:18" x14ac:dyDescent="0.25">
      <c r="A683" s="1" t="s">
        <v>383</v>
      </c>
      <c r="B683" s="1">
        <v>1</v>
      </c>
      <c r="C683" s="1" t="s">
        <v>24</v>
      </c>
      <c r="D683" s="1">
        <v>1</v>
      </c>
      <c r="E683" s="1" t="s">
        <v>168</v>
      </c>
      <c r="F683" s="1">
        <v>13</v>
      </c>
      <c r="G683" s="1">
        <v>15</v>
      </c>
      <c r="H683" s="1" t="s">
        <v>156</v>
      </c>
      <c r="I683" s="1" t="s">
        <v>247</v>
      </c>
      <c r="J683" s="1" t="s">
        <v>366</v>
      </c>
      <c r="K683" s="1" t="s">
        <v>400</v>
      </c>
      <c r="L683" s="1" t="s">
        <v>354</v>
      </c>
      <c r="M683" t="str">
        <f t="shared" si="60"/>
        <v>Joly</v>
      </c>
      <c r="N683" t="str">
        <f t="shared" si="61"/>
        <v>Novarese</v>
      </c>
      <c r="O683" t="str">
        <f t="shared" si="62"/>
        <v>A. Bauer</v>
      </c>
      <c r="P683" t="str">
        <f t="shared" si="63"/>
        <v>Sundl</v>
      </c>
      <c r="Q683">
        <f t="shared" si="64"/>
        <v>0</v>
      </c>
      <c r="R683" t="str">
        <f t="shared" si="65"/>
        <v>Joly-Novarese-A. Bauer-Sundl</v>
      </c>
    </row>
    <row r="684" spans="1:18" x14ac:dyDescent="0.25">
      <c r="A684" s="1" t="s">
        <v>383</v>
      </c>
      <c r="B684" s="1">
        <v>1</v>
      </c>
      <c r="C684" s="1" t="s">
        <v>27</v>
      </c>
      <c r="D684" s="1">
        <v>1</v>
      </c>
      <c r="E684" s="1" t="s">
        <v>168</v>
      </c>
      <c r="F684" s="1">
        <v>13</v>
      </c>
      <c r="G684" s="1">
        <v>15</v>
      </c>
      <c r="H684" s="1" t="s">
        <v>156</v>
      </c>
      <c r="I684" s="1" t="s">
        <v>252</v>
      </c>
      <c r="J684" s="1" t="s">
        <v>267</v>
      </c>
      <c r="K684" s="1" t="s">
        <v>400</v>
      </c>
      <c r="L684" s="1" t="s">
        <v>354</v>
      </c>
      <c r="M684" t="str">
        <f t="shared" si="60"/>
        <v>Eydoux</v>
      </c>
      <c r="N684" t="str">
        <f t="shared" si="61"/>
        <v>Martin</v>
      </c>
      <c r="O684" t="str">
        <f t="shared" si="62"/>
        <v>Mrak</v>
      </c>
      <c r="P684" t="str">
        <f t="shared" si="63"/>
        <v>Seiberl</v>
      </c>
      <c r="Q684">
        <f t="shared" si="64"/>
        <v>0</v>
      </c>
      <c r="R684" t="str">
        <f t="shared" si="65"/>
        <v>Eydoux-Martin-Mrak-Seiberl</v>
      </c>
    </row>
    <row r="685" spans="1:18" x14ac:dyDescent="0.25">
      <c r="A685" s="1" t="s">
        <v>383</v>
      </c>
      <c r="B685" s="1">
        <v>1</v>
      </c>
      <c r="C685" s="1" t="s">
        <v>12</v>
      </c>
      <c r="D685" s="1">
        <v>1</v>
      </c>
      <c r="E685" s="1" t="s">
        <v>168</v>
      </c>
      <c r="F685" s="1">
        <v>16</v>
      </c>
      <c r="G685" s="1">
        <v>17</v>
      </c>
      <c r="H685" s="1" t="s">
        <v>147</v>
      </c>
      <c r="I685" s="1" t="s">
        <v>232</v>
      </c>
      <c r="J685" s="1" t="s">
        <v>272</v>
      </c>
      <c r="K685" s="1" t="s">
        <v>400</v>
      </c>
      <c r="L685" s="1" t="s">
        <v>354</v>
      </c>
      <c r="M685" t="str">
        <f t="shared" si="60"/>
        <v>Alt</v>
      </c>
      <c r="N685" t="str">
        <f t="shared" si="61"/>
        <v>Paysan</v>
      </c>
      <c r="O685" t="str">
        <f t="shared" si="62"/>
        <v>Kunzelmann</v>
      </c>
      <c r="P685" t="str">
        <f t="shared" si="63"/>
        <v>Levie</v>
      </c>
      <c r="Q685">
        <f t="shared" si="64"/>
        <v>0</v>
      </c>
      <c r="R685" t="str">
        <f t="shared" si="65"/>
        <v>Alt-Paysan-Kunzelmann-Levie</v>
      </c>
    </row>
    <row r="686" spans="1:18" x14ac:dyDescent="0.25">
      <c r="A686" s="1" t="s">
        <v>383</v>
      </c>
      <c r="B686" s="1">
        <v>1</v>
      </c>
      <c r="C686" s="1" t="s">
        <v>18</v>
      </c>
      <c r="D686" s="1">
        <v>1</v>
      </c>
      <c r="E686" s="1" t="s">
        <v>168</v>
      </c>
      <c r="F686" s="1">
        <v>9</v>
      </c>
      <c r="G686" s="1">
        <v>15</v>
      </c>
      <c r="H686" s="1" t="s">
        <v>147</v>
      </c>
      <c r="I686" s="1" t="s">
        <v>237</v>
      </c>
      <c r="J686" s="1" t="s">
        <v>384</v>
      </c>
      <c r="K686" s="1" t="s">
        <v>400</v>
      </c>
      <c r="L686" s="1" t="s">
        <v>354</v>
      </c>
      <c r="M686" t="str">
        <f t="shared" si="60"/>
        <v>Duport</v>
      </c>
      <c r="N686" t="str">
        <f t="shared" si="61"/>
        <v>Liza</v>
      </c>
      <c r="O686" t="str">
        <f t="shared" si="62"/>
        <v>Gassner</v>
      </c>
      <c r="P686" t="str">
        <f t="shared" si="63"/>
        <v>K. Eigenmann</v>
      </c>
      <c r="Q686">
        <f t="shared" si="64"/>
        <v>0</v>
      </c>
      <c r="R686" t="str">
        <f t="shared" si="65"/>
        <v>Duport-Liza-Gassner-K. Eigenmann</v>
      </c>
    </row>
    <row r="687" spans="1:18" x14ac:dyDescent="0.25">
      <c r="A687" s="1" t="s">
        <v>383</v>
      </c>
      <c r="B687" s="1">
        <v>1</v>
      </c>
      <c r="C687" s="1" t="s">
        <v>21</v>
      </c>
      <c r="D687" s="1">
        <v>1</v>
      </c>
      <c r="E687" s="1" t="s">
        <v>168</v>
      </c>
      <c r="F687" s="1">
        <v>15</v>
      </c>
      <c r="G687" s="1">
        <v>13</v>
      </c>
      <c r="H687" s="1" t="s">
        <v>147</v>
      </c>
      <c r="I687" s="1" t="s">
        <v>395</v>
      </c>
      <c r="J687" s="1" t="s">
        <v>278</v>
      </c>
      <c r="K687" s="1" t="s">
        <v>400</v>
      </c>
      <c r="L687" s="1" t="s">
        <v>354</v>
      </c>
      <c r="M687" t="str">
        <f t="shared" si="60"/>
        <v>E. Martinez</v>
      </c>
      <c r="N687" t="str">
        <f t="shared" si="61"/>
        <v>Rouault</v>
      </c>
      <c r="O687" t="str">
        <f t="shared" si="62"/>
        <v>Kunz</v>
      </c>
      <c r="P687" t="str">
        <f t="shared" si="63"/>
        <v>Nenz</v>
      </c>
      <c r="Q687">
        <f t="shared" si="64"/>
        <v>1</v>
      </c>
      <c r="R687" t="str">
        <f t="shared" si="65"/>
        <v>E. Martinez-Rouault-Kunz-Nenz</v>
      </c>
    </row>
    <row r="688" spans="1:18" x14ac:dyDescent="0.25">
      <c r="A688" s="1" t="s">
        <v>383</v>
      </c>
      <c r="B688" s="1">
        <v>1</v>
      </c>
      <c r="C688" s="1" t="s">
        <v>24</v>
      </c>
      <c r="D688" s="1">
        <v>1</v>
      </c>
      <c r="E688" s="1" t="s">
        <v>168</v>
      </c>
      <c r="F688" s="1">
        <v>9</v>
      </c>
      <c r="G688" s="1">
        <v>15</v>
      </c>
      <c r="H688" s="1" t="s">
        <v>147</v>
      </c>
      <c r="I688" s="1" t="s">
        <v>247</v>
      </c>
      <c r="J688" s="1" t="s">
        <v>281</v>
      </c>
      <c r="K688" s="1" t="s">
        <v>400</v>
      </c>
      <c r="L688" s="1" t="s">
        <v>354</v>
      </c>
      <c r="M688" t="str">
        <f t="shared" si="60"/>
        <v>Joly</v>
      </c>
      <c r="N688" t="str">
        <f t="shared" si="61"/>
        <v>Novarese</v>
      </c>
      <c r="O688" t="str">
        <f t="shared" si="62"/>
        <v>Wiedmer</v>
      </c>
      <c r="P688" t="str">
        <f t="shared" si="63"/>
        <v>Kunz</v>
      </c>
      <c r="Q688">
        <f t="shared" si="64"/>
        <v>0</v>
      </c>
      <c r="R688" t="str">
        <f t="shared" si="65"/>
        <v>Joly-Novarese-Wiedmer-Kunz</v>
      </c>
    </row>
    <row r="689" spans="1:18" x14ac:dyDescent="0.25">
      <c r="A689" s="1" t="s">
        <v>383</v>
      </c>
      <c r="B689" s="1">
        <v>1</v>
      </c>
      <c r="C689" s="1" t="s">
        <v>27</v>
      </c>
      <c r="D689" s="1">
        <v>1</v>
      </c>
      <c r="E689" s="1" t="s">
        <v>168</v>
      </c>
      <c r="F689" s="1">
        <v>15</v>
      </c>
      <c r="G689" s="1">
        <v>17</v>
      </c>
      <c r="H689" s="1" t="s">
        <v>147</v>
      </c>
      <c r="I689" s="1" t="s">
        <v>252</v>
      </c>
      <c r="J689" s="1" t="s">
        <v>284</v>
      </c>
      <c r="K689" s="1" t="s">
        <v>400</v>
      </c>
      <c r="L689" s="1" t="s">
        <v>354</v>
      </c>
      <c r="M689" t="str">
        <f t="shared" si="60"/>
        <v>Eydoux</v>
      </c>
      <c r="N689" t="str">
        <f t="shared" si="61"/>
        <v>Martin</v>
      </c>
      <c r="O689" t="str">
        <f t="shared" si="62"/>
        <v>Schiegg</v>
      </c>
      <c r="P689" t="str">
        <f t="shared" si="63"/>
        <v>Amsler</v>
      </c>
      <c r="Q689">
        <f t="shared" si="64"/>
        <v>0</v>
      </c>
      <c r="R689" t="str">
        <f t="shared" si="65"/>
        <v>Eydoux-Martin-Schiegg-Amsler</v>
      </c>
    </row>
    <row r="690" spans="1:18" x14ac:dyDescent="0.25">
      <c r="A690" s="1" t="s">
        <v>383</v>
      </c>
      <c r="B690" s="1">
        <v>1</v>
      </c>
      <c r="C690" s="1" t="s">
        <v>12</v>
      </c>
      <c r="D690" s="1">
        <v>1</v>
      </c>
      <c r="E690" s="1" t="s">
        <v>156</v>
      </c>
      <c r="F690" s="1">
        <v>15</v>
      </c>
      <c r="G690" s="1">
        <v>10</v>
      </c>
      <c r="H690" s="1" t="s">
        <v>147</v>
      </c>
      <c r="I690" s="1" t="s">
        <v>255</v>
      </c>
      <c r="J690" s="1" t="s">
        <v>272</v>
      </c>
      <c r="K690" s="1" t="s">
        <v>400</v>
      </c>
      <c r="L690" s="1" t="s">
        <v>354</v>
      </c>
      <c r="M690" t="str">
        <f t="shared" si="60"/>
        <v>Leybourne</v>
      </c>
      <c r="N690" t="str">
        <f t="shared" si="61"/>
        <v>Kadlec</v>
      </c>
      <c r="O690" t="str">
        <f t="shared" si="62"/>
        <v>Kunzelmann</v>
      </c>
      <c r="P690" t="str">
        <f t="shared" si="63"/>
        <v>Levie</v>
      </c>
      <c r="Q690">
        <f t="shared" si="64"/>
        <v>1</v>
      </c>
      <c r="R690" t="str">
        <f t="shared" si="65"/>
        <v>Leybourne-Kadlec-Kunzelmann-Levie</v>
      </c>
    </row>
    <row r="691" spans="1:18" x14ac:dyDescent="0.25">
      <c r="A691" s="1" t="s">
        <v>383</v>
      </c>
      <c r="B691" s="1">
        <v>1</v>
      </c>
      <c r="C691" s="1" t="s">
        <v>18</v>
      </c>
      <c r="D691" s="1">
        <v>1</v>
      </c>
      <c r="E691" s="1" t="s">
        <v>156</v>
      </c>
      <c r="F691" s="1">
        <v>9</v>
      </c>
      <c r="G691" s="1">
        <v>15</v>
      </c>
      <c r="H691" s="1" t="s">
        <v>147</v>
      </c>
      <c r="I691" s="1" t="s">
        <v>258</v>
      </c>
      <c r="J691" s="1" t="s">
        <v>384</v>
      </c>
      <c r="K691" s="1" t="s">
        <v>400</v>
      </c>
      <c r="L691" s="1" t="s">
        <v>354</v>
      </c>
      <c r="M691" t="str">
        <f t="shared" si="60"/>
        <v>Kornek</v>
      </c>
      <c r="N691" t="str">
        <f t="shared" si="61"/>
        <v>Teskey</v>
      </c>
      <c r="O691" t="str">
        <f t="shared" si="62"/>
        <v>Gassner</v>
      </c>
      <c r="P691" t="str">
        <f t="shared" si="63"/>
        <v>K. Eigenmann</v>
      </c>
      <c r="Q691">
        <f t="shared" si="64"/>
        <v>0</v>
      </c>
      <c r="R691" t="str">
        <f t="shared" si="65"/>
        <v>Kornek-Teskey-Gassner-K. Eigenmann</v>
      </c>
    </row>
    <row r="692" spans="1:18" x14ac:dyDescent="0.25">
      <c r="A692" s="1" t="s">
        <v>383</v>
      </c>
      <c r="B692" s="1">
        <v>1</v>
      </c>
      <c r="C692" s="1" t="s">
        <v>21</v>
      </c>
      <c r="D692" s="1">
        <v>1</v>
      </c>
      <c r="E692" s="1" t="s">
        <v>156</v>
      </c>
      <c r="F692" s="1">
        <v>17</v>
      </c>
      <c r="G692" s="1">
        <v>16</v>
      </c>
      <c r="H692" s="1" t="s">
        <v>147</v>
      </c>
      <c r="I692" s="1" t="s">
        <v>368</v>
      </c>
      <c r="J692" s="1" t="s">
        <v>278</v>
      </c>
      <c r="K692" s="1" t="s">
        <v>400</v>
      </c>
      <c r="L692" s="1" t="s">
        <v>354</v>
      </c>
      <c r="M692" t="str">
        <f t="shared" si="60"/>
        <v>Lehner</v>
      </c>
      <c r="N692" t="str">
        <f t="shared" si="61"/>
        <v>orlandini</v>
      </c>
      <c r="O692" t="str">
        <f t="shared" si="62"/>
        <v>Kunz</v>
      </c>
      <c r="P692" t="str">
        <f t="shared" si="63"/>
        <v>Nenz</v>
      </c>
      <c r="Q692">
        <f t="shared" si="64"/>
        <v>1</v>
      </c>
      <c r="R692" t="str">
        <f t="shared" si="65"/>
        <v>Lehner-orlandini-Kunz-Nenz</v>
      </c>
    </row>
    <row r="693" spans="1:18" x14ac:dyDescent="0.25">
      <c r="A693" s="1" t="s">
        <v>383</v>
      </c>
      <c r="B693" s="1">
        <v>1</v>
      </c>
      <c r="C693" s="1" t="s">
        <v>24</v>
      </c>
      <c r="D693" s="1">
        <v>1</v>
      </c>
      <c r="E693" s="1" t="s">
        <v>156</v>
      </c>
      <c r="F693" s="1">
        <v>15</v>
      </c>
      <c r="G693" s="1">
        <v>12</v>
      </c>
      <c r="H693" s="1" t="s">
        <v>147</v>
      </c>
      <c r="I693" s="1" t="s">
        <v>366</v>
      </c>
      <c r="J693" s="1" t="s">
        <v>281</v>
      </c>
      <c r="K693" s="1" t="s">
        <v>400</v>
      </c>
      <c r="L693" s="1" t="s">
        <v>354</v>
      </c>
      <c r="M693" t="str">
        <f t="shared" si="60"/>
        <v>A. Bauer</v>
      </c>
      <c r="N693" t="str">
        <f t="shared" si="61"/>
        <v>Sundl</v>
      </c>
      <c r="O693" t="str">
        <f t="shared" si="62"/>
        <v>Wiedmer</v>
      </c>
      <c r="P693" t="str">
        <f t="shared" si="63"/>
        <v>Kunz</v>
      </c>
      <c r="Q693">
        <f t="shared" si="64"/>
        <v>1</v>
      </c>
      <c r="R693" t="str">
        <f t="shared" si="65"/>
        <v>A. Bauer-Sundl-Wiedmer-Kunz</v>
      </c>
    </row>
    <row r="694" spans="1:18" x14ac:dyDescent="0.25">
      <c r="A694" s="1" t="s">
        <v>383</v>
      </c>
      <c r="B694" s="1">
        <v>1</v>
      </c>
      <c r="C694" s="1" t="s">
        <v>27</v>
      </c>
      <c r="D694" s="1">
        <v>1</v>
      </c>
      <c r="E694" s="1" t="s">
        <v>156</v>
      </c>
      <c r="F694" s="1">
        <v>16</v>
      </c>
      <c r="G694" s="1">
        <v>14</v>
      </c>
      <c r="H694" s="1" t="s">
        <v>147</v>
      </c>
      <c r="I694" s="1" t="s">
        <v>267</v>
      </c>
      <c r="J694" s="1" t="s">
        <v>284</v>
      </c>
      <c r="K694" s="1" t="s">
        <v>400</v>
      </c>
      <c r="L694" s="1" t="s">
        <v>354</v>
      </c>
      <c r="M694" t="str">
        <f t="shared" si="60"/>
        <v>Mrak</v>
      </c>
      <c r="N694" t="str">
        <f t="shared" si="61"/>
        <v>Seiberl</v>
      </c>
      <c r="O694" t="str">
        <f t="shared" si="62"/>
        <v>Schiegg</v>
      </c>
      <c r="P694" t="str">
        <f t="shared" si="63"/>
        <v>Amsler</v>
      </c>
      <c r="Q694">
        <f t="shared" si="64"/>
        <v>1</v>
      </c>
      <c r="R694" t="str">
        <f t="shared" si="65"/>
        <v>Mrak-Seiberl-Schiegg-Amsler</v>
      </c>
    </row>
    <row r="695" spans="1:18" x14ac:dyDescent="0.25">
      <c r="A695" s="1" t="s">
        <v>383</v>
      </c>
      <c r="B695" s="1">
        <v>1</v>
      </c>
      <c r="C695" s="1" t="s">
        <v>12</v>
      </c>
      <c r="D695" s="1">
        <v>1</v>
      </c>
      <c r="E695" s="1" t="s">
        <v>155</v>
      </c>
      <c r="F695" s="1">
        <v>9</v>
      </c>
      <c r="G695" s="1">
        <v>15</v>
      </c>
      <c r="H695" s="1" t="s">
        <v>147</v>
      </c>
      <c r="I695" s="1" t="s">
        <v>257</v>
      </c>
      <c r="J695" s="1" t="s">
        <v>272</v>
      </c>
      <c r="K695" s="1" t="s">
        <v>400</v>
      </c>
      <c r="L695" s="1" t="s">
        <v>354</v>
      </c>
      <c r="M695" t="str">
        <f t="shared" si="60"/>
        <v>Rossetto</v>
      </c>
      <c r="N695" t="str">
        <f t="shared" si="61"/>
        <v>Zanella</v>
      </c>
      <c r="O695" t="str">
        <f t="shared" si="62"/>
        <v>Kunzelmann</v>
      </c>
      <c r="P695" t="str">
        <f t="shared" si="63"/>
        <v>Levie</v>
      </c>
      <c r="Q695">
        <f t="shared" si="64"/>
        <v>0</v>
      </c>
      <c r="R695" t="str">
        <f t="shared" si="65"/>
        <v>Rossetto-Zanella-Kunzelmann-Levie</v>
      </c>
    </row>
    <row r="696" spans="1:18" x14ac:dyDescent="0.25">
      <c r="A696" s="1" t="s">
        <v>383</v>
      </c>
      <c r="B696" s="1">
        <v>1</v>
      </c>
      <c r="C696" s="1" t="s">
        <v>18</v>
      </c>
      <c r="D696" s="1">
        <v>1</v>
      </c>
      <c r="E696" s="1" t="s">
        <v>155</v>
      </c>
      <c r="F696" s="1">
        <v>11</v>
      </c>
      <c r="G696" s="1">
        <v>15</v>
      </c>
      <c r="H696" s="1" t="s">
        <v>147</v>
      </c>
      <c r="I696" s="1" t="s">
        <v>260</v>
      </c>
      <c r="J696" s="1" t="s">
        <v>384</v>
      </c>
      <c r="K696" s="1" t="s">
        <v>400</v>
      </c>
      <c r="L696" s="1" t="s">
        <v>354</v>
      </c>
      <c r="M696" t="str">
        <f t="shared" si="60"/>
        <v>Patat</v>
      </c>
      <c r="N696" t="str">
        <f t="shared" si="61"/>
        <v>Pernigo</v>
      </c>
      <c r="O696" t="str">
        <f t="shared" si="62"/>
        <v>Gassner</v>
      </c>
      <c r="P696" t="str">
        <f t="shared" si="63"/>
        <v>K. Eigenmann</v>
      </c>
      <c r="Q696">
        <f t="shared" si="64"/>
        <v>0</v>
      </c>
      <c r="R696" t="str">
        <f t="shared" si="65"/>
        <v>Patat-Pernigo-Gassner-K. Eigenmann</v>
      </c>
    </row>
    <row r="697" spans="1:18" x14ac:dyDescent="0.25">
      <c r="A697" s="1" t="s">
        <v>383</v>
      </c>
      <c r="B697" s="1">
        <v>1</v>
      </c>
      <c r="C697" s="1" t="s">
        <v>21</v>
      </c>
      <c r="D697" s="1">
        <v>1</v>
      </c>
      <c r="E697" s="1" t="s">
        <v>155</v>
      </c>
      <c r="F697" s="1">
        <v>14</v>
      </c>
      <c r="G697" s="1">
        <v>16</v>
      </c>
      <c r="H697" s="1" t="s">
        <v>147</v>
      </c>
      <c r="I697" s="1" t="s">
        <v>263</v>
      </c>
      <c r="J697" s="1" t="s">
        <v>278</v>
      </c>
      <c r="K697" s="1" t="s">
        <v>400</v>
      </c>
      <c r="L697" s="1" t="s">
        <v>354</v>
      </c>
      <c r="M697" t="str">
        <f t="shared" si="60"/>
        <v>Augello</v>
      </c>
      <c r="N697" t="str">
        <f t="shared" si="61"/>
        <v>Del Pioluogo</v>
      </c>
      <c r="O697" t="str">
        <f t="shared" si="62"/>
        <v>Kunz</v>
      </c>
      <c r="P697" t="str">
        <f t="shared" si="63"/>
        <v>Nenz</v>
      </c>
      <c r="Q697">
        <f t="shared" si="64"/>
        <v>0</v>
      </c>
      <c r="R697" t="str">
        <f t="shared" si="65"/>
        <v>Augello-Del Pioluogo-Kunz-Nenz</v>
      </c>
    </row>
    <row r="698" spans="1:18" x14ac:dyDescent="0.25">
      <c r="A698" s="1" t="s">
        <v>383</v>
      </c>
      <c r="B698" s="1">
        <v>1</v>
      </c>
      <c r="C698" s="1" t="s">
        <v>24</v>
      </c>
      <c r="D698" s="1">
        <v>1</v>
      </c>
      <c r="E698" s="1" t="s">
        <v>155</v>
      </c>
      <c r="F698" s="1">
        <v>14</v>
      </c>
      <c r="G698" s="1">
        <v>16</v>
      </c>
      <c r="H698" s="1" t="s">
        <v>147</v>
      </c>
      <c r="I698" s="1" t="s">
        <v>365</v>
      </c>
      <c r="J698" s="1" t="s">
        <v>281</v>
      </c>
      <c r="K698" s="1" t="s">
        <v>400</v>
      </c>
      <c r="L698" s="1" t="s">
        <v>354</v>
      </c>
      <c r="M698" t="str">
        <f t="shared" si="60"/>
        <v>Biondini</v>
      </c>
      <c r="N698" t="str">
        <f t="shared" si="61"/>
        <v>canu</v>
      </c>
      <c r="O698" t="str">
        <f t="shared" si="62"/>
        <v>Wiedmer</v>
      </c>
      <c r="P698" t="str">
        <f t="shared" si="63"/>
        <v>Kunz</v>
      </c>
      <c r="Q698">
        <f t="shared" si="64"/>
        <v>0</v>
      </c>
      <c r="R698" t="str">
        <f t="shared" si="65"/>
        <v>Biondini-canu-Wiedmer-Kunz</v>
      </c>
    </row>
    <row r="699" spans="1:18" x14ac:dyDescent="0.25">
      <c r="A699" s="1" t="s">
        <v>383</v>
      </c>
      <c r="B699" s="1">
        <v>1</v>
      </c>
      <c r="C699" s="1" t="s">
        <v>27</v>
      </c>
      <c r="D699" s="1">
        <v>1</v>
      </c>
      <c r="E699" s="1" t="s">
        <v>155</v>
      </c>
      <c r="F699" s="1">
        <v>16</v>
      </c>
      <c r="G699" s="1">
        <v>14</v>
      </c>
      <c r="H699" s="1" t="s">
        <v>147</v>
      </c>
      <c r="I699" s="1" t="s">
        <v>268</v>
      </c>
      <c r="J699" s="1" t="s">
        <v>284</v>
      </c>
      <c r="K699" s="1" t="s">
        <v>400</v>
      </c>
      <c r="L699" s="1" t="s">
        <v>354</v>
      </c>
      <c r="M699" t="str">
        <f t="shared" si="60"/>
        <v>Ferragina</v>
      </c>
      <c r="N699" t="str">
        <f t="shared" si="61"/>
        <v>Lucchiari</v>
      </c>
      <c r="O699" t="str">
        <f t="shared" si="62"/>
        <v>Schiegg</v>
      </c>
      <c r="P699" t="str">
        <f t="shared" si="63"/>
        <v>Amsler</v>
      </c>
      <c r="Q699">
        <f t="shared" si="64"/>
        <v>1</v>
      </c>
      <c r="R699" t="str">
        <f t="shared" si="65"/>
        <v>Ferragina-Lucchiari-Schiegg-Amsler</v>
      </c>
    </row>
    <row r="700" spans="1:18" x14ac:dyDescent="0.25">
      <c r="A700" s="1" t="s">
        <v>383</v>
      </c>
      <c r="B700" s="1">
        <v>1</v>
      </c>
      <c r="C700" s="1" t="s">
        <v>12</v>
      </c>
      <c r="D700" s="1">
        <v>1</v>
      </c>
      <c r="E700" s="1" t="s">
        <v>195</v>
      </c>
      <c r="F700" s="1">
        <v>15</v>
      </c>
      <c r="G700" s="1">
        <v>10</v>
      </c>
      <c r="H700" s="1" t="s">
        <v>194</v>
      </c>
      <c r="I700" s="1" t="s">
        <v>230</v>
      </c>
      <c r="J700" s="1" t="s">
        <v>270</v>
      </c>
      <c r="K700" s="1" t="s">
        <v>400</v>
      </c>
      <c r="L700" s="1" t="s">
        <v>354</v>
      </c>
      <c r="M700" t="str">
        <f t="shared" si="60"/>
        <v>Hui</v>
      </c>
      <c r="N700" t="str">
        <f t="shared" si="61"/>
        <v>O. Jenki</v>
      </c>
      <c r="O700" t="str">
        <f t="shared" si="62"/>
        <v>Aspirot</v>
      </c>
      <c r="P700" t="str">
        <f t="shared" si="63"/>
        <v>Tardy</v>
      </c>
      <c r="Q700">
        <f t="shared" si="64"/>
        <v>1</v>
      </c>
      <c r="R700" t="str">
        <f t="shared" si="65"/>
        <v>Hui-O. Jenki-Aspirot-Tardy</v>
      </c>
    </row>
    <row r="701" spans="1:18" x14ac:dyDescent="0.25">
      <c r="A701" s="1" t="s">
        <v>383</v>
      </c>
      <c r="B701" s="1">
        <v>1</v>
      </c>
      <c r="C701" s="1" t="s">
        <v>18</v>
      </c>
      <c r="D701" s="1">
        <v>1</v>
      </c>
      <c r="E701" s="1" t="s">
        <v>195</v>
      </c>
      <c r="F701" s="1">
        <v>15</v>
      </c>
      <c r="G701" s="1">
        <v>11</v>
      </c>
      <c r="H701" s="1" t="s">
        <v>194</v>
      </c>
      <c r="I701" s="1" t="s">
        <v>235</v>
      </c>
      <c r="J701" s="1" t="s">
        <v>393</v>
      </c>
      <c r="K701" s="1" t="s">
        <v>400</v>
      </c>
      <c r="L701" s="1" t="s">
        <v>354</v>
      </c>
      <c r="M701" t="str">
        <f t="shared" si="60"/>
        <v>Washburn</v>
      </c>
      <c r="N701" t="str">
        <f t="shared" si="61"/>
        <v>A. Jenki</v>
      </c>
      <c r="O701" t="str">
        <f t="shared" si="62"/>
        <v>Fonseca</v>
      </c>
      <c r="P701" t="str">
        <f t="shared" si="63"/>
        <v>J. Leung</v>
      </c>
      <c r="Q701">
        <f t="shared" si="64"/>
        <v>1</v>
      </c>
      <c r="R701" t="str">
        <f t="shared" si="65"/>
        <v>Washburn-A. Jenki-Fonseca-J. Leung</v>
      </c>
    </row>
    <row r="702" spans="1:18" x14ac:dyDescent="0.25">
      <c r="A702" s="1" t="s">
        <v>383</v>
      </c>
      <c r="B702" s="1">
        <v>1</v>
      </c>
      <c r="C702" s="1" t="s">
        <v>21</v>
      </c>
      <c r="D702" s="1">
        <v>1</v>
      </c>
      <c r="E702" s="1" t="s">
        <v>195</v>
      </c>
      <c r="F702" s="1">
        <v>16</v>
      </c>
      <c r="G702" s="1">
        <v>17</v>
      </c>
      <c r="H702" s="1" t="s">
        <v>194</v>
      </c>
      <c r="I702" s="1" t="s">
        <v>240</v>
      </c>
      <c r="J702" s="1" t="s">
        <v>276</v>
      </c>
      <c r="K702" s="1" t="s">
        <v>400</v>
      </c>
      <c r="L702" s="1" t="s">
        <v>354</v>
      </c>
      <c r="M702" t="str">
        <f t="shared" si="60"/>
        <v>Morgan</v>
      </c>
      <c r="N702" t="str">
        <f t="shared" si="61"/>
        <v>Fleming</v>
      </c>
      <c r="O702" t="str">
        <f t="shared" si="62"/>
        <v>Vallee</v>
      </c>
      <c r="P702" t="str">
        <f t="shared" si="63"/>
        <v>Couroux</v>
      </c>
      <c r="Q702">
        <f t="shared" si="64"/>
        <v>0</v>
      </c>
      <c r="R702" t="str">
        <f t="shared" si="65"/>
        <v>Morgan-Fleming-Vallee-Couroux</v>
      </c>
    </row>
    <row r="703" spans="1:18" x14ac:dyDescent="0.25">
      <c r="A703" s="1" t="s">
        <v>383</v>
      </c>
      <c r="B703" s="1">
        <v>1</v>
      </c>
      <c r="C703" s="1" t="s">
        <v>24</v>
      </c>
      <c r="D703" s="1">
        <v>1</v>
      </c>
      <c r="E703" s="1" t="s">
        <v>195</v>
      </c>
      <c r="F703" s="1">
        <v>15</v>
      </c>
      <c r="G703" s="1">
        <v>13</v>
      </c>
      <c r="H703" s="1" t="s">
        <v>194</v>
      </c>
      <c r="I703" s="1" t="s">
        <v>245</v>
      </c>
      <c r="J703" s="1" t="s">
        <v>279</v>
      </c>
      <c r="K703" s="1" t="s">
        <v>400</v>
      </c>
      <c r="L703" s="1" t="s">
        <v>354</v>
      </c>
      <c r="M703" t="str">
        <f t="shared" si="60"/>
        <v>Pierson</v>
      </c>
      <c r="N703" t="str">
        <f t="shared" si="61"/>
        <v>Phan</v>
      </c>
      <c r="O703" t="str">
        <f t="shared" si="62"/>
        <v>Boucher-Gratton</v>
      </c>
      <c r="P703" t="str">
        <f t="shared" si="63"/>
        <v>Cunningham</v>
      </c>
      <c r="Q703">
        <f t="shared" si="64"/>
        <v>1</v>
      </c>
      <c r="R703" t="str">
        <f t="shared" si="65"/>
        <v>Pierson-Phan-Boucher-Gratton-Cunningham</v>
      </c>
    </row>
    <row r="704" spans="1:18" x14ac:dyDescent="0.25">
      <c r="A704" s="1" t="s">
        <v>383</v>
      </c>
      <c r="B704" s="1">
        <v>1</v>
      </c>
      <c r="C704" s="1" t="s">
        <v>27</v>
      </c>
      <c r="D704" s="1">
        <v>1</v>
      </c>
      <c r="E704" s="1" t="s">
        <v>195</v>
      </c>
      <c r="F704" s="1">
        <v>15</v>
      </c>
      <c r="G704" s="1">
        <v>11</v>
      </c>
      <c r="H704" s="1" t="s">
        <v>194</v>
      </c>
      <c r="I704" s="1" t="s">
        <v>250</v>
      </c>
      <c r="J704" s="1" t="s">
        <v>282</v>
      </c>
      <c r="K704" s="1" t="s">
        <v>400</v>
      </c>
      <c r="L704" s="1" t="s">
        <v>354</v>
      </c>
      <c r="M704" t="str">
        <f t="shared" si="60"/>
        <v>Timan</v>
      </c>
      <c r="N704" t="str">
        <f t="shared" si="61"/>
        <v>Allen</v>
      </c>
      <c r="O704" t="str">
        <f t="shared" si="62"/>
        <v>Yu</v>
      </c>
      <c r="P704" t="str">
        <f t="shared" si="63"/>
        <v>Diaz</v>
      </c>
      <c r="Q704">
        <f t="shared" si="64"/>
        <v>1</v>
      </c>
      <c r="R704" t="str">
        <f t="shared" si="65"/>
        <v>Timan-Allen-Yu-Diaz</v>
      </c>
    </row>
    <row r="705" spans="1:18" x14ac:dyDescent="0.25">
      <c r="A705" s="1" t="s">
        <v>383</v>
      </c>
      <c r="B705" s="1">
        <v>1</v>
      </c>
      <c r="C705" s="1" t="s">
        <v>12</v>
      </c>
      <c r="D705" s="1">
        <v>1</v>
      </c>
      <c r="E705" s="1" t="s">
        <v>146</v>
      </c>
      <c r="F705" s="1">
        <v>16</v>
      </c>
      <c r="G705" s="1">
        <v>17</v>
      </c>
      <c r="H705" s="1" t="s">
        <v>194</v>
      </c>
      <c r="I705" s="1" t="s">
        <v>234</v>
      </c>
      <c r="J705" s="1" t="s">
        <v>270</v>
      </c>
      <c r="K705" s="1" t="s">
        <v>400</v>
      </c>
      <c r="L705" s="1" t="s">
        <v>354</v>
      </c>
      <c r="M705" t="str">
        <f t="shared" si="60"/>
        <v>Knauf</v>
      </c>
      <c r="N705" t="str">
        <f t="shared" si="61"/>
        <v>Lorenz</v>
      </c>
      <c r="O705" t="str">
        <f t="shared" si="62"/>
        <v>Aspirot</v>
      </c>
      <c r="P705" t="str">
        <f t="shared" si="63"/>
        <v>Tardy</v>
      </c>
      <c r="Q705">
        <f t="shared" si="64"/>
        <v>0</v>
      </c>
      <c r="R705" t="str">
        <f t="shared" si="65"/>
        <v>Knauf-Lorenz-Aspirot-Tardy</v>
      </c>
    </row>
    <row r="706" spans="1:18" x14ac:dyDescent="0.25">
      <c r="A706" s="1" t="s">
        <v>383</v>
      </c>
      <c r="B706" s="1">
        <v>1</v>
      </c>
      <c r="C706" s="1" t="s">
        <v>18</v>
      </c>
      <c r="D706" s="1">
        <v>1</v>
      </c>
      <c r="E706" s="1" t="s">
        <v>146</v>
      </c>
      <c r="F706" s="1">
        <v>16</v>
      </c>
      <c r="G706" s="1">
        <v>17</v>
      </c>
      <c r="H706" s="1" t="s">
        <v>194</v>
      </c>
      <c r="I706" s="1" t="s">
        <v>239</v>
      </c>
      <c r="J706" s="1" t="s">
        <v>393</v>
      </c>
      <c r="K706" s="1" t="s">
        <v>400</v>
      </c>
      <c r="L706" s="1" t="s">
        <v>354</v>
      </c>
      <c r="M706" t="str">
        <f t="shared" ref="M706:M769" si="66">_xlfn.TEXTBEFORE(I706,"/")</f>
        <v>F. Stadler</v>
      </c>
      <c r="N706" t="str">
        <f t="shared" ref="N706:N769" si="67">_xlfn.TEXTAFTER(I706,"/ ")</f>
        <v>J. Stadler</v>
      </c>
      <c r="O706" t="str">
        <f t="shared" ref="O706:O769" si="68">_xlfn.TEXTBEFORE(J706,"/")</f>
        <v>Fonseca</v>
      </c>
      <c r="P706" t="str">
        <f t="shared" ref="P706:P769" si="69">_xlfn.TEXTAFTER(J706,"/ ")</f>
        <v>J. Leung</v>
      </c>
      <c r="Q706">
        <f t="shared" ref="Q706:Q769" si="70">IF(F706&gt;G706,1,0)</f>
        <v>0</v>
      </c>
      <c r="R706" t="str">
        <f t="shared" ref="R706:R769" si="71">_xlfn.TEXTJOIN("-",TRUE,M706,N706,O706,P706)</f>
        <v>F. Stadler-J. Stadler-Fonseca-J. Leung</v>
      </c>
    </row>
    <row r="707" spans="1:18" x14ac:dyDescent="0.25">
      <c r="A707" s="1" t="s">
        <v>383</v>
      </c>
      <c r="B707" s="1">
        <v>1</v>
      </c>
      <c r="C707" s="1" t="s">
        <v>21</v>
      </c>
      <c r="D707" s="1">
        <v>1</v>
      </c>
      <c r="E707" s="1" t="s">
        <v>146</v>
      </c>
      <c r="F707" s="1">
        <v>13</v>
      </c>
      <c r="G707" s="1">
        <v>15</v>
      </c>
      <c r="H707" s="1" t="s">
        <v>194</v>
      </c>
      <c r="I707" s="1" t="s">
        <v>244</v>
      </c>
      <c r="J707" s="1" t="s">
        <v>276</v>
      </c>
      <c r="K707" s="1" t="s">
        <v>400</v>
      </c>
      <c r="L707" s="1" t="s">
        <v>354</v>
      </c>
      <c r="M707" t="str">
        <f t="shared" si="66"/>
        <v>Gulden</v>
      </c>
      <c r="N707" t="str">
        <f t="shared" si="67"/>
        <v>Haas</v>
      </c>
      <c r="O707" t="str">
        <f t="shared" si="68"/>
        <v>Vallee</v>
      </c>
      <c r="P707" t="str">
        <f t="shared" si="69"/>
        <v>Couroux</v>
      </c>
      <c r="Q707">
        <f t="shared" si="70"/>
        <v>0</v>
      </c>
      <c r="R707" t="str">
        <f t="shared" si="71"/>
        <v>Gulden-Haas-Vallee-Couroux</v>
      </c>
    </row>
    <row r="708" spans="1:18" x14ac:dyDescent="0.25">
      <c r="A708" s="1" t="s">
        <v>383</v>
      </c>
      <c r="B708" s="1">
        <v>1</v>
      </c>
      <c r="C708" s="1" t="s">
        <v>24</v>
      </c>
      <c r="D708" s="1">
        <v>1</v>
      </c>
      <c r="E708" s="1" t="s">
        <v>146</v>
      </c>
      <c r="F708" s="1">
        <v>15</v>
      </c>
      <c r="G708" s="1">
        <v>10</v>
      </c>
      <c r="H708" s="1" t="s">
        <v>194</v>
      </c>
      <c r="I708" s="1" t="s">
        <v>249</v>
      </c>
      <c r="J708" s="1" t="s">
        <v>279</v>
      </c>
      <c r="K708" s="1" t="s">
        <v>400</v>
      </c>
      <c r="L708" s="1" t="s">
        <v>354</v>
      </c>
      <c r="M708" t="str">
        <f t="shared" si="66"/>
        <v>Grob</v>
      </c>
      <c r="N708" t="str">
        <f t="shared" si="67"/>
        <v>Peusch</v>
      </c>
      <c r="O708" t="str">
        <f t="shared" si="68"/>
        <v>Boucher-Gratton</v>
      </c>
      <c r="P708" t="str">
        <f t="shared" si="69"/>
        <v>Cunningham</v>
      </c>
      <c r="Q708">
        <f t="shared" si="70"/>
        <v>1</v>
      </c>
      <c r="R708" t="str">
        <f t="shared" si="71"/>
        <v>Grob-Peusch-Boucher-Gratton-Cunningham</v>
      </c>
    </row>
    <row r="709" spans="1:18" x14ac:dyDescent="0.25">
      <c r="A709" s="1" t="s">
        <v>383</v>
      </c>
      <c r="B709" s="1">
        <v>1</v>
      </c>
      <c r="C709" s="1" t="s">
        <v>27</v>
      </c>
      <c r="D709" s="1">
        <v>1</v>
      </c>
      <c r="E709" s="1" t="s">
        <v>146</v>
      </c>
      <c r="F709" s="1">
        <v>15</v>
      </c>
      <c r="G709" s="1">
        <v>12</v>
      </c>
      <c r="H709" s="1" t="s">
        <v>194</v>
      </c>
      <c r="I709" s="1" t="s">
        <v>367</v>
      </c>
      <c r="J709" s="1" t="s">
        <v>282</v>
      </c>
      <c r="K709" s="1" t="s">
        <v>400</v>
      </c>
      <c r="L709" s="1" t="s">
        <v>354</v>
      </c>
      <c r="M709" t="str">
        <f t="shared" si="66"/>
        <v>K. Bauer</v>
      </c>
      <c r="N709" t="str">
        <f t="shared" si="67"/>
        <v>Walter</v>
      </c>
      <c r="O709" t="str">
        <f t="shared" si="68"/>
        <v>Yu</v>
      </c>
      <c r="P709" t="str">
        <f t="shared" si="69"/>
        <v>Diaz</v>
      </c>
      <c r="Q709">
        <f t="shared" si="70"/>
        <v>1</v>
      </c>
      <c r="R709" t="str">
        <f t="shared" si="71"/>
        <v>K. Bauer-Walter-Yu-Diaz</v>
      </c>
    </row>
    <row r="710" spans="1:18" x14ac:dyDescent="0.25">
      <c r="A710" s="1" t="s">
        <v>383</v>
      </c>
      <c r="B710" s="1">
        <v>1</v>
      </c>
      <c r="C710" s="1" t="s">
        <v>12</v>
      </c>
      <c r="D710" s="1">
        <v>1</v>
      </c>
      <c r="E710" s="1" t="s">
        <v>146</v>
      </c>
      <c r="F710" s="1">
        <v>15</v>
      </c>
      <c r="G710" s="1">
        <v>11</v>
      </c>
      <c r="H710" s="1" t="s">
        <v>195</v>
      </c>
      <c r="I710" s="1" t="s">
        <v>234</v>
      </c>
      <c r="J710" s="1" t="s">
        <v>230</v>
      </c>
      <c r="K710" s="1" t="s">
        <v>400</v>
      </c>
      <c r="L710" s="1" t="s">
        <v>354</v>
      </c>
      <c r="M710" t="str">
        <f t="shared" si="66"/>
        <v>Knauf</v>
      </c>
      <c r="N710" t="str">
        <f t="shared" si="67"/>
        <v>Lorenz</v>
      </c>
      <c r="O710" t="str">
        <f t="shared" si="68"/>
        <v>Hui</v>
      </c>
      <c r="P710" t="str">
        <f t="shared" si="69"/>
        <v>O. Jenki</v>
      </c>
      <c r="Q710">
        <f t="shared" si="70"/>
        <v>1</v>
      </c>
      <c r="R710" t="str">
        <f t="shared" si="71"/>
        <v>Knauf-Lorenz-Hui-O. Jenki</v>
      </c>
    </row>
    <row r="711" spans="1:18" x14ac:dyDescent="0.25">
      <c r="A711" s="1" t="s">
        <v>383</v>
      </c>
      <c r="B711" s="1">
        <v>1</v>
      </c>
      <c r="C711" s="1" t="s">
        <v>18</v>
      </c>
      <c r="D711" s="1">
        <v>1</v>
      </c>
      <c r="E711" s="1" t="s">
        <v>146</v>
      </c>
      <c r="F711" s="1">
        <v>15</v>
      </c>
      <c r="G711" s="1">
        <v>13</v>
      </c>
      <c r="H711" s="1" t="s">
        <v>195</v>
      </c>
      <c r="I711" s="1" t="s">
        <v>239</v>
      </c>
      <c r="J711" s="1" t="s">
        <v>235</v>
      </c>
      <c r="K711" s="1" t="s">
        <v>400</v>
      </c>
      <c r="L711" s="1" t="s">
        <v>354</v>
      </c>
      <c r="M711" t="str">
        <f t="shared" si="66"/>
        <v>F. Stadler</v>
      </c>
      <c r="N711" t="str">
        <f t="shared" si="67"/>
        <v>J. Stadler</v>
      </c>
      <c r="O711" t="str">
        <f t="shared" si="68"/>
        <v>Washburn</v>
      </c>
      <c r="P711" t="str">
        <f t="shared" si="69"/>
        <v>A. Jenki</v>
      </c>
      <c r="Q711">
        <f t="shared" si="70"/>
        <v>1</v>
      </c>
      <c r="R711" t="str">
        <f t="shared" si="71"/>
        <v>F. Stadler-J. Stadler-Washburn-A. Jenki</v>
      </c>
    </row>
    <row r="712" spans="1:18" x14ac:dyDescent="0.25">
      <c r="A712" s="1" t="s">
        <v>383</v>
      </c>
      <c r="B712" s="1">
        <v>1</v>
      </c>
      <c r="C712" s="1" t="s">
        <v>21</v>
      </c>
      <c r="D712" s="1">
        <v>1</v>
      </c>
      <c r="E712" s="1" t="s">
        <v>146</v>
      </c>
      <c r="F712" s="1">
        <v>10</v>
      </c>
      <c r="G712" s="1">
        <v>15</v>
      </c>
      <c r="H712" s="1" t="s">
        <v>195</v>
      </c>
      <c r="I712" s="1" t="s">
        <v>244</v>
      </c>
      <c r="J712" s="1" t="s">
        <v>240</v>
      </c>
      <c r="K712" s="1" t="s">
        <v>400</v>
      </c>
      <c r="L712" s="1" t="s">
        <v>354</v>
      </c>
      <c r="M712" t="str">
        <f t="shared" si="66"/>
        <v>Gulden</v>
      </c>
      <c r="N712" t="str">
        <f t="shared" si="67"/>
        <v>Haas</v>
      </c>
      <c r="O712" t="str">
        <f t="shared" si="68"/>
        <v>Morgan</v>
      </c>
      <c r="P712" t="str">
        <f t="shared" si="69"/>
        <v>Fleming</v>
      </c>
      <c r="Q712">
        <f t="shared" si="70"/>
        <v>0</v>
      </c>
      <c r="R712" t="str">
        <f t="shared" si="71"/>
        <v>Gulden-Haas-Morgan-Fleming</v>
      </c>
    </row>
    <row r="713" spans="1:18" x14ac:dyDescent="0.25">
      <c r="A713" s="1" t="s">
        <v>383</v>
      </c>
      <c r="B713" s="1">
        <v>1</v>
      </c>
      <c r="C713" s="1" t="s">
        <v>24</v>
      </c>
      <c r="D713" s="1">
        <v>1</v>
      </c>
      <c r="E713" s="1" t="s">
        <v>146</v>
      </c>
      <c r="F713" s="1">
        <v>10</v>
      </c>
      <c r="G713" s="1">
        <v>15</v>
      </c>
      <c r="H713" s="1" t="s">
        <v>195</v>
      </c>
      <c r="I713" s="1" t="s">
        <v>249</v>
      </c>
      <c r="J713" s="1" t="s">
        <v>245</v>
      </c>
      <c r="K713" s="1" t="s">
        <v>400</v>
      </c>
      <c r="L713" s="1" t="s">
        <v>354</v>
      </c>
      <c r="M713" t="str">
        <f t="shared" si="66"/>
        <v>Grob</v>
      </c>
      <c r="N713" t="str">
        <f t="shared" si="67"/>
        <v>Peusch</v>
      </c>
      <c r="O713" t="str">
        <f t="shared" si="68"/>
        <v>Pierson</v>
      </c>
      <c r="P713" t="str">
        <f t="shared" si="69"/>
        <v>Phan</v>
      </c>
      <c r="Q713">
        <f t="shared" si="70"/>
        <v>0</v>
      </c>
      <c r="R713" t="str">
        <f t="shared" si="71"/>
        <v>Grob-Peusch-Pierson-Phan</v>
      </c>
    </row>
    <row r="714" spans="1:18" x14ac:dyDescent="0.25">
      <c r="A714" s="1" t="s">
        <v>383</v>
      </c>
      <c r="B714" s="1">
        <v>1</v>
      </c>
      <c r="C714" s="1" t="s">
        <v>27</v>
      </c>
      <c r="D714" s="1">
        <v>1</v>
      </c>
      <c r="E714" s="1" t="s">
        <v>146</v>
      </c>
      <c r="F714" s="1">
        <v>12</v>
      </c>
      <c r="G714" s="1">
        <v>15</v>
      </c>
      <c r="H714" s="1" t="s">
        <v>195</v>
      </c>
      <c r="I714" s="1" t="s">
        <v>367</v>
      </c>
      <c r="J714" s="1" t="s">
        <v>250</v>
      </c>
      <c r="K714" s="1" t="s">
        <v>400</v>
      </c>
      <c r="L714" s="1" t="s">
        <v>354</v>
      </c>
      <c r="M714" t="str">
        <f t="shared" si="66"/>
        <v>K. Bauer</v>
      </c>
      <c r="N714" t="str">
        <f t="shared" si="67"/>
        <v>Walter</v>
      </c>
      <c r="O714" t="str">
        <f t="shared" si="68"/>
        <v>Timan</v>
      </c>
      <c r="P714" t="str">
        <f t="shared" si="69"/>
        <v>Allen</v>
      </c>
      <c r="Q714">
        <f t="shared" si="70"/>
        <v>0</v>
      </c>
      <c r="R714" t="str">
        <f t="shared" si="71"/>
        <v>K. Bauer-Walter-Timan-Allen</v>
      </c>
    </row>
    <row r="715" spans="1:18" x14ac:dyDescent="0.25">
      <c r="A715" s="1" t="s">
        <v>213</v>
      </c>
      <c r="B715" s="1">
        <v>111</v>
      </c>
      <c r="C715" s="1" t="s">
        <v>12</v>
      </c>
      <c r="D715" s="1">
        <v>1</v>
      </c>
      <c r="E715" s="1" t="s">
        <v>155</v>
      </c>
      <c r="F715" s="1">
        <v>1</v>
      </c>
      <c r="G715" s="1">
        <v>0</v>
      </c>
      <c r="H715" s="1" t="s">
        <v>69</v>
      </c>
      <c r="I715" s="1" t="s">
        <v>257</v>
      </c>
      <c r="J715" s="1" t="s">
        <v>310</v>
      </c>
      <c r="K715" s="1" t="s">
        <v>214</v>
      </c>
      <c r="L715" s="1" t="s">
        <v>354</v>
      </c>
      <c r="M715" t="str">
        <f t="shared" si="66"/>
        <v>Rossetto</v>
      </c>
      <c r="N715" t="str">
        <f t="shared" si="67"/>
        <v>Zanella</v>
      </c>
      <c r="O715" t="str">
        <f t="shared" si="68"/>
        <v>Ernestsone</v>
      </c>
      <c r="P715" t="str">
        <f t="shared" si="69"/>
        <v>Naumane</v>
      </c>
      <c r="Q715">
        <f t="shared" si="70"/>
        <v>1</v>
      </c>
      <c r="R715" t="str">
        <f t="shared" si="71"/>
        <v>Rossetto-Zanella-Ernestsone-Naumane</v>
      </c>
    </row>
    <row r="716" spans="1:18" x14ac:dyDescent="0.25">
      <c r="A716" s="1" t="s">
        <v>213</v>
      </c>
      <c r="B716" s="1">
        <v>112</v>
      </c>
      <c r="C716" s="1" t="s">
        <v>12</v>
      </c>
      <c r="D716" s="1">
        <v>2</v>
      </c>
      <c r="E716" s="1" t="s">
        <v>155</v>
      </c>
      <c r="F716" s="1">
        <v>1</v>
      </c>
      <c r="G716" s="1">
        <v>0</v>
      </c>
      <c r="H716" s="1" t="s">
        <v>69</v>
      </c>
      <c r="I716" s="1" t="s">
        <v>257</v>
      </c>
      <c r="J716" s="1" t="s">
        <v>310</v>
      </c>
      <c r="K716" s="1" t="s">
        <v>214</v>
      </c>
      <c r="L716" s="1" t="s">
        <v>354</v>
      </c>
      <c r="M716" t="str">
        <f t="shared" si="66"/>
        <v>Rossetto</v>
      </c>
      <c r="N716" t="str">
        <f t="shared" si="67"/>
        <v>Zanella</v>
      </c>
      <c r="O716" t="str">
        <f t="shared" si="68"/>
        <v>Ernestsone</v>
      </c>
      <c r="P716" t="str">
        <f t="shared" si="69"/>
        <v>Naumane</v>
      </c>
      <c r="Q716">
        <f t="shared" si="70"/>
        <v>1</v>
      </c>
      <c r="R716" t="str">
        <f t="shared" si="71"/>
        <v>Rossetto-Zanella-Ernestsone-Naumane</v>
      </c>
    </row>
    <row r="717" spans="1:18" x14ac:dyDescent="0.25">
      <c r="A717" s="1" t="s">
        <v>213</v>
      </c>
      <c r="B717" s="1">
        <v>114</v>
      </c>
      <c r="C717" s="1" t="s">
        <v>18</v>
      </c>
      <c r="D717" s="1">
        <v>1</v>
      </c>
      <c r="E717" s="1" t="s">
        <v>155</v>
      </c>
      <c r="F717" s="1">
        <v>15</v>
      </c>
      <c r="G717" s="1">
        <v>6</v>
      </c>
      <c r="H717" s="1" t="s">
        <v>69</v>
      </c>
      <c r="I717" s="1" t="s">
        <v>260</v>
      </c>
      <c r="J717" s="1" t="s">
        <v>311</v>
      </c>
      <c r="K717" s="1" t="s">
        <v>214</v>
      </c>
      <c r="L717" s="1" t="s">
        <v>354</v>
      </c>
      <c r="M717" t="str">
        <f t="shared" si="66"/>
        <v>Patat</v>
      </c>
      <c r="N717" t="str">
        <f t="shared" si="67"/>
        <v>Pernigo</v>
      </c>
      <c r="O717" t="str">
        <f t="shared" si="68"/>
        <v>Jansone</v>
      </c>
      <c r="P717" t="str">
        <f t="shared" si="69"/>
        <v>Smilga</v>
      </c>
      <c r="Q717">
        <f t="shared" si="70"/>
        <v>1</v>
      </c>
      <c r="R717" t="str">
        <f t="shared" si="71"/>
        <v>Patat-Pernigo-Jansone-Smilga</v>
      </c>
    </row>
    <row r="718" spans="1:18" x14ac:dyDescent="0.25">
      <c r="A718" s="1" t="s">
        <v>213</v>
      </c>
      <c r="B718" s="1">
        <v>115</v>
      </c>
      <c r="C718" s="1" t="s">
        <v>18</v>
      </c>
      <c r="D718" s="1">
        <v>2</v>
      </c>
      <c r="E718" s="1" t="s">
        <v>155</v>
      </c>
      <c r="F718" s="1">
        <v>15</v>
      </c>
      <c r="G718" s="1">
        <v>10</v>
      </c>
      <c r="H718" s="1" t="s">
        <v>69</v>
      </c>
      <c r="I718" s="1" t="s">
        <v>260</v>
      </c>
      <c r="J718" s="1" t="s">
        <v>311</v>
      </c>
      <c r="K718" s="1" t="s">
        <v>214</v>
      </c>
      <c r="L718" s="1" t="s">
        <v>354</v>
      </c>
      <c r="M718" t="str">
        <f t="shared" si="66"/>
        <v>Patat</v>
      </c>
      <c r="N718" t="str">
        <f t="shared" si="67"/>
        <v>Pernigo</v>
      </c>
      <c r="O718" t="str">
        <f t="shared" si="68"/>
        <v>Jansone</v>
      </c>
      <c r="P718" t="str">
        <f t="shared" si="69"/>
        <v>Smilga</v>
      </c>
      <c r="Q718">
        <f t="shared" si="70"/>
        <v>1</v>
      </c>
      <c r="R718" t="str">
        <f t="shared" si="71"/>
        <v>Patat-Pernigo-Jansone-Smilga</v>
      </c>
    </row>
    <row r="719" spans="1:18" x14ac:dyDescent="0.25">
      <c r="A719" s="1" t="s">
        <v>213</v>
      </c>
      <c r="B719" s="1">
        <v>117</v>
      </c>
      <c r="C719" s="1" t="s">
        <v>21</v>
      </c>
      <c r="D719" s="1">
        <v>1</v>
      </c>
      <c r="E719" s="1" t="s">
        <v>155</v>
      </c>
      <c r="F719" s="1">
        <v>1</v>
      </c>
      <c r="G719" s="1">
        <v>0</v>
      </c>
      <c r="H719" s="1" t="s">
        <v>69</v>
      </c>
      <c r="I719" s="1" t="s">
        <v>263</v>
      </c>
      <c r="J719" s="1" t="s">
        <v>312</v>
      </c>
      <c r="K719" s="1" t="s">
        <v>214</v>
      </c>
      <c r="L719" s="1" t="s">
        <v>354</v>
      </c>
      <c r="M719" t="str">
        <f t="shared" si="66"/>
        <v>Augello</v>
      </c>
      <c r="N719" t="str">
        <f t="shared" si="67"/>
        <v>Del Pioluogo</v>
      </c>
      <c r="O719" t="str">
        <f t="shared" si="68"/>
        <v>Brauna</v>
      </c>
      <c r="P719" t="str">
        <f t="shared" si="69"/>
        <v>Ivanova</v>
      </c>
      <c r="Q719">
        <f t="shared" si="70"/>
        <v>1</v>
      </c>
      <c r="R719" t="str">
        <f t="shared" si="71"/>
        <v>Augello-Del Pioluogo-Brauna-Ivanova</v>
      </c>
    </row>
    <row r="720" spans="1:18" x14ac:dyDescent="0.25">
      <c r="A720" s="1" t="s">
        <v>213</v>
      </c>
      <c r="B720" s="1">
        <v>118</v>
      </c>
      <c r="C720" s="1" t="s">
        <v>21</v>
      </c>
      <c r="D720" s="1">
        <v>2</v>
      </c>
      <c r="E720" s="1" t="s">
        <v>155</v>
      </c>
      <c r="F720" s="1">
        <v>1</v>
      </c>
      <c r="G720" s="1">
        <v>0</v>
      </c>
      <c r="H720" s="1" t="s">
        <v>69</v>
      </c>
      <c r="I720" s="1" t="s">
        <v>263</v>
      </c>
      <c r="J720" s="1" t="s">
        <v>312</v>
      </c>
      <c r="K720" s="1" t="s">
        <v>214</v>
      </c>
      <c r="L720" s="1" t="s">
        <v>354</v>
      </c>
      <c r="M720" t="str">
        <f t="shared" si="66"/>
        <v>Augello</v>
      </c>
      <c r="N720" t="str">
        <f t="shared" si="67"/>
        <v>Del Pioluogo</v>
      </c>
      <c r="O720" t="str">
        <f t="shared" si="68"/>
        <v>Brauna</v>
      </c>
      <c r="P720" t="str">
        <f t="shared" si="69"/>
        <v>Ivanova</v>
      </c>
      <c r="Q720">
        <f t="shared" si="70"/>
        <v>1</v>
      </c>
      <c r="R720" t="str">
        <f t="shared" si="71"/>
        <v>Augello-Del Pioluogo-Brauna-Ivanova</v>
      </c>
    </row>
    <row r="721" spans="1:18" x14ac:dyDescent="0.25">
      <c r="A721" s="1" t="s">
        <v>213</v>
      </c>
      <c r="B721" s="1">
        <v>129</v>
      </c>
      <c r="C721" s="1" t="s">
        <v>12</v>
      </c>
      <c r="D721" s="1">
        <v>1</v>
      </c>
      <c r="E721" s="1" t="s">
        <v>30</v>
      </c>
      <c r="F721" s="1">
        <v>15</v>
      </c>
      <c r="G721" s="1">
        <v>4</v>
      </c>
      <c r="H721" s="1" t="s">
        <v>108</v>
      </c>
      <c r="I721" s="1" t="s">
        <v>233</v>
      </c>
      <c r="J721" s="1" t="s">
        <v>313</v>
      </c>
      <c r="K721" s="1" t="s">
        <v>214</v>
      </c>
      <c r="L721" s="1" t="s">
        <v>354</v>
      </c>
      <c r="M721" t="str">
        <f t="shared" si="66"/>
        <v>Vandersype</v>
      </c>
      <c r="N721" t="str">
        <f t="shared" si="67"/>
        <v>D'hoore</v>
      </c>
      <c r="O721" t="str">
        <f t="shared" si="68"/>
        <v>Figueroa</v>
      </c>
      <c r="P721" t="str">
        <f t="shared" si="69"/>
        <v>Vega</v>
      </c>
      <c r="Q721">
        <f t="shared" si="70"/>
        <v>1</v>
      </c>
      <c r="R721" t="str">
        <f t="shared" si="71"/>
        <v>Vandersype-D'hoore-Figueroa-Vega</v>
      </c>
    </row>
    <row r="722" spans="1:18" x14ac:dyDescent="0.25">
      <c r="A722" s="1" t="s">
        <v>213</v>
      </c>
      <c r="B722" s="1">
        <v>130</v>
      </c>
      <c r="C722" s="1" t="s">
        <v>12</v>
      </c>
      <c r="D722" s="1">
        <v>2</v>
      </c>
      <c r="E722" s="1" t="s">
        <v>30</v>
      </c>
      <c r="F722" s="1">
        <v>15</v>
      </c>
      <c r="G722" s="1">
        <v>3</v>
      </c>
      <c r="H722" s="1" t="s">
        <v>108</v>
      </c>
      <c r="I722" s="1" t="s">
        <v>233</v>
      </c>
      <c r="J722" s="1" t="s">
        <v>313</v>
      </c>
      <c r="K722" s="1" t="s">
        <v>214</v>
      </c>
      <c r="L722" s="1" t="s">
        <v>354</v>
      </c>
      <c r="M722" t="str">
        <f t="shared" si="66"/>
        <v>Vandersype</v>
      </c>
      <c r="N722" t="str">
        <f t="shared" si="67"/>
        <v>D'hoore</v>
      </c>
      <c r="O722" t="str">
        <f t="shared" si="68"/>
        <v>Figueroa</v>
      </c>
      <c r="P722" t="str">
        <f t="shared" si="69"/>
        <v>Vega</v>
      </c>
      <c r="Q722">
        <f t="shared" si="70"/>
        <v>1</v>
      </c>
      <c r="R722" t="str">
        <f t="shared" si="71"/>
        <v>Vandersype-D'hoore-Figueroa-Vega</v>
      </c>
    </row>
    <row r="723" spans="1:18" x14ac:dyDescent="0.25">
      <c r="A723" s="1" t="s">
        <v>213</v>
      </c>
      <c r="B723" s="1">
        <v>132</v>
      </c>
      <c r="C723" s="1" t="s">
        <v>18</v>
      </c>
      <c r="D723" s="1">
        <v>1</v>
      </c>
      <c r="E723" s="1" t="s">
        <v>30</v>
      </c>
      <c r="F723" s="1">
        <v>15</v>
      </c>
      <c r="G723" s="1">
        <v>5</v>
      </c>
      <c r="H723" s="1" t="s">
        <v>108</v>
      </c>
      <c r="I723" s="1" t="s">
        <v>238</v>
      </c>
      <c r="J723" s="1" t="s">
        <v>314</v>
      </c>
      <c r="K723" s="1" t="s">
        <v>214</v>
      </c>
      <c r="L723" s="1" t="s">
        <v>354</v>
      </c>
      <c r="M723" t="str">
        <f t="shared" si="66"/>
        <v>Vankemenade</v>
      </c>
      <c r="N723" t="str">
        <f t="shared" si="67"/>
        <v>Teisseyre</v>
      </c>
      <c r="O723" t="str">
        <f t="shared" si="68"/>
        <v>García</v>
      </c>
      <c r="P723" t="str">
        <f t="shared" si="69"/>
        <v>Eberhardt</v>
      </c>
      <c r="Q723">
        <f t="shared" si="70"/>
        <v>1</v>
      </c>
      <c r="R723" t="str">
        <f t="shared" si="71"/>
        <v>Vankemenade-Teisseyre-García-Eberhardt</v>
      </c>
    </row>
    <row r="724" spans="1:18" x14ac:dyDescent="0.25">
      <c r="A724" s="1" t="s">
        <v>213</v>
      </c>
      <c r="B724" s="1">
        <v>133</v>
      </c>
      <c r="C724" s="1" t="s">
        <v>18</v>
      </c>
      <c r="D724" s="1">
        <v>2</v>
      </c>
      <c r="E724" s="1" t="s">
        <v>30</v>
      </c>
      <c r="F724" s="1">
        <v>15</v>
      </c>
      <c r="G724" s="1">
        <v>13</v>
      </c>
      <c r="H724" s="1" t="s">
        <v>108</v>
      </c>
      <c r="I724" s="1" t="s">
        <v>238</v>
      </c>
      <c r="J724" s="1" t="s">
        <v>314</v>
      </c>
      <c r="K724" s="1" t="s">
        <v>214</v>
      </c>
      <c r="L724" s="1" t="s">
        <v>354</v>
      </c>
      <c r="M724" t="str">
        <f t="shared" si="66"/>
        <v>Vankemenade</v>
      </c>
      <c r="N724" t="str">
        <f t="shared" si="67"/>
        <v>Teisseyre</v>
      </c>
      <c r="O724" t="str">
        <f t="shared" si="68"/>
        <v>García</v>
      </c>
      <c r="P724" t="str">
        <f t="shared" si="69"/>
        <v>Eberhardt</v>
      </c>
      <c r="Q724">
        <f t="shared" si="70"/>
        <v>1</v>
      </c>
      <c r="R724" t="str">
        <f t="shared" si="71"/>
        <v>Vankemenade-Teisseyre-García-Eberhardt</v>
      </c>
    </row>
    <row r="725" spans="1:18" x14ac:dyDescent="0.25">
      <c r="A725" s="1" t="s">
        <v>213</v>
      </c>
      <c r="B725" s="1">
        <v>135</v>
      </c>
      <c r="C725" s="1" t="s">
        <v>21</v>
      </c>
      <c r="D725" s="1">
        <v>1</v>
      </c>
      <c r="E725" s="1" t="s">
        <v>30</v>
      </c>
      <c r="F725" s="1">
        <v>15</v>
      </c>
      <c r="G725" s="1">
        <v>4</v>
      </c>
      <c r="H725" s="1" t="s">
        <v>108</v>
      </c>
      <c r="I725" s="1" t="s">
        <v>243</v>
      </c>
      <c r="J725" s="1" t="s">
        <v>315</v>
      </c>
      <c r="K725" s="1" t="s">
        <v>214</v>
      </c>
      <c r="L725" s="1" t="s">
        <v>354</v>
      </c>
      <c r="M725" t="str">
        <f t="shared" si="66"/>
        <v>Delbecke</v>
      </c>
      <c r="N725" t="str">
        <f t="shared" si="67"/>
        <v>Van der Stichelen</v>
      </c>
      <c r="O725" t="str">
        <f t="shared" si="68"/>
        <v>Regalado</v>
      </c>
      <c r="P725" t="str">
        <f t="shared" si="69"/>
        <v>Lara</v>
      </c>
      <c r="Q725">
        <f t="shared" si="70"/>
        <v>1</v>
      </c>
      <c r="R725" t="str">
        <f t="shared" si="71"/>
        <v>Delbecke-Van der Stichelen-Regalado-Lara</v>
      </c>
    </row>
    <row r="726" spans="1:18" x14ac:dyDescent="0.25">
      <c r="A726" s="1" t="s">
        <v>213</v>
      </c>
      <c r="B726" s="1">
        <v>136</v>
      </c>
      <c r="C726" s="1" t="s">
        <v>21</v>
      </c>
      <c r="D726" s="1">
        <v>2</v>
      </c>
      <c r="E726" s="1" t="s">
        <v>30</v>
      </c>
      <c r="F726" s="1">
        <v>15</v>
      </c>
      <c r="G726" s="1">
        <v>4</v>
      </c>
      <c r="H726" s="1" t="s">
        <v>108</v>
      </c>
      <c r="I726" s="1" t="s">
        <v>243</v>
      </c>
      <c r="J726" s="1" t="s">
        <v>315</v>
      </c>
      <c r="K726" s="1" t="s">
        <v>214</v>
      </c>
      <c r="L726" s="1" t="s">
        <v>354</v>
      </c>
      <c r="M726" t="str">
        <f t="shared" si="66"/>
        <v>Delbecke</v>
      </c>
      <c r="N726" t="str">
        <f t="shared" si="67"/>
        <v>Van der Stichelen</v>
      </c>
      <c r="O726" t="str">
        <f t="shared" si="68"/>
        <v>Regalado</v>
      </c>
      <c r="P726" t="str">
        <f t="shared" si="69"/>
        <v>Lara</v>
      </c>
      <c r="Q726">
        <f t="shared" si="70"/>
        <v>1</v>
      </c>
      <c r="R726" t="str">
        <f t="shared" si="71"/>
        <v>Delbecke-Van der Stichelen-Regalado-Lara</v>
      </c>
    </row>
    <row r="727" spans="1:18" x14ac:dyDescent="0.25">
      <c r="A727" s="1" t="s">
        <v>213</v>
      </c>
      <c r="B727" s="1">
        <v>147</v>
      </c>
      <c r="C727" s="1" t="s">
        <v>12</v>
      </c>
      <c r="D727" s="1">
        <v>1</v>
      </c>
      <c r="E727" s="1" t="s">
        <v>31</v>
      </c>
      <c r="F727" s="1">
        <v>15</v>
      </c>
      <c r="G727" s="1">
        <v>8</v>
      </c>
      <c r="H727" s="1" t="s">
        <v>134</v>
      </c>
      <c r="I727" s="1" t="s">
        <v>421</v>
      </c>
      <c r="J727" s="1" t="s">
        <v>389</v>
      </c>
      <c r="K727" s="1" t="s">
        <v>214</v>
      </c>
      <c r="L727" s="1" t="s">
        <v>354</v>
      </c>
      <c r="M727" t="str">
        <f t="shared" si="66"/>
        <v>A. Chang</v>
      </c>
      <c r="N727" t="str">
        <f t="shared" si="67"/>
        <v>S. Ding</v>
      </c>
      <c r="O727" t="str">
        <f t="shared" si="68"/>
        <v>C. Chan</v>
      </c>
      <c r="P727" t="str">
        <f t="shared" si="69"/>
        <v>Tang</v>
      </c>
      <c r="Q727">
        <f t="shared" si="70"/>
        <v>1</v>
      </c>
      <c r="R727" t="str">
        <f t="shared" si="71"/>
        <v>A. Chang-S. Ding-C. Chan-Tang</v>
      </c>
    </row>
    <row r="728" spans="1:18" x14ac:dyDescent="0.25">
      <c r="A728" s="1" t="s">
        <v>213</v>
      </c>
      <c r="B728" s="1">
        <v>148</v>
      </c>
      <c r="C728" s="1" t="s">
        <v>12</v>
      </c>
      <c r="D728" s="1">
        <v>2</v>
      </c>
      <c r="E728" s="1" t="s">
        <v>31</v>
      </c>
      <c r="F728" s="1">
        <v>15</v>
      </c>
      <c r="G728" s="1">
        <v>7</v>
      </c>
      <c r="H728" s="1" t="s">
        <v>134</v>
      </c>
      <c r="I728" s="1" t="s">
        <v>421</v>
      </c>
      <c r="J728" s="1" t="s">
        <v>389</v>
      </c>
      <c r="K728" s="1" t="s">
        <v>214</v>
      </c>
      <c r="L728" s="1" t="s">
        <v>354</v>
      </c>
      <c r="M728" t="str">
        <f t="shared" si="66"/>
        <v>A. Chang</v>
      </c>
      <c r="N728" t="str">
        <f t="shared" si="67"/>
        <v>S. Ding</v>
      </c>
      <c r="O728" t="str">
        <f t="shared" si="68"/>
        <v>C. Chan</v>
      </c>
      <c r="P728" t="str">
        <f t="shared" si="69"/>
        <v>Tang</v>
      </c>
      <c r="Q728">
        <f t="shared" si="70"/>
        <v>1</v>
      </c>
      <c r="R728" t="str">
        <f t="shared" si="71"/>
        <v>A. Chang-S. Ding-C. Chan-Tang</v>
      </c>
    </row>
    <row r="729" spans="1:18" x14ac:dyDescent="0.25">
      <c r="A729" s="1" t="s">
        <v>213</v>
      </c>
      <c r="B729" s="1">
        <v>150</v>
      </c>
      <c r="C729" s="1" t="s">
        <v>18</v>
      </c>
      <c r="D729" s="1">
        <v>1</v>
      </c>
      <c r="E729" s="1" t="s">
        <v>31</v>
      </c>
      <c r="F729" s="1">
        <v>15</v>
      </c>
      <c r="G729" s="1">
        <v>4</v>
      </c>
      <c r="H729" s="1" t="s">
        <v>134</v>
      </c>
      <c r="I729" s="1" t="s">
        <v>292</v>
      </c>
      <c r="J729" s="1" t="s">
        <v>388</v>
      </c>
      <c r="K729" s="1" t="s">
        <v>214</v>
      </c>
      <c r="L729" s="1" t="s">
        <v>354</v>
      </c>
      <c r="M729" t="str">
        <f t="shared" si="66"/>
        <v>Yang</v>
      </c>
      <c r="N729" t="str">
        <f t="shared" si="67"/>
        <v>T. Ding</v>
      </c>
      <c r="O729" t="str">
        <f t="shared" si="68"/>
        <v>R. Chan</v>
      </c>
      <c r="P729" t="str">
        <f t="shared" si="69"/>
        <v>Law</v>
      </c>
      <c r="Q729">
        <f t="shared" si="70"/>
        <v>1</v>
      </c>
      <c r="R729" t="str">
        <f t="shared" si="71"/>
        <v>Yang-T. Ding-R. Chan-Law</v>
      </c>
    </row>
    <row r="730" spans="1:18" x14ac:dyDescent="0.25">
      <c r="A730" s="1" t="s">
        <v>213</v>
      </c>
      <c r="B730" s="1">
        <v>151</v>
      </c>
      <c r="C730" s="1" t="s">
        <v>18</v>
      </c>
      <c r="D730" s="1">
        <v>2</v>
      </c>
      <c r="E730" s="1" t="s">
        <v>31</v>
      </c>
      <c r="F730" s="1">
        <v>15</v>
      </c>
      <c r="G730" s="1">
        <v>7</v>
      </c>
      <c r="H730" s="1" t="s">
        <v>134</v>
      </c>
      <c r="I730" s="1" t="s">
        <v>292</v>
      </c>
      <c r="J730" s="1" t="s">
        <v>388</v>
      </c>
      <c r="K730" s="1" t="s">
        <v>214</v>
      </c>
      <c r="L730" s="1" t="s">
        <v>354</v>
      </c>
      <c r="M730" t="str">
        <f t="shared" si="66"/>
        <v>Yang</v>
      </c>
      <c r="N730" t="str">
        <f t="shared" si="67"/>
        <v>T. Ding</v>
      </c>
      <c r="O730" t="str">
        <f t="shared" si="68"/>
        <v>R. Chan</v>
      </c>
      <c r="P730" t="str">
        <f t="shared" si="69"/>
        <v>Law</v>
      </c>
      <c r="Q730">
        <f t="shared" si="70"/>
        <v>1</v>
      </c>
      <c r="R730" t="str">
        <f t="shared" si="71"/>
        <v>Yang-T. Ding-R. Chan-Law</v>
      </c>
    </row>
    <row r="731" spans="1:18" x14ac:dyDescent="0.25">
      <c r="A731" s="1" t="s">
        <v>213</v>
      </c>
      <c r="B731" s="1">
        <v>153</v>
      </c>
      <c r="C731" s="1" t="s">
        <v>21</v>
      </c>
      <c r="D731" s="1">
        <v>1</v>
      </c>
      <c r="E731" s="1" t="s">
        <v>31</v>
      </c>
      <c r="F731" s="1">
        <v>15</v>
      </c>
      <c r="G731" s="1">
        <v>13</v>
      </c>
      <c r="H731" s="1" t="s">
        <v>134</v>
      </c>
      <c r="I731" s="1" t="s">
        <v>406</v>
      </c>
      <c r="J731" s="1" t="s">
        <v>390</v>
      </c>
      <c r="K731" s="1" t="s">
        <v>214</v>
      </c>
      <c r="L731" s="1" t="s">
        <v>354</v>
      </c>
      <c r="M731" t="str">
        <f t="shared" si="66"/>
        <v>Lu</v>
      </c>
      <c r="N731" t="str">
        <f t="shared" si="67"/>
        <v>Jer. Lee</v>
      </c>
      <c r="O731" t="str">
        <f t="shared" si="68"/>
        <v>Zhu</v>
      </c>
      <c r="P731" t="str">
        <f t="shared" si="69"/>
        <v>M. Chan</v>
      </c>
      <c r="Q731">
        <f t="shared" si="70"/>
        <v>1</v>
      </c>
      <c r="R731" t="str">
        <f t="shared" si="71"/>
        <v>Lu-Jer. Lee-Zhu-M. Chan</v>
      </c>
    </row>
    <row r="732" spans="1:18" x14ac:dyDescent="0.25">
      <c r="A732" s="1" t="s">
        <v>213</v>
      </c>
      <c r="B732" s="1">
        <v>154</v>
      </c>
      <c r="C732" s="1" t="s">
        <v>21</v>
      </c>
      <c r="D732" s="1">
        <v>2</v>
      </c>
      <c r="E732" s="1" t="s">
        <v>31</v>
      </c>
      <c r="F732" s="1">
        <v>15</v>
      </c>
      <c r="G732" s="1">
        <v>7</v>
      </c>
      <c r="H732" s="1" t="s">
        <v>134</v>
      </c>
      <c r="I732" s="1" t="s">
        <v>406</v>
      </c>
      <c r="J732" s="1" t="s">
        <v>390</v>
      </c>
      <c r="K732" s="1" t="s">
        <v>214</v>
      </c>
      <c r="L732" s="1" t="s">
        <v>354</v>
      </c>
      <c r="M732" t="str">
        <f t="shared" si="66"/>
        <v>Lu</v>
      </c>
      <c r="N732" t="str">
        <f t="shared" si="67"/>
        <v>Jer. Lee</v>
      </c>
      <c r="O732" t="str">
        <f t="shared" si="68"/>
        <v>Zhu</v>
      </c>
      <c r="P732" t="str">
        <f t="shared" si="69"/>
        <v>M. Chan</v>
      </c>
      <c r="Q732">
        <f t="shared" si="70"/>
        <v>1</v>
      </c>
      <c r="R732" t="str">
        <f t="shared" si="71"/>
        <v>Lu-Jer. Lee-Zhu-M. Chan</v>
      </c>
    </row>
    <row r="733" spans="1:18" x14ac:dyDescent="0.25">
      <c r="A733" s="1" t="s">
        <v>213</v>
      </c>
      <c r="B733" s="1">
        <v>156</v>
      </c>
      <c r="C733" s="1" t="s">
        <v>24</v>
      </c>
      <c r="D733" s="1">
        <v>1</v>
      </c>
      <c r="E733" s="1" t="s">
        <v>31</v>
      </c>
      <c r="F733" s="1">
        <v>15</v>
      </c>
      <c r="G733" s="1">
        <v>2</v>
      </c>
      <c r="H733" s="1" t="s">
        <v>134</v>
      </c>
      <c r="I733" s="1" t="s">
        <v>414</v>
      </c>
      <c r="J733" s="1" t="s">
        <v>391</v>
      </c>
      <c r="K733" s="1" t="s">
        <v>214</v>
      </c>
      <c r="L733" s="1" t="s">
        <v>354</v>
      </c>
      <c r="M733" t="str">
        <f t="shared" si="66"/>
        <v>P. Kuo</v>
      </c>
      <c r="N733" t="str">
        <f t="shared" si="67"/>
        <v>Mic. Chen</v>
      </c>
      <c r="O733" t="str">
        <f t="shared" si="68"/>
        <v>Mak</v>
      </c>
      <c r="P733" t="str">
        <f t="shared" si="69"/>
        <v>H. Chan</v>
      </c>
      <c r="Q733">
        <f t="shared" si="70"/>
        <v>1</v>
      </c>
      <c r="R733" t="str">
        <f t="shared" si="71"/>
        <v>P. Kuo-Mic. Chen-Mak-H. Chan</v>
      </c>
    </row>
    <row r="734" spans="1:18" x14ac:dyDescent="0.25">
      <c r="A734" s="1" t="s">
        <v>213</v>
      </c>
      <c r="B734" s="1">
        <v>157</v>
      </c>
      <c r="C734" s="1" t="s">
        <v>24</v>
      </c>
      <c r="D734" s="1">
        <v>2</v>
      </c>
      <c r="E734" s="1" t="s">
        <v>31</v>
      </c>
      <c r="F734" s="1">
        <v>15</v>
      </c>
      <c r="G734" s="1">
        <v>1</v>
      </c>
      <c r="H734" s="1" t="s">
        <v>134</v>
      </c>
      <c r="I734" s="1" t="s">
        <v>414</v>
      </c>
      <c r="J734" s="1" t="s">
        <v>391</v>
      </c>
      <c r="K734" s="1" t="s">
        <v>214</v>
      </c>
      <c r="L734" s="1" t="s">
        <v>354</v>
      </c>
      <c r="M734" t="str">
        <f t="shared" si="66"/>
        <v>P. Kuo</v>
      </c>
      <c r="N734" t="str">
        <f t="shared" si="67"/>
        <v>Mic. Chen</v>
      </c>
      <c r="O734" t="str">
        <f t="shared" si="68"/>
        <v>Mak</v>
      </c>
      <c r="P734" t="str">
        <f t="shared" si="69"/>
        <v>H. Chan</v>
      </c>
      <c r="Q734">
        <f t="shared" si="70"/>
        <v>1</v>
      </c>
      <c r="R734" t="str">
        <f t="shared" si="71"/>
        <v>P. Kuo-Mic. Chen-Mak-H. Chan</v>
      </c>
    </row>
    <row r="735" spans="1:18" x14ac:dyDescent="0.25">
      <c r="A735" s="1" t="s">
        <v>213</v>
      </c>
      <c r="B735" s="1">
        <v>165</v>
      </c>
      <c r="C735" s="1" t="s">
        <v>12</v>
      </c>
      <c r="D735" s="1">
        <v>1</v>
      </c>
      <c r="E735" s="1" t="s">
        <v>57</v>
      </c>
      <c r="F735" s="1">
        <v>15</v>
      </c>
      <c r="G735" s="1">
        <v>11</v>
      </c>
      <c r="H735" s="1" t="s">
        <v>83</v>
      </c>
      <c r="I735" s="1" t="s">
        <v>301</v>
      </c>
      <c r="J735" s="1" t="s">
        <v>336</v>
      </c>
      <c r="K735" s="1" t="s">
        <v>214</v>
      </c>
      <c r="L735" s="1" t="s">
        <v>354</v>
      </c>
      <c r="M735" t="str">
        <f t="shared" si="66"/>
        <v>Labonc</v>
      </c>
      <c r="N735" t="str">
        <f t="shared" si="67"/>
        <v>Sencovici</v>
      </c>
      <c r="O735" t="str">
        <f t="shared" si="68"/>
        <v>Due-Tønnessen</v>
      </c>
      <c r="P735" t="str">
        <f t="shared" si="69"/>
        <v>Espevik</v>
      </c>
      <c r="Q735">
        <f t="shared" si="70"/>
        <v>1</v>
      </c>
      <c r="R735" t="str">
        <f t="shared" si="71"/>
        <v>Labonc-Sencovici-Due-Tønnessen-Espevik</v>
      </c>
    </row>
    <row r="736" spans="1:18" x14ac:dyDescent="0.25">
      <c r="A736" s="1" t="s">
        <v>213</v>
      </c>
      <c r="B736" s="1">
        <v>166</v>
      </c>
      <c r="C736" s="1" t="s">
        <v>12</v>
      </c>
      <c r="D736" s="1">
        <v>2</v>
      </c>
      <c r="E736" s="1" t="s">
        <v>57</v>
      </c>
      <c r="F736" s="1">
        <v>12</v>
      </c>
      <c r="G736" s="1">
        <v>7</v>
      </c>
      <c r="H736" s="1" t="s">
        <v>83</v>
      </c>
      <c r="I736" s="1" t="s">
        <v>301</v>
      </c>
      <c r="J736" s="1" t="s">
        <v>336</v>
      </c>
      <c r="K736" s="1" t="s">
        <v>214</v>
      </c>
      <c r="L736" s="1" t="s">
        <v>354</v>
      </c>
      <c r="M736" t="str">
        <f t="shared" si="66"/>
        <v>Labonc</v>
      </c>
      <c r="N736" t="str">
        <f t="shared" si="67"/>
        <v>Sencovici</v>
      </c>
      <c r="O736" t="str">
        <f t="shared" si="68"/>
        <v>Due-Tønnessen</v>
      </c>
      <c r="P736" t="str">
        <f t="shared" si="69"/>
        <v>Espevik</v>
      </c>
      <c r="Q736">
        <f t="shared" si="70"/>
        <v>1</v>
      </c>
      <c r="R736" t="str">
        <f t="shared" si="71"/>
        <v>Labonc-Sencovici-Due-Tønnessen-Espevik</v>
      </c>
    </row>
    <row r="737" spans="1:18" x14ac:dyDescent="0.25">
      <c r="A737" s="1" t="s">
        <v>213</v>
      </c>
      <c r="B737" s="1">
        <v>168</v>
      </c>
      <c r="C737" s="1" t="s">
        <v>18</v>
      </c>
      <c r="D737" s="1">
        <v>1</v>
      </c>
      <c r="E737" s="1" t="s">
        <v>57</v>
      </c>
      <c r="F737" s="1">
        <v>15</v>
      </c>
      <c r="G737" s="1">
        <v>8</v>
      </c>
      <c r="H737" s="1" t="s">
        <v>83</v>
      </c>
      <c r="I737" s="1" t="s">
        <v>303</v>
      </c>
      <c r="J737" s="1" t="s">
        <v>418</v>
      </c>
      <c r="K737" s="1" t="s">
        <v>214</v>
      </c>
      <c r="L737" s="1" t="s">
        <v>354</v>
      </c>
      <c r="M737" t="str">
        <f t="shared" si="66"/>
        <v>Pîrlea</v>
      </c>
      <c r="N737" t="str">
        <f t="shared" si="67"/>
        <v>Tărășilă</v>
      </c>
      <c r="O737" t="str">
        <f t="shared" si="68"/>
        <v>Olsen</v>
      </c>
      <c r="P737" t="str">
        <f t="shared" si="69"/>
        <v>S. Modalsli</v>
      </c>
      <c r="Q737">
        <f t="shared" si="70"/>
        <v>1</v>
      </c>
      <c r="R737" t="str">
        <f t="shared" si="71"/>
        <v>Pîrlea-Tărășilă-Olsen-S. Modalsli</v>
      </c>
    </row>
    <row r="738" spans="1:18" x14ac:dyDescent="0.25">
      <c r="A738" s="1" t="s">
        <v>213</v>
      </c>
      <c r="B738" s="1">
        <v>169</v>
      </c>
      <c r="C738" s="1" t="s">
        <v>18</v>
      </c>
      <c r="D738" s="1">
        <v>2</v>
      </c>
      <c r="E738" s="1" t="s">
        <v>57</v>
      </c>
      <c r="F738" s="1">
        <v>15</v>
      </c>
      <c r="G738" s="1">
        <v>6</v>
      </c>
      <c r="H738" s="1" t="s">
        <v>83</v>
      </c>
      <c r="I738" s="1" t="s">
        <v>303</v>
      </c>
      <c r="J738" s="1" t="s">
        <v>418</v>
      </c>
      <c r="K738" s="1" t="s">
        <v>214</v>
      </c>
      <c r="L738" s="1" t="s">
        <v>354</v>
      </c>
      <c r="M738" t="str">
        <f t="shared" si="66"/>
        <v>Pîrlea</v>
      </c>
      <c r="N738" t="str">
        <f t="shared" si="67"/>
        <v>Tărășilă</v>
      </c>
      <c r="O738" t="str">
        <f t="shared" si="68"/>
        <v>Olsen</v>
      </c>
      <c r="P738" t="str">
        <f t="shared" si="69"/>
        <v>S. Modalsli</v>
      </c>
      <c r="Q738">
        <f t="shared" si="70"/>
        <v>1</v>
      </c>
      <c r="R738" t="str">
        <f t="shared" si="71"/>
        <v>Pîrlea-Tărășilă-Olsen-S. Modalsli</v>
      </c>
    </row>
    <row r="739" spans="1:18" x14ac:dyDescent="0.25">
      <c r="A739" s="1" t="s">
        <v>213</v>
      </c>
      <c r="B739" s="1">
        <v>171</v>
      </c>
      <c r="C739" s="1" t="s">
        <v>21</v>
      </c>
      <c r="D739" s="1">
        <v>1</v>
      </c>
      <c r="E739" s="1" t="s">
        <v>57</v>
      </c>
      <c r="F739" s="1">
        <v>15</v>
      </c>
      <c r="G739" s="1">
        <v>6</v>
      </c>
      <c r="H739" s="1" t="s">
        <v>83</v>
      </c>
      <c r="I739" s="1" t="s">
        <v>305</v>
      </c>
      <c r="J739" s="1" t="s">
        <v>340</v>
      </c>
      <c r="K739" s="1" t="s">
        <v>214</v>
      </c>
      <c r="L739" s="1" t="s">
        <v>354</v>
      </c>
      <c r="M739" t="str">
        <f t="shared" si="66"/>
        <v>Cîmpian</v>
      </c>
      <c r="N739" t="str">
        <f t="shared" si="67"/>
        <v>Măriuța</v>
      </c>
      <c r="O739" t="str">
        <f t="shared" si="68"/>
        <v>Eilertsen</v>
      </c>
      <c r="P739" t="str">
        <f t="shared" si="69"/>
        <v>Pavall</v>
      </c>
      <c r="Q739">
        <f t="shared" si="70"/>
        <v>1</v>
      </c>
      <c r="R739" t="str">
        <f t="shared" si="71"/>
        <v>Cîmpian-Măriuța-Eilertsen-Pavall</v>
      </c>
    </row>
    <row r="740" spans="1:18" x14ac:dyDescent="0.25">
      <c r="A740" s="1" t="s">
        <v>213</v>
      </c>
      <c r="B740" s="1">
        <v>172</v>
      </c>
      <c r="C740" s="1" t="s">
        <v>21</v>
      </c>
      <c r="D740" s="1">
        <v>2</v>
      </c>
      <c r="E740" s="1" t="s">
        <v>57</v>
      </c>
      <c r="F740" s="1">
        <v>15</v>
      </c>
      <c r="G740" s="1">
        <v>7</v>
      </c>
      <c r="H740" s="1" t="s">
        <v>83</v>
      </c>
      <c r="I740" s="1" t="s">
        <v>305</v>
      </c>
      <c r="J740" s="1" t="s">
        <v>340</v>
      </c>
      <c r="K740" s="1" t="s">
        <v>214</v>
      </c>
      <c r="L740" s="1" t="s">
        <v>354</v>
      </c>
      <c r="M740" t="str">
        <f t="shared" si="66"/>
        <v>Cîmpian</v>
      </c>
      <c r="N740" t="str">
        <f t="shared" si="67"/>
        <v>Măriuța</v>
      </c>
      <c r="O740" t="str">
        <f t="shared" si="68"/>
        <v>Eilertsen</v>
      </c>
      <c r="P740" t="str">
        <f t="shared" si="69"/>
        <v>Pavall</v>
      </c>
      <c r="Q740">
        <f t="shared" si="70"/>
        <v>1</v>
      </c>
      <c r="R740" t="str">
        <f t="shared" si="71"/>
        <v>Cîmpian-Măriuța-Eilertsen-Pavall</v>
      </c>
    </row>
    <row r="741" spans="1:18" x14ac:dyDescent="0.25">
      <c r="A741" s="1" t="s">
        <v>213</v>
      </c>
      <c r="B741" s="1">
        <v>174</v>
      </c>
      <c r="C741" s="1" t="s">
        <v>24</v>
      </c>
      <c r="D741" s="1">
        <v>1</v>
      </c>
      <c r="E741" s="1" t="s">
        <v>57</v>
      </c>
      <c r="F741" s="1">
        <v>15</v>
      </c>
      <c r="G741" s="1">
        <v>2</v>
      </c>
      <c r="H741" s="1" t="s">
        <v>83</v>
      </c>
      <c r="I741" s="1" t="s">
        <v>307</v>
      </c>
      <c r="J741" s="1" t="s">
        <v>342</v>
      </c>
      <c r="K741" s="1" t="s">
        <v>214</v>
      </c>
      <c r="L741" s="1" t="s">
        <v>354</v>
      </c>
      <c r="M741" t="str">
        <f t="shared" si="66"/>
        <v>Bob</v>
      </c>
      <c r="N741" t="str">
        <f t="shared" si="67"/>
        <v>Toporaș</v>
      </c>
      <c r="O741" t="str">
        <f t="shared" si="68"/>
        <v>Gudmestad</v>
      </c>
      <c r="P741" t="str">
        <f t="shared" si="69"/>
        <v>Zimmermann</v>
      </c>
      <c r="Q741">
        <f t="shared" si="70"/>
        <v>1</v>
      </c>
      <c r="R741" t="str">
        <f t="shared" si="71"/>
        <v>Bob-Toporaș-Gudmestad-Zimmermann</v>
      </c>
    </row>
    <row r="742" spans="1:18" x14ac:dyDescent="0.25">
      <c r="A742" s="1" t="s">
        <v>213</v>
      </c>
      <c r="B742" s="1">
        <v>175</v>
      </c>
      <c r="C742" s="1" t="s">
        <v>24</v>
      </c>
      <c r="D742" s="1">
        <v>2</v>
      </c>
      <c r="E742" s="1" t="s">
        <v>57</v>
      </c>
      <c r="F742" s="1">
        <v>15</v>
      </c>
      <c r="G742" s="1">
        <v>6</v>
      </c>
      <c r="H742" s="1" t="s">
        <v>83</v>
      </c>
      <c r="I742" s="1" t="s">
        <v>307</v>
      </c>
      <c r="J742" s="1" t="s">
        <v>342</v>
      </c>
      <c r="K742" s="1" t="s">
        <v>214</v>
      </c>
      <c r="L742" s="1" t="s">
        <v>354</v>
      </c>
      <c r="M742" t="str">
        <f t="shared" si="66"/>
        <v>Bob</v>
      </c>
      <c r="N742" t="str">
        <f t="shared" si="67"/>
        <v>Toporaș</v>
      </c>
      <c r="O742" t="str">
        <f t="shared" si="68"/>
        <v>Gudmestad</v>
      </c>
      <c r="P742" t="str">
        <f t="shared" si="69"/>
        <v>Zimmermann</v>
      </c>
      <c r="Q742">
        <f t="shared" si="70"/>
        <v>1</v>
      </c>
      <c r="R742" t="str">
        <f t="shared" si="71"/>
        <v>Bob-Toporaș-Gudmestad-Zimmermann</v>
      </c>
    </row>
    <row r="743" spans="1:18" x14ac:dyDescent="0.25">
      <c r="A743" s="1" t="s">
        <v>213</v>
      </c>
      <c r="B743" s="1">
        <v>177</v>
      </c>
      <c r="C743" s="1" t="s">
        <v>27</v>
      </c>
      <c r="D743" s="1">
        <v>1</v>
      </c>
      <c r="E743" s="1" t="s">
        <v>57</v>
      </c>
      <c r="F743" s="1">
        <v>8</v>
      </c>
      <c r="G743" s="1">
        <v>15</v>
      </c>
      <c r="H743" s="1" t="s">
        <v>83</v>
      </c>
      <c r="I743" s="1" t="s">
        <v>309</v>
      </c>
      <c r="J743" s="1" t="s">
        <v>344</v>
      </c>
      <c r="K743" s="1" t="s">
        <v>214</v>
      </c>
      <c r="L743" s="1" t="s">
        <v>354</v>
      </c>
      <c r="M743" t="str">
        <f t="shared" si="66"/>
        <v>Ilie</v>
      </c>
      <c r="N743" t="str">
        <f t="shared" si="67"/>
        <v>Niță</v>
      </c>
      <c r="O743" t="str">
        <f t="shared" si="68"/>
        <v>Haughom</v>
      </c>
      <c r="P743" t="str">
        <f t="shared" si="69"/>
        <v>Flaat</v>
      </c>
      <c r="Q743">
        <f t="shared" si="70"/>
        <v>0</v>
      </c>
      <c r="R743" t="str">
        <f t="shared" si="71"/>
        <v>Ilie-Niță-Haughom-Flaat</v>
      </c>
    </row>
    <row r="744" spans="1:18" x14ac:dyDescent="0.25">
      <c r="A744" s="1" t="s">
        <v>213</v>
      </c>
      <c r="B744" s="1">
        <v>178</v>
      </c>
      <c r="C744" s="1" t="s">
        <v>27</v>
      </c>
      <c r="D744" s="1">
        <v>2</v>
      </c>
      <c r="E744" s="1" t="s">
        <v>57</v>
      </c>
      <c r="F744" s="1">
        <v>12</v>
      </c>
      <c r="G744" s="1">
        <v>15</v>
      </c>
      <c r="H744" s="1" t="s">
        <v>83</v>
      </c>
      <c r="I744" s="1" t="s">
        <v>309</v>
      </c>
      <c r="J744" s="1" t="s">
        <v>344</v>
      </c>
      <c r="K744" s="1" t="s">
        <v>214</v>
      </c>
      <c r="L744" s="1" t="s">
        <v>354</v>
      </c>
      <c r="M744" t="str">
        <f t="shared" si="66"/>
        <v>Ilie</v>
      </c>
      <c r="N744" t="str">
        <f t="shared" si="67"/>
        <v>Niță</v>
      </c>
      <c r="O744" t="str">
        <f t="shared" si="68"/>
        <v>Haughom</v>
      </c>
      <c r="P744" t="str">
        <f t="shared" si="69"/>
        <v>Flaat</v>
      </c>
      <c r="Q744">
        <f t="shared" si="70"/>
        <v>0</v>
      </c>
      <c r="R744" t="str">
        <f t="shared" si="71"/>
        <v>Ilie-Niță-Haughom-Flaat</v>
      </c>
    </row>
    <row r="745" spans="1:18" x14ac:dyDescent="0.25">
      <c r="A745" s="1" t="s">
        <v>213</v>
      </c>
      <c r="B745" s="1">
        <v>183</v>
      </c>
      <c r="C745" s="1" t="s">
        <v>12</v>
      </c>
      <c r="D745" s="1">
        <v>1</v>
      </c>
      <c r="E745" s="1" t="s">
        <v>14</v>
      </c>
      <c r="F745" s="1">
        <v>15</v>
      </c>
      <c r="G745" s="1">
        <v>8</v>
      </c>
      <c r="H745" s="1" t="s">
        <v>43</v>
      </c>
      <c r="I745" s="1" t="s">
        <v>300</v>
      </c>
      <c r="J745" s="1" t="s">
        <v>345</v>
      </c>
      <c r="K745" s="1" t="s">
        <v>214</v>
      </c>
      <c r="L745" s="1" t="s">
        <v>354</v>
      </c>
      <c r="M745" t="str">
        <f t="shared" si="66"/>
        <v>Fatt</v>
      </c>
      <c r="N745" t="str">
        <f t="shared" si="67"/>
        <v>Quibell</v>
      </c>
      <c r="O745" t="str">
        <f t="shared" si="68"/>
        <v>Caltova</v>
      </c>
      <c r="P745" t="str">
        <f t="shared" si="69"/>
        <v>Nyvltova</v>
      </c>
      <c r="Q745">
        <f t="shared" si="70"/>
        <v>1</v>
      </c>
      <c r="R745" t="str">
        <f t="shared" si="71"/>
        <v>Fatt-Quibell-Caltova-Nyvltova</v>
      </c>
    </row>
    <row r="746" spans="1:18" x14ac:dyDescent="0.25">
      <c r="A746" s="1" t="s">
        <v>213</v>
      </c>
      <c r="B746" s="1">
        <v>184</v>
      </c>
      <c r="C746" s="1" t="s">
        <v>12</v>
      </c>
      <c r="D746" s="1">
        <v>2</v>
      </c>
      <c r="E746" s="1" t="s">
        <v>14</v>
      </c>
      <c r="F746" s="1">
        <v>15</v>
      </c>
      <c r="G746" s="1">
        <v>12</v>
      </c>
      <c r="H746" s="1" t="s">
        <v>43</v>
      </c>
      <c r="I746" s="1" t="s">
        <v>300</v>
      </c>
      <c r="J746" s="1" t="s">
        <v>345</v>
      </c>
      <c r="K746" s="1" t="s">
        <v>214</v>
      </c>
      <c r="L746" s="1" t="s">
        <v>354</v>
      </c>
      <c r="M746" t="str">
        <f t="shared" si="66"/>
        <v>Fatt</v>
      </c>
      <c r="N746" t="str">
        <f t="shared" si="67"/>
        <v>Quibell</v>
      </c>
      <c r="O746" t="str">
        <f t="shared" si="68"/>
        <v>Caltova</v>
      </c>
      <c r="P746" t="str">
        <f t="shared" si="69"/>
        <v>Nyvltova</v>
      </c>
      <c r="Q746">
        <f t="shared" si="70"/>
        <v>1</v>
      </c>
      <c r="R746" t="str">
        <f t="shared" si="71"/>
        <v>Fatt-Quibell-Caltova-Nyvltova</v>
      </c>
    </row>
    <row r="747" spans="1:18" x14ac:dyDescent="0.25">
      <c r="A747" s="1" t="s">
        <v>213</v>
      </c>
      <c r="B747" s="1">
        <v>186</v>
      </c>
      <c r="C747" s="1" t="s">
        <v>18</v>
      </c>
      <c r="D747" s="1">
        <v>1</v>
      </c>
      <c r="E747" s="1" t="s">
        <v>14</v>
      </c>
      <c r="F747" s="1">
        <v>15</v>
      </c>
      <c r="G747" s="1">
        <v>11</v>
      </c>
      <c r="H747" s="1" t="s">
        <v>43</v>
      </c>
      <c r="I747" s="1" t="s">
        <v>302</v>
      </c>
      <c r="J747" s="1" t="s">
        <v>347</v>
      </c>
      <c r="K747" s="1" t="s">
        <v>214</v>
      </c>
      <c r="L747" s="1" t="s">
        <v>354</v>
      </c>
      <c r="M747" t="str">
        <f t="shared" si="66"/>
        <v>Troughton</v>
      </c>
      <c r="N747" t="str">
        <f t="shared" si="67"/>
        <v>Cooke</v>
      </c>
      <c r="O747" t="str">
        <f t="shared" si="68"/>
        <v>Janku</v>
      </c>
      <c r="P747" t="str">
        <f t="shared" si="69"/>
        <v>Matejkova</v>
      </c>
      <c r="Q747">
        <f t="shared" si="70"/>
        <v>1</v>
      </c>
      <c r="R747" t="str">
        <f t="shared" si="71"/>
        <v>Troughton-Cooke-Janku-Matejkova</v>
      </c>
    </row>
    <row r="748" spans="1:18" x14ac:dyDescent="0.25">
      <c r="A748" s="1" t="s">
        <v>213</v>
      </c>
      <c r="B748" s="1">
        <v>187</v>
      </c>
      <c r="C748" s="1" t="s">
        <v>18</v>
      </c>
      <c r="D748" s="1">
        <v>2</v>
      </c>
      <c r="E748" s="1" t="s">
        <v>14</v>
      </c>
      <c r="F748" s="1">
        <v>15</v>
      </c>
      <c r="G748" s="1">
        <v>12</v>
      </c>
      <c r="H748" s="1" t="s">
        <v>43</v>
      </c>
      <c r="I748" s="1" t="s">
        <v>302</v>
      </c>
      <c r="J748" s="1" t="s">
        <v>347</v>
      </c>
      <c r="K748" s="1" t="s">
        <v>214</v>
      </c>
      <c r="L748" s="1" t="s">
        <v>354</v>
      </c>
      <c r="M748" t="str">
        <f t="shared" si="66"/>
        <v>Troughton</v>
      </c>
      <c r="N748" t="str">
        <f t="shared" si="67"/>
        <v>Cooke</v>
      </c>
      <c r="O748" t="str">
        <f t="shared" si="68"/>
        <v>Janku</v>
      </c>
      <c r="P748" t="str">
        <f t="shared" si="69"/>
        <v>Matejkova</v>
      </c>
      <c r="Q748">
        <f t="shared" si="70"/>
        <v>1</v>
      </c>
      <c r="R748" t="str">
        <f t="shared" si="71"/>
        <v>Troughton-Cooke-Janku-Matejkova</v>
      </c>
    </row>
    <row r="749" spans="1:18" x14ac:dyDescent="0.25">
      <c r="A749" s="1" t="s">
        <v>213</v>
      </c>
      <c r="B749" s="1">
        <v>189</v>
      </c>
      <c r="C749" s="1" t="s">
        <v>21</v>
      </c>
      <c r="D749" s="1">
        <v>1</v>
      </c>
      <c r="E749" s="1" t="s">
        <v>14</v>
      </c>
      <c r="F749" s="1">
        <v>15</v>
      </c>
      <c r="G749" s="1">
        <v>10</v>
      </c>
      <c r="H749" s="1" t="s">
        <v>43</v>
      </c>
      <c r="I749" s="1" t="s">
        <v>402</v>
      </c>
      <c r="J749" s="1" t="s">
        <v>349</v>
      </c>
      <c r="K749" s="1" t="s">
        <v>214</v>
      </c>
      <c r="L749" s="1" t="s">
        <v>354</v>
      </c>
      <c r="M749" t="str">
        <f t="shared" si="66"/>
        <v>Hill-Smith</v>
      </c>
      <c r="N749" t="str">
        <f t="shared" si="67"/>
        <v>Ja. Cheung</v>
      </c>
      <c r="O749" t="str">
        <f t="shared" si="68"/>
        <v>Bedrnova</v>
      </c>
      <c r="P749" t="str">
        <f t="shared" si="69"/>
        <v>Kourilova</v>
      </c>
      <c r="Q749">
        <f t="shared" si="70"/>
        <v>1</v>
      </c>
      <c r="R749" t="str">
        <f t="shared" si="71"/>
        <v>Hill-Smith-Ja. Cheung-Bedrnova-Kourilova</v>
      </c>
    </row>
    <row r="750" spans="1:18" x14ac:dyDescent="0.25">
      <c r="A750" s="1" t="s">
        <v>213</v>
      </c>
      <c r="B750" s="1">
        <v>190</v>
      </c>
      <c r="C750" s="1" t="s">
        <v>21</v>
      </c>
      <c r="D750" s="1">
        <v>2</v>
      </c>
      <c r="E750" s="1" t="s">
        <v>14</v>
      </c>
      <c r="F750" s="1">
        <v>15</v>
      </c>
      <c r="G750" s="1">
        <v>13</v>
      </c>
      <c r="H750" s="1" t="s">
        <v>43</v>
      </c>
      <c r="I750" s="1" t="s">
        <v>402</v>
      </c>
      <c r="J750" s="1" t="s">
        <v>349</v>
      </c>
      <c r="K750" s="1" t="s">
        <v>214</v>
      </c>
      <c r="L750" s="1" t="s">
        <v>354</v>
      </c>
      <c r="M750" t="str">
        <f t="shared" si="66"/>
        <v>Hill-Smith</v>
      </c>
      <c r="N750" t="str">
        <f t="shared" si="67"/>
        <v>Ja. Cheung</v>
      </c>
      <c r="O750" t="str">
        <f t="shared" si="68"/>
        <v>Bedrnova</v>
      </c>
      <c r="P750" t="str">
        <f t="shared" si="69"/>
        <v>Kourilova</v>
      </c>
      <c r="Q750">
        <f t="shared" si="70"/>
        <v>1</v>
      </c>
      <c r="R750" t="str">
        <f t="shared" si="71"/>
        <v>Hill-Smith-Ja. Cheung-Bedrnova-Kourilova</v>
      </c>
    </row>
    <row r="751" spans="1:18" x14ac:dyDescent="0.25">
      <c r="A751" s="1" t="s">
        <v>213</v>
      </c>
      <c r="B751" s="1">
        <v>192</v>
      </c>
      <c r="C751" s="1" t="s">
        <v>24</v>
      </c>
      <c r="D751" s="1">
        <v>1</v>
      </c>
      <c r="E751" s="1" t="s">
        <v>14</v>
      </c>
      <c r="F751" s="1">
        <v>15</v>
      </c>
      <c r="G751" s="1">
        <v>12</v>
      </c>
      <c r="H751" s="1" t="s">
        <v>43</v>
      </c>
      <c r="I751" s="1" t="s">
        <v>405</v>
      </c>
      <c r="J751" s="1" t="s">
        <v>351</v>
      </c>
      <c r="K751" s="1" t="s">
        <v>214</v>
      </c>
      <c r="L751" s="1" t="s">
        <v>354</v>
      </c>
      <c r="M751" t="str">
        <f t="shared" si="66"/>
        <v>Smith</v>
      </c>
      <c r="N751" t="str">
        <f t="shared" si="67"/>
        <v>Jem. Lee</v>
      </c>
      <c r="O751" t="str">
        <f t="shared" si="68"/>
        <v>Dannemann</v>
      </c>
      <c r="P751" t="str">
        <f t="shared" si="69"/>
        <v>Meinhart</v>
      </c>
      <c r="Q751">
        <f t="shared" si="70"/>
        <v>1</v>
      </c>
      <c r="R751" t="str">
        <f t="shared" si="71"/>
        <v>Smith-Jem. Lee-Dannemann-Meinhart</v>
      </c>
    </row>
    <row r="752" spans="1:18" x14ac:dyDescent="0.25">
      <c r="A752" s="1" t="s">
        <v>213</v>
      </c>
      <c r="B752" s="1">
        <v>193</v>
      </c>
      <c r="C752" s="1" t="s">
        <v>24</v>
      </c>
      <c r="D752" s="1">
        <v>2</v>
      </c>
      <c r="E752" s="1" t="s">
        <v>14</v>
      </c>
      <c r="F752" s="1">
        <v>16</v>
      </c>
      <c r="G752" s="1">
        <v>14</v>
      </c>
      <c r="H752" s="1" t="s">
        <v>43</v>
      </c>
      <c r="I752" s="1" t="s">
        <v>405</v>
      </c>
      <c r="J752" s="1" t="s">
        <v>351</v>
      </c>
      <c r="K752" s="1" t="s">
        <v>214</v>
      </c>
      <c r="L752" s="1" t="s">
        <v>354</v>
      </c>
      <c r="M752" t="str">
        <f t="shared" si="66"/>
        <v>Smith</v>
      </c>
      <c r="N752" t="str">
        <f t="shared" si="67"/>
        <v>Jem. Lee</v>
      </c>
      <c r="O752" t="str">
        <f t="shared" si="68"/>
        <v>Dannemann</v>
      </c>
      <c r="P752" t="str">
        <f t="shared" si="69"/>
        <v>Meinhart</v>
      </c>
      <c r="Q752">
        <f t="shared" si="70"/>
        <v>1</v>
      </c>
      <c r="R752" t="str">
        <f t="shared" si="71"/>
        <v>Smith-Jem. Lee-Dannemann-Meinhart</v>
      </c>
    </row>
    <row r="753" spans="1:18" x14ac:dyDescent="0.25">
      <c r="A753" s="1" t="s">
        <v>213</v>
      </c>
      <c r="B753" s="1">
        <v>201</v>
      </c>
      <c r="C753" s="1" t="s">
        <v>12</v>
      </c>
      <c r="D753" s="1">
        <v>1</v>
      </c>
      <c r="E753" s="1" t="s">
        <v>181</v>
      </c>
      <c r="F753" s="1">
        <v>15</v>
      </c>
      <c r="G753" s="1">
        <v>11</v>
      </c>
      <c r="H753" s="1" t="s">
        <v>56</v>
      </c>
      <c r="I753" s="1" t="s">
        <v>291</v>
      </c>
      <c r="J753" s="1" t="s">
        <v>319</v>
      </c>
      <c r="K753" s="1" t="s">
        <v>214</v>
      </c>
      <c r="L753" s="1" t="s">
        <v>354</v>
      </c>
      <c r="M753" t="str">
        <f t="shared" si="66"/>
        <v>Bak</v>
      </c>
      <c r="N753" t="str">
        <f t="shared" si="67"/>
        <v>Bloch</v>
      </c>
      <c r="O753" t="str">
        <f t="shared" si="68"/>
        <v>Fukuda</v>
      </c>
      <c r="P753" t="str">
        <f t="shared" si="69"/>
        <v>Takeno</v>
      </c>
      <c r="Q753">
        <f t="shared" si="70"/>
        <v>1</v>
      </c>
      <c r="R753" t="str">
        <f t="shared" si="71"/>
        <v>Bak-Bloch-Fukuda-Takeno</v>
      </c>
    </row>
    <row r="754" spans="1:18" x14ac:dyDescent="0.25">
      <c r="A754" s="1" t="s">
        <v>213</v>
      </c>
      <c r="B754" s="1">
        <v>202</v>
      </c>
      <c r="C754" s="1" t="s">
        <v>12</v>
      </c>
      <c r="D754" s="1">
        <v>2</v>
      </c>
      <c r="E754" s="1" t="s">
        <v>181</v>
      </c>
      <c r="F754" s="1">
        <v>15</v>
      </c>
      <c r="G754" s="1">
        <v>11</v>
      </c>
      <c r="H754" s="1" t="s">
        <v>56</v>
      </c>
      <c r="I754" s="1" t="s">
        <v>291</v>
      </c>
      <c r="J754" s="1" t="s">
        <v>319</v>
      </c>
      <c r="K754" s="1" t="s">
        <v>214</v>
      </c>
      <c r="L754" s="1" t="s">
        <v>354</v>
      </c>
      <c r="M754" t="str">
        <f t="shared" si="66"/>
        <v>Bak</v>
      </c>
      <c r="N754" t="str">
        <f t="shared" si="67"/>
        <v>Bloch</v>
      </c>
      <c r="O754" t="str">
        <f t="shared" si="68"/>
        <v>Fukuda</v>
      </c>
      <c r="P754" t="str">
        <f t="shared" si="69"/>
        <v>Takeno</v>
      </c>
      <c r="Q754">
        <f t="shared" si="70"/>
        <v>1</v>
      </c>
      <c r="R754" t="str">
        <f t="shared" si="71"/>
        <v>Bak-Bloch-Fukuda-Takeno</v>
      </c>
    </row>
    <row r="755" spans="1:18" x14ac:dyDescent="0.25">
      <c r="A755" s="1" t="s">
        <v>213</v>
      </c>
      <c r="B755" s="1">
        <v>204</v>
      </c>
      <c r="C755" s="1" t="s">
        <v>18</v>
      </c>
      <c r="D755" s="1">
        <v>1</v>
      </c>
      <c r="E755" s="1" t="s">
        <v>181</v>
      </c>
      <c r="F755" s="1">
        <v>15</v>
      </c>
      <c r="G755" s="1">
        <v>8</v>
      </c>
      <c r="H755" s="1" t="s">
        <v>56</v>
      </c>
      <c r="I755" s="1" t="s">
        <v>293</v>
      </c>
      <c r="J755" s="1" t="s">
        <v>417</v>
      </c>
      <c r="K755" s="1" t="s">
        <v>214</v>
      </c>
      <c r="L755" s="1" t="s">
        <v>354</v>
      </c>
      <c r="M755" t="str">
        <f t="shared" si="66"/>
        <v>Flensted</v>
      </c>
      <c r="N755" t="str">
        <f t="shared" si="67"/>
        <v>Hillebro</v>
      </c>
      <c r="O755" t="str">
        <f t="shared" si="68"/>
        <v>Matsumoto</v>
      </c>
      <c r="P755" t="str">
        <f t="shared" si="69"/>
        <v>R. Imamura</v>
      </c>
      <c r="Q755">
        <f t="shared" si="70"/>
        <v>1</v>
      </c>
      <c r="R755" t="str">
        <f t="shared" si="71"/>
        <v>Flensted-Hillebro-Matsumoto-R. Imamura</v>
      </c>
    </row>
    <row r="756" spans="1:18" x14ac:dyDescent="0.25">
      <c r="A756" s="1" t="s">
        <v>213</v>
      </c>
      <c r="B756" s="1">
        <v>205</v>
      </c>
      <c r="C756" s="1" t="s">
        <v>18</v>
      </c>
      <c r="D756" s="1">
        <v>2</v>
      </c>
      <c r="E756" s="1" t="s">
        <v>181</v>
      </c>
      <c r="F756" s="1">
        <v>15</v>
      </c>
      <c r="G756" s="1">
        <v>9</v>
      </c>
      <c r="H756" s="1" t="s">
        <v>56</v>
      </c>
      <c r="I756" s="1" t="s">
        <v>293</v>
      </c>
      <c r="J756" s="1" t="s">
        <v>417</v>
      </c>
      <c r="K756" s="1" t="s">
        <v>214</v>
      </c>
      <c r="L756" s="1" t="s">
        <v>354</v>
      </c>
      <c r="M756" t="str">
        <f t="shared" si="66"/>
        <v>Flensted</v>
      </c>
      <c r="N756" t="str">
        <f t="shared" si="67"/>
        <v>Hillebro</v>
      </c>
      <c r="O756" t="str">
        <f t="shared" si="68"/>
        <v>Matsumoto</v>
      </c>
      <c r="P756" t="str">
        <f t="shared" si="69"/>
        <v>R. Imamura</v>
      </c>
      <c r="Q756">
        <f t="shared" si="70"/>
        <v>1</v>
      </c>
      <c r="R756" t="str">
        <f t="shared" si="71"/>
        <v>Flensted-Hillebro-Matsumoto-R. Imamura</v>
      </c>
    </row>
    <row r="757" spans="1:18" x14ac:dyDescent="0.25">
      <c r="A757" s="1" t="s">
        <v>213</v>
      </c>
      <c r="B757" s="1">
        <v>207</v>
      </c>
      <c r="C757" s="1" t="s">
        <v>21</v>
      </c>
      <c r="D757" s="1">
        <v>1</v>
      </c>
      <c r="E757" s="1" t="s">
        <v>181</v>
      </c>
      <c r="F757" s="1">
        <v>11</v>
      </c>
      <c r="G757" s="1">
        <v>15</v>
      </c>
      <c r="H757" s="1" t="s">
        <v>56</v>
      </c>
      <c r="I757" s="1" t="s">
        <v>295</v>
      </c>
      <c r="J757" s="1" t="s">
        <v>325</v>
      </c>
      <c r="K757" s="1" t="s">
        <v>214</v>
      </c>
      <c r="L757" s="1" t="s">
        <v>354</v>
      </c>
      <c r="M757" t="str">
        <f t="shared" si="66"/>
        <v>Enevoldsen</v>
      </c>
      <c r="N757" t="str">
        <f t="shared" si="67"/>
        <v>Sepstrup</v>
      </c>
      <c r="O757" t="str">
        <f t="shared" si="68"/>
        <v>Ito</v>
      </c>
      <c r="P757" t="str">
        <f t="shared" si="69"/>
        <v>Hoshi</v>
      </c>
      <c r="Q757">
        <f t="shared" si="70"/>
        <v>0</v>
      </c>
      <c r="R757" t="str">
        <f t="shared" si="71"/>
        <v>Enevoldsen-Sepstrup-Ito-Hoshi</v>
      </c>
    </row>
    <row r="758" spans="1:18" x14ac:dyDescent="0.25">
      <c r="A758" s="1" t="s">
        <v>213</v>
      </c>
      <c r="B758" s="1">
        <v>208</v>
      </c>
      <c r="C758" s="1" t="s">
        <v>21</v>
      </c>
      <c r="D758" s="1">
        <v>2</v>
      </c>
      <c r="E758" s="1" t="s">
        <v>181</v>
      </c>
      <c r="F758" s="1">
        <v>15</v>
      </c>
      <c r="G758" s="1">
        <v>13</v>
      </c>
      <c r="H758" s="1" t="s">
        <v>56</v>
      </c>
      <c r="I758" s="1" t="s">
        <v>295</v>
      </c>
      <c r="J758" s="1" t="s">
        <v>325</v>
      </c>
      <c r="K758" s="1" t="s">
        <v>214</v>
      </c>
      <c r="L758" s="1" t="s">
        <v>354</v>
      </c>
      <c r="M758" t="str">
        <f t="shared" si="66"/>
        <v>Enevoldsen</v>
      </c>
      <c r="N758" t="str">
        <f t="shared" si="67"/>
        <v>Sepstrup</v>
      </c>
      <c r="O758" t="str">
        <f t="shared" si="68"/>
        <v>Ito</v>
      </c>
      <c r="P758" t="str">
        <f t="shared" si="69"/>
        <v>Hoshi</v>
      </c>
      <c r="Q758">
        <f t="shared" si="70"/>
        <v>1</v>
      </c>
      <c r="R758" t="str">
        <f t="shared" si="71"/>
        <v>Enevoldsen-Sepstrup-Ito-Hoshi</v>
      </c>
    </row>
    <row r="759" spans="1:18" x14ac:dyDescent="0.25">
      <c r="A759" s="1" t="s">
        <v>213</v>
      </c>
      <c r="B759" s="1">
        <v>210</v>
      </c>
      <c r="C759" s="1" t="s">
        <v>24</v>
      </c>
      <c r="D759" s="1">
        <v>1</v>
      </c>
      <c r="E759" s="1" t="s">
        <v>181</v>
      </c>
      <c r="F759" s="1">
        <v>15</v>
      </c>
      <c r="G759" s="1">
        <v>10</v>
      </c>
      <c r="H759" s="1" t="s">
        <v>56</v>
      </c>
      <c r="I759" s="1" t="s">
        <v>297</v>
      </c>
      <c r="J759" s="1" t="s">
        <v>330</v>
      </c>
      <c r="K759" s="1" t="s">
        <v>214</v>
      </c>
      <c r="L759" s="1" t="s">
        <v>354</v>
      </c>
      <c r="M759" t="str">
        <f t="shared" si="66"/>
        <v>Andreassen</v>
      </c>
      <c r="N759" t="str">
        <f t="shared" si="67"/>
        <v>Lund</v>
      </c>
      <c r="O759" t="str">
        <f t="shared" si="68"/>
        <v>Kawasaki</v>
      </c>
      <c r="P759" t="str">
        <f t="shared" si="69"/>
        <v>Ogaki</v>
      </c>
      <c r="Q759">
        <f t="shared" si="70"/>
        <v>1</v>
      </c>
      <c r="R759" t="str">
        <f t="shared" si="71"/>
        <v>Andreassen-Lund-Kawasaki-Ogaki</v>
      </c>
    </row>
    <row r="760" spans="1:18" x14ac:dyDescent="0.25">
      <c r="A760" s="1" t="s">
        <v>213</v>
      </c>
      <c r="B760" s="1">
        <v>211</v>
      </c>
      <c r="C760" s="1" t="s">
        <v>24</v>
      </c>
      <c r="D760" s="1">
        <v>2</v>
      </c>
      <c r="E760" s="1" t="s">
        <v>181</v>
      </c>
      <c r="F760" s="1">
        <v>15</v>
      </c>
      <c r="G760" s="1">
        <v>12</v>
      </c>
      <c r="H760" s="1" t="s">
        <v>56</v>
      </c>
      <c r="I760" s="1" t="s">
        <v>297</v>
      </c>
      <c r="J760" s="1" t="s">
        <v>330</v>
      </c>
      <c r="K760" s="1" t="s">
        <v>214</v>
      </c>
      <c r="L760" s="1" t="s">
        <v>354</v>
      </c>
      <c r="M760" t="str">
        <f t="shared" si="66"/>
        <v>Andreassen</v>
      </c>
      <c r="N760" t="str">
        <f t="shared" si="67"/>
        <v>Lund</v>
      </c>
      <c r="O760" t="str">
        <f t="shared" si="68"/>
        <v>Kawasaki</v>
      </c>
      <c r="P760" t="str">
        <f t="shared" si="69"/>
        <v>Ogaki</v>
      </c>
      <c r="Q760">
        <f t="shared" si="70"/>
        <v>1</v>
      </c>
      <c r="R760" t="str">
        <f t="shared" si="71"/>
        <v>Andreassen-Lund-Kawasaki-Ogaki</v>
      </c>
    </row>
    <row r="761" spans="1:18" x14ac:dyDescent="0.25">
      <c r="A761" s="1" t="s">
        <v>213</v>
      </c>
      <c r="B761" s="1">
        <v>213</v>
      </c>
      <c r="C761" s="1" t="s">
        <v>27</v>
      </c>
      <c r="D761" s="1">
        <v>1</v>
      </c>
      <c r="E761" s="1" t="s">
        <v>181</v>
      </c>
      <c r="F761" s="1">
        <v>15</v>
      </c>
      <c r="G761" s="1">
        <v>5</v>
      </c>
      <c r="H761" s="1" t="s">
        <v>56</v>
      </c>
      <c r="I761" s="1" t="s">
        <v>424</v>
      </c>
      <c r="J761" s="1" t="s">
        <v>333</v>
      </c>
      <c r="K761" s="1" t="s">
        <v>214</v>
      </c>
      <c r="L761" s="1" t="s">
        <v>354</v>
      </c>
      <c r="M761" t="str">
        <f t="shared" si="66"/>
        <v>Gregersen</v>
      </c>
      <c r="N761" t="str">
        <f t="shared" si="67"/>
        <v>MH. Chang</v>
      </c>
      <c r="O761" t="str">
        <f t="shared" si="68"/>
        <v>Kihara</v>
      </c>
      <c r="P761" t="str">
        <f t="shared" si="69"/>
        <v>Nakano</v>
      </c>
      <c r="Q761">
        <f t="shared" si="70"/>
        <v>1</v>
      </c>
      <c r="R761" t="str">
        <f t="shared" si="71"/>
        <v>Gregersen-MH. Chang-Kihara-Nakano</v>
      </c>
    </row>
    <row r="762" spans="1:18" x14ac:dyDescent="0.25">
      <c r="A762" s="1" t="s">
        <v>213</v>
      </c>
      <c r="B762" s="1">
        <v>214</v>
      </c>
      <c r="C762" s="1" t="s">
        <v>27</v>
      </c>
      <c r="D762" s="1">
        <v>2</v>
      </c>
      <c r="E762" s="1" t="s">
        <v>181</v>
      </c>
      <c r="F762" s="1">
        <v>15</v>
      </c>
      <c r="G762" s="1">
        <v>6</v>
      </c>
      <c r="H762" s="1" t="s">
        <v>56</v>
      </c>
      <c r="I762" s="1" t="s">
        <v>424</v>
      </c>
      <c r="J762" s="1" t="s">
        <v>333</v>
      </c>
      <c r="K762" s="1" t="s">
        <v>214</v>
      </c>
      <c r="L762" s="1" t="s">
        <v>354</v>
      </c>
      <c r="M762" t="str">
        <f t="shared" si="66"/>
        <v>Gregersen</v>
      </c>
      <c r="N762" t="str">
        <f t="shared" si="67"/>
        <v>MH. Chang</v>
      </c>
      <c r="O762" t="str">
        <f t="shared" si="68"/>
        <v>Kihara</v>
      </c>
      <c r="P762" t="str">
        <f t="shared" si="69"/>
        <v>Nakano</v>
      </c>
      <c r="Q762">
        <f t="shared" si="70"/>
        <v>1</v>
      </c>
      <c r="R762" t="str">
        <f t="shared" si="71"/>
        <v>Gregersen-MH. Chang-Kihara-Nakano</v>
      </c>
    </row>
    <row r="763" spans="1:18" x14ac:dyDescent="0.25">
      <c r="A763" s="1" t="s">
        <v>213</v>
      </c>
      <c r="B763" s="1">
        <v>219</v>
      </c>
      <c r="C763" s="1" t="s">
        <v>12</v>
      </c>
      <c r="D763" s="1">
        <v>1</v>
      </c>
      <c r="E763" s="1" t="s">
        <v>95</v>
      </c>
      <c r="F763" s="1">
        <v>15</v>
      </c>
      <c r="G763" s="1">
        <v>12</v>
      </c>
      <c r="H763" s="1" t="s">
        <v>109</v>
      </c>
      <c r="I763" s="1" t="s">
        <v>285</v>
      </c>
      <c r="J763" s="1" t="s">
        <v>346</v>
      </c>
      <c r="K763" s="1" t="s">
        <v>214</v>
      </c>
      <c r="L763" s="1" t="s">
        <v>354</v>
      </c>
      <c r="M763" t="str">
        <f t="shared" si="66"/>
        <v>Bouma</v>
      </c>
      <c r="N763" t="str">
        <f t="shared" si="67"/>
        <v>Meijer</v>
      </c>
      <c r="O763" t="str">
        <f t="shared" si="68"/>
        <v>Häkkinen</v>
      </c>
      <c r="P763" t="str">
        <f t="shared" si="69"/>
        <v>Salmensaari</v>
      </c>
      <c r="Q763">
        <f t="shared" si="70"/>
        <v>1</v>
      </c>
      <c r="R763" t="str">
        <f t="shared" si="71"/>
        <v>Bouma-Meijer-Häkkinen-Salmensaari</v>
      </c>
    </row>
    <row r="764" spans="1:18" x14ac:dyDescent="0.25">
      <c r="A764" s="1" t="s">
        <v>213</v>
      </c>
      <c r="B764" s="1">
        <v>220</v>
      </c>
      <c r="C764" s="1" t="s">
        <v>12</v>
      </c>
      <c r="D764" s="1">
        <v>2</v>
      </c>
      <c r="E764" s="1" t="s">
        <v>95</v>
      </c>
      <c r="F764" s="1">
        <v>14</v>
      </c>
      <c r="G764" s="1">
        <v>13</v>
      </c>
      <c r="H764" s="1" t="s">
        <v>109</v>
      </c>
      <c r="I764" s="1" t="s">
        <v>285</v>
      </c>
      <c r="J764" s="1" t="s">
        <v>346</v>
      </c>
      <c r="K764" s="1" t="s">
        <v>214</v>
      </c>
      <c r="L764" s="1" t="s">
        <v>354</v>
      </c>
      <c r="M764" t="str">
        <f t="shared" si="66"/>
        <v>Bouma</v>
      </c>
      <c r="N764" t="str">
        <f t="shared" si="67"/>
        <v>Meijer</v>
      </c>
      <c r="O764" t="str">
        <f t="shared" si="68"/>
        <v>Häkkinen</v>
      </c>
      <c r="P764" t="str">
        <f t="shared" si="69"/>
        <v>Salmensaari</v>
      </c>
      <c r="Q764">
        <f t="shared" si="70"/>
        <v>1</v>
      </c>
      <c r="R764" t="str">
        <f t="shared" si="71"/>
        <v>Bouma-Meijer-Häkkinen-Salmensaari</v>
      </c>
    </row>
    <row r="765" spans="1:18" x14ac:dyDescent="0.25">
      <c r="A765" s="1" t="s">
        <v>213</v>
      </c>
      <c r="B765" s="1">
        <v>222</v>
      </c>
      <c r="C765" s="1" t="s">
        <v>18</v>
      </c>
      <c r="D765" s="1">
        <v>1</v>
      </c>
      <c r="E765" s="1" t="s">
        <v>95</v>
      </c>
      <c r="F765" s="1">
        <v>15</v>
      </c>
      <c r="G765" s="1">
        <v>11</v>
      </c>
      <c r="H765" s="1" t="s">
        <v>109</v>
      </c>
      <c r="I765" s="1" t="s">
        <v>286</v>
      </c>
      <c r="J765" s="1" t="s">
        <v>348</v>
      </c>
      <c r="K765" s="1" t="s">
        <v>214</v>
      </c>
      <c r="L765" s="1" t="s">
        <v>354</v>
      </c>
      <c r="M765" t="str">
        <f t="shared" si="66"/>
        <v>Shannon Dieltjes</v>
      </c>
      <c r="N765" t="str">
        <f t="shared" si="67"/>
        <v>Shauny Dieltjes</v>
      </c>
      <c r="O765" t="str">
        <f t="shared" si="68"/>
        <v>Kosonen</v>
      </c>
      <c r="P765" t="str">
        <f t="shared" si="69"/>
        <v>Leppänen</v>
      </c>
      <c r="Q765">
        <f t="shared" si="70"/>
        <v>1</v>
      </c>
      <c r="R765" t="str">
        <f t="shared" si="71"/>
        <v>Shannon Dieltjes-Shauny Dieltjes-Kosonen-Leppänen</v>
      </c>
    </row>
    <row r="766" spans="1:18" x14ac:dyDescent="0.25">
      <c r="A766" s="1" t="s">
        <v>213</v>
      </c>
      <c r="B766" s="1">
        <v>223</v>
      </c>
      <c r="C766" s="1" t="s">
        <v>18</v>
      </c>
      <c r="D766" s="1">
        <v>2</v>
      </c>
      <c r="E766" s="1" t="s">
        <v>95</v>
      </c>
      <c r="F766" s="1">
        <v>15</v>
      </c>
      <c r="G766" s="1">
        <v>9</v>
      </c>
      <c r="H766" s="1" t="s">
        <v>109</v>
      </c>
      <c r="I766" s="1" t="s">
        <v>286</v>
      </c>
      <c r="J766" s="1" t="s">
        <v>348</v>
      </c>
      <c r="K766" s="1" t="s">
        <v>214</v>
      </c>
      <c r="L766" s="1" t="s">
        <v>354</v>
      </c>
      <c r="M766" t="str">
        <f t="shared" si="66"/>
        <v>Shannon Dieltjes</v>
      </c>
      <c r="N766" t="str">
        <f t="shared" si="67"/>
        <v>Shauny Dieltjes</v>
      </c>
      <c r="O766" t="str">
        <f t="shared" si="68"/>
        <v>Kosonen</v>
      </c>
      <c r="P766" t="str">
        <f t="shared" si="69"/>
        <v>Leppänen</v>
      </c>
      <c r="Q766">
        <f t="shared" si="70"/>
        <v>1</v>
      </c>
      <c r="R766" t="str">
        <f t="shared" si="71"/>
        <v>Shannon Dieltjes-Shauny Dieltjes-Kosonen-Leppänen</v>
      </c>
    </row>
    <row r="767" spans="1:18" x14ac:dyDescent="0.25">
      <c r="A767" s="1" t="s">
        <v>213</v>
      </c>
      <c r="B767" s="1">
        <v>225</v>
      </c>
      <c r="C767" s="1" t="s">
        <v>21</v>
      </c>
      <c r="D767" s="1">
        <v>1</v>
      </c>
      <c r="E767" s="1" t="s">
        <v>95</v>
      </c>
      <c r="F767" s="1">
        <v>15</v>
      </c>
      <c r="G767" s="1">
        <v>10</v>
      </c>
      <c r="H767" s="1" t="s">
        <v>109</v>
      </c>
      <c r="I767" s="1" t="s">
        <v>287</v>
      </c>
      <c r="J767" s="1" t="s">
        <v>350</v>
      </c>
      <c r="K767" s="1" t="s">
        <v>214</v>
      </c>
      <c r="L767" s="1" t="s">
        <v>354</v>
      </c>
      <c r="M767" t="str">
        <f t="shared" si="66"/>
        <v>Smit</v>
      </c>
      <c r="N767" t="str">
        <f t="shared" si="67"/>
        <v>Van der Wielen</v>
      </c>
      <c r="O767" t="str">
        <f t="shared" si="68"/>
        <v>Piesanen</v>
      </c>
      <c r="P767" t="str">
        <f t="shared" si="69"/>
        <v>Kuorelahti</v>
      </c>
      <c r="Q767">
        <f t="shared" si="70"/>
        <v>1</v>
      </c>
      <c r="R767" t="str">
        <f t="shared" si="71"/>
        <v>Smit-Van der Wielen-Piesanen-Kuorelahti</v>
      </c>
    </row>
    <row r="768" spans="1:18" x14ac:dyDescent="0.25">
      <c r="A768" s="1" t="s">
        <v>213</v>
      </c>
      <c r="B768" s="1">
        <v>226</v>
      </c>
      <c r="C768" s="1" t="s">
        <v>21</v>
      </c>
      <c r="D768" s="1">
        <v>2</v>
      </c>
      <c r="E768" s="1" t="s">
        <v>95</v>
      </c>
      <c r="F768" s="1">
        <v>15</v>
      </c>
      <c r="G768" s="1">
        <v>13</v>
      </c>
      <c r="H768" s="1" t="s">
        <v>109</v>
      </c>
      <c r="I768" s="1" t="s">
        <v>287</v>
      </c>
      <c r="J768" s="1" t="s">
        <v>350</v>
      </c>
      <c r="K768" s="1" t="s">
        <v>214</v>
      </c>
      <c r="L768" s="1" t="s">
        <v>354</v>
      </c>
      <c r="M768" t="str">
        <f t="shared" si="66"/>
        <v>Smit</v>
      </c>
      <c r="N768" t="str">
        <f t="shared" si="67"/>
        <v>Van der Wielen</v>
      </c>
      <c r="O768" t="str">
        <f t="shared" si="68"/>
        <v>Piesanen</v>
      </c>
      <c r="P768" t="str">
        <f t="shared" si="69"/>
        <v>Kuorelahti</v>
      </c>
      <c r="Q768">
        <f t="shared" si="70"/>
        <v>1</v>
      </c>
      <c r="R768" t="str">
        <f t="shared" si="71"/>
        <v>Smit-Van der Wielen-Piesanen-Kuorelahti</v>
      </c>
    </row>
    <row r="769" spans="1:18" x14ac:dyDescent="0.25">
      <c r="A769" s="1" t="s">
        <v>213</v>
      </c>
      <c r="B769" s="1">
        <v>228</v>
      </c>
      <c r="C769" s="1" t="s">
        <v>24</v>
      </c>
      <c r="D769" s="1">
        <v>1</v>
      </c>
      <c r="E769" s="1" t="s">
        <v>95</v>
      </c>
      <c r="F769" s="1">
        <v>15</v>
      </c>
      <c r="G769" s="1">
        <v>11</v>
      </c>
      <c r="H769" s="1" t="s">
        <v>109</v>
      </c>
      <c r="I769" s="1" t="s">
        <v>288</v>
      </c>
      <c r="J769" s="1" t="s">
        <v>352</v>
      </c>
      <c r="K769" s="1" t="s">
        <v>214</v>
      </c>
      <c r="L769" s="1" t="s">
        <v>354</v>
      </c>
      <c r="M769" t="str">
        <f t="shared" si="66"/>
        <v>Thielen</v>
      </c>
      <c r="N769" t="str">
        <f t="shared" si="67"/>
        <v>Van der Donk</v>
      </c>
      <c r="O769" t="str">
        <f t="shared" si="68"/>
        <v>Kinnunen</v>
      </c>
      <c r="P769" t="str">
        <f t="shared" si="69"/>
        <v>Lemettinen</v>
      </c>
      <c r="Q769">
        <f t="shared" si="70"/>
        <v>1</v>
      </c>
      <c r="R769" t="str">
        <f t="shared" si="71"/>
        <v>Thielen-Van der Donk-Kinnunen-Lemettinen</v>
      </c>
    </row>
    <row r="770" spans="1:18" x14ac:dyDescent="0.25">
      <c r="A770" s="1" t="s">
        <v>213</v>
      </c>
      <c r="B770" s="1">
        <v>229</v>
      </c>
      <c r="C770" s="1" t="s">
        <v>24</v>
      </c>
      <c r="D770" s="1">
        <v>2</v>
      </c>
      <c r="E770" s="1" t="s">
        <v>95</v>
      </c>
      <c r="F770" s="1">
        <v>15</v>
      </c>
      <c r="G770" s="1">
        <v>7</v>
      </c>
      <c r="H770" s="1" t="s">
        <v>109</v>
      </c>
      <c r="I770" s="1" t="s">
        <v>288</v>
      </c>
      <c r="J770" s="1" t="s">
        <v>352</v>
      </c>
      <c r="K770" s="1" t="s">
        <v>214</v>
      </c>
      <c r="L770" s="1" t="s">
        <v>354</v>
      </c>
      <c r="M770" t="str">
        <f t="shared" ref="M770:M833" si="72">_xlfn.TEXTBEFORE(I770,"/")</f>
        <v>Thielen</v>
      </c>
      <c r="N770" t="str">
        <f t="shared" ref="N770:N833" si="73">_xlfn.TEXTAFTER(I770,"/ ")</f>
        <v>Van der Donk</v>
      </c>
      <c r="O770" t="str">
        <f t="shared" ref="O770:O833" si="74">_xlfn.TEXTBEFORE(J770,"/")</f>
        <v>Kinnunen</v>
      </c>
      <c r="P770" t="str">
        <f t="shared" ref="P770:P833" si="75">_xlfn.TEXTAFTER(J770,"/ ")</f>
        <v>Lemettinen</v>
      </c>
      <c r="Q770">
        <f t="shared" ref="Q770:Q833" si="76">IF(F770&gt;G770,1,0)</f>
        <v>1</v>
      </c>
      <c r="R770" t="str">
        <f t="shared" ref="R770:R833" si="77">_xlfn.TEXTJOIN("-",TRUE,M770,N770,O770,P770)</f>
        <v>Thielen-Van der Donk-Kinnunen-Lemettinen</v>
      </c>
    </row>
    <row r="771" spans="1:18" x14ac:dyDescent="0.25">
      <c r="A771" s="1" t="s">
        <v>213</v>
      </c>
      <c r="B771" s="1">
        <v>231</v>
      </c>
      <c r="C771" s="1" t="s">
        <v>27</v>
      </c>
      <c r="D771" s="1">
        <v>1</v>
      </c>
      <c r="E771" s="1" t="s">
        <v>95</v>
      </c>
      <c r="F771" s="1">
        <v>15</v>
      </c>
      <c r="G771" s="1">
        <v>9</v>
      </c>
      <c r="H771" s="1" t="s">
        <v>109</v>
      </c>
      <c r="I771" s="1" t="s">
        <v>289</v>
      </c>
      <c r="J771" s="1" t="s">
        <v>353</v>
      </c>
      <c r="K771" s="1" t="s">
        <v>214</v>
      </c>
      <c r="L771" s="1" t="s">
        <v>354</v>
      </c>
      <c r="M771" t="str">
        <f t="shared" si="72"/>
        <v>Schippers</v>
      </c>
      <c r="N771" t="str">
        <f t="shared" si="73"/>
        <v>Berveling</v>
      </c>
      <c r="O771" t="str">
        <f t="shared" si="74"/>
        <v>Tauriainen</v>
      </c>
      <c r="P771" t="str">
        <f t="shared" si="75"/>
        <v>Kuhanen</v>
      </c>
      <c r="Q771">
        <f t="shared" si="76"/>
        <v>1</v>
      </c>
      <c r="R771" t="str">
        <f t="shared" si="77"/>
        <v>Schippers-Berveling-Tauriainen-Kuhanen</v>
      </c>
    </row>
    <row r="772" spans="1:18" x14ac:dyDescent="0.25">
      <c r="A772" s="1" t="s">
        <v>213</v>
      </c>
      <c r="B772" s="1">
        <v>232</v>
      </c>
      <c r="C772" s="1" t="s">
        <v>27</v>
      </c>
      <c r="D772" s="1">
        <v>2</v>
      </c>
      <c r="E772" s="1" t="s">
        <v>95</v>
      </c>
      <c r="F772" s="1">
        <v>15</v>
      </c>
      <c r="G772" s="1">
        <v>12</v>
      </c>
      <c r="H772" s="1" t="s">
        <v>109</v>
      </c>
      <c r="I772" s="1" t="s">
        <v>289</v>
      </c>
      <c r="J772" s="1" t="s">
        <v>353</v>
      </c>
      <c r="K772" s="1" t="s">
        <v>214</v>
      </c>
      <c r="L772" s="1" t="s">
        <v>354</v>
      </c>
      <c r="M772" t="str">
        <f t="shared" si="72"/>
        <v>Schippers</v>
      </c>
      <c r="N772" t="str">
        <f t="shared" si="73"/>
        <v>Berveling</v>
      </c>
      <c r="O772" t="str">
        <f t="shared" si="74"/>
        <v>Tauriainen</v>
      </c>
      <c r="P772" t="str">
        <f t="shared" si="75"/>
        <v>Kuhanen</v>
      </c>
      <c r="Q772">
        <f t="shared" si="76"/>
        <v>1</v>
      </c>
      <c r="R772" t="str">
        <f t="shared" si="77"/>
        <v>Schippers-Berveling-Tauriainen-Kuhanen</v>
      </c>
    </row>
    <row r="773" spans="1:18" x14ac:dyDescent="0.25">
      <c r="A773" s="1" t="s">
        <v>213</v>
      </c>
      <c r="B773" s="1">
        <v>237</v>
      </c>
      <c r="C773" s="1" t="s">
        <v>12</v>
      </c>
      <c r="D773" s="1">
        <v>1</v>
      </c>
      <c r="E773" s="1" t="s">
        <v>182</v>
      </c>
      <c r="F773" s="1">
        <v>9</v>
      </c>
      <c r="G773" s="1">
        <v>15</v>
      </c>
      <c r="H773" s="1" t="s">
        <v>44</v>
      </c>
      <c r="I773" s="1" t="s">
        <v>271</v>
      </c>
      <c r="J773" s="1" t="s">
        <v>317</v>
      </c>
      <c r="K773" s="1" t="s">
        <v>214</v>
      </c>
      <c r="L773" s="1" t="s">
        <v>354</v>
      </c>
      <c r="M773" t="str">
        <f t="shared" si="72"/>
        <v>Molina</v>
      </c>
      <c r="N773" t="str">
        <f t="shared" si="73"/>
        <v>Gebel</v>
      </c>
      <c r="O773" t="str">
        <f t="shared" si="74"/>
        <v>Wojtczak</v>
      </c>
      <c r="P773" t="str">
        <f t="shared" si="75"/>
        <v>Bonifrowska</v>
      </c>
      <c r="Q773">
        <f t="shared" si="76"/>
        <v>0</v>
      </c>
      <c r="R773" t="str">
        <f t="shared" si="77"/>
        <v>Molina-Gebel-Wojtczak-Bonifrowska</v>
      </c>
    </row>
    <row r="774" spans="1:18" x14ac:dyDescent="0.25">
      <c r="A774" s="1" t="s">
        <v>213</v>
      </c>
      <c r="B774" s="1">
        <v>238</v>
      </c>
      <c r="C774" s="1" t="s">
        <v>12</v>
      </c>
      <c r="D774" s="1">
        <v>2</v>
      </c>
      <c r="E774" s="1" t="s">
        <v>182</v>
      </c>
      <c r="F774" s="1">
        <v>15</v>
      </c>
      <c r="G774" s="1">
        <v>11</v>
      </c>
      <c r="H774" s="1" t="s">
        <v>44</v>
      </c>
      <c r="I774" s="1" t="s">
        <v>271</v>
      </c>
      <c r="J774" s="1" t="s">
        <v>317</v>
      </c>
      <c r="K774" s="1" t="s">
        <v>214</v>
      </c>
      <c r="L774" s="1" t="s">
        <v>354</v>
      </c>
      <c r="M774" t="str">
        <f t="shared" si="72"/>
        <v>Molina</v>
      </c>
      <c r="N774" t="str">
        <f t="shared" si="73"/>
        <v>Gebel</v>
      </c>
      <c r="O774" t="str">
        <f t="shared" si="74"/>
        <v>Wojtczak</v>
      </c>
      <c r="P774" t="str">
        <f t="shared" si="75"/>
        <v>Bonifrowska</v>
      </c>
      <c r="Q774">
        <f t="shared" si="76"/>
        <v>1</v>
      </c>
      <c r="R774" t="str">
        <f t="shared" si="77"/>
        <v>Molina-Gebel-Wojtczak-Bonifrowska</v>
      </c>
    </row>
    <row r="775" spans="1:18" x14ac:dyDescent="0.25">
      <c r="A775" s="1" t="s">
        <v>213</v>
      </c>
      <c r="B775" s="1">
        <v>240</v>
      </c>
      <c r="C775" s="1" t="s">
        <v>18</v>
      </c>
      <c r="D775" s="1">
        <v>1</v>
      </c>
      <c r="E775" s="1" t="s">
        <v>182</v>
      </c>
      <c r="F775" s="1">
        <v>15</v>
      </c>
      <c r="G775" s="1">
        <v>12</v>
      </c>
      <c r="H775" s="1" t="s">
        <v>44</v>
      </c>
      <c r="I775" s="1" t="s">
        <v>394</v>
      </c>
      <c r="J775" s="1" t="s">
        <v>322</v>
      </c>
      <c r="K775" s="1" t="s">
        <v>214</v>
      </c>
      <c r="L775" s="1" t="s">
        <v>354</v>
      </c>
      <c r="M775" t="str">
        <f t="shared" si="72"/>
        <v>R. Martin</v>
      </c>
      <c r="N775" t="str">
        <f t="shared" si="73"/>
        <v>Villamariz</v>
      </c>
      <c r="O775" t="str">
        <f t="shared" si="74"/>
        <v>Dalidonis</v>
      </c>
      <c r="P775" t="str">
        <f t="shared" si="75"/>
        <v>Filipska</v>
      </c>
      <c r="Q775">
        <f t="shared" si="76"/>
        <v>1</v>
      </c>
      <c r="R775" t="str">
        <f t="shared" si="77"/>
        <v>R. Martin-Villamariz-Dalidonis-Filipska</v>
      </c>
    </row>
    <row r="776" spans="1:18" x14ac:dyDescent="0.25">
      <c r="A776" s="1" t="s">
        <v>213</v>
      </c>
      <c r="B776" s="1">
        <v>241</v>
      </c>
      <c r="C776" s="1" t="s">
        <v>18</v>
      </c>
      <c r="D776" s="1">
        <v>2</v>
      </c>
      <c r="E776" s="1" t="s">
        <v>182</v>
      </c>
      <c r="F776" s="1">
        <v>15</v>
      </c>
      <c r="G776" s="1">
        <v>10</v>
      </c>
      <c r="H776" s="1" t="s">
        <v>44</v>
      </c>
      <c r="I776" s="1" t="s">
        <v>394</v>
      </c>
      <c r="J776" s="1" t="s">
        <v>322</v>
      </c>
      <c r="K776" s="1" t="s">
        <v>214</v>
      </c>
      <c r="L776" s="1" t="s">
        <v>354</v>
      </c>
      <c r="M776" t="str">
        <f t="shared" si="72"/>
        <v>R. Martin</v>
      </c>
      <c r="N776" t="str">
        <f t="shared" si="73"/>
        <v>Villamariz</v>
      </c>
      <c r="O776" t="str">
        <f t="shared" si="74"/>
        <v>Dalidonis</v>
      </c>
      <c r="P776" t="str">
        <f t="shared" si="75"/>
        <v>Filipska</v>
      </c>
      <c r="Q776">
        <f t="shared" si="76"/>
        <v>1</v>
      </c>
      <c r="R776" t="str">
        <f t="shared" si="77"/>
        <v>R. Martin-Villamariz-Dalidonis-Filipska</v>
      </c>
    </row>
    <row r="777" spans="1:18" x14ac:dyDescent="0.25">
      <c r="A777" s="1" t="s">
        <v>213</v>
      </c>
      <c r="B777" s="1">
        <v>243</v>
      </c>
      <c r="C777" s="1" t="s">
        <v>21</v>
      </c>
      <c r="D777" s="1">
        <v>1</v>
      </c>
      <c r="E777" s="1" t="s">
        <v>182</v>
      </c>
      <c r="F777" s="1">
        <v>15</v>
      </c>
      <c r="G777" s="1">
        <v>7</v>
      </c>
      <c r="H777" s="1" t="s">
        <v>44</v>
      </c>
      <c r="I777" s="1" t="s">
        <v>277</v>
      </c>
      <c r="J777" s="1" t="s">
        <v>327</v>
      </c>
      <c r="K777" s="1" t="s">
        <v>214</v>
      </c>
      <c r="L777" s="1" t="s">
        <v>354</v>
      </c>
      <c r="M777" t="str">
        <f t="shared" si="72"/>
        <v>Thieren</v>
      </c>
      <c r="N777" t="str">
        <f t="shared" si="73"/>
        <v>Hernández</v>
      </c>
      <c r="O777" t="str">
        <f t="shared" si="74"/>
        <v>Stawarek</v>
      </c>
      <c r="P777" t="str">
        <f t="shared" si="75"/>
        <v>Wolff</v>
      </c>
      <c r="Q777">
        <f t="shared" si="76"/>
        <v>1</v>
      </c>
      <c r="R777" t="str">
        <f t="shared" si="77"/>
        <v>Thieren-Hernández-Stawarek-Wolff</v>
      </c>
    </row>
    <row r="778" spans="1:18" x14ac:dyDescent="0.25">
      <c r="A778" s="1" t="s">
        <v>213</v>
      </c>
      <c r="B778" s="1">
        <v>244</v>
      </c>
      <c r="C778" s="1" t="s">
        <v>21</v>
      </c>
      <c r="D778" s="1">
        <v>2</v>
      </c>
      <c r="E778" s="1" t="s">
        <v>182</v>
      </c>
      <c r="F778" s="1">
        <v>15</v>
      </c>
      <c r="G778" s="1">
        <v>11</v>
      </c>
      <c r="H778" s="1" t="s">
        <v>44</v>
      </c>
      <c r="I778" s="1" t="s">
        <v>277</v>
      </c>
      <c r="J778" s="1" t="s">
        <v>327</v>
      </c>
      <c r="K778" s="1" t="s">
        <v>214</v>
      </c>
      <c r="L778" s="1" t="s">
        <v>354</v>
      </c>
      <c r="M778" t="str">
        <f t="shared" si="72"/>
        <v>Thieren</v>
      </c>
      <c r="N778" t="str">
        <f t="shared" si="73"/>
        <v>Hernández</v>
      </c>
      <c r="O778" t="str">
        <f t="shared" si="74"/>
        <v>Stawarek</v>
      </c>
      <c r="P778" t="str">
        <f t="shared" si="75"/>
        <v>Wolff</v>
      </c>
      <c r="Q778">
        <f t="shared" si="76"/>
        <v>1</v>
      </c>
      <c r="R778" t="str">
        <f t="shared" si="77"/>
        <v>Thieren-Hernández-Stawarek-Wolff</v>
      </c>
    </row>
    <row r="779" spans="1:18" x14ac:dyDescent="0.25">
      <c r="A779" s="1" t="s">
        <v>213</v>
      </c>
      <c r="B779" s="1">
        <v>246</v>
      </c>
      <c r="C779" s="1" t="s">
        <v>24</v>
      </c>
      <c r="D779" s="1">
        <v>1</v>
      </c>
      <c r="E779" s="1" t="s">
        <v>182</v>
      </c>
      <c r="F779" s="1">
        <v>15</v>
      </c>
      <c r="G779" s="1">
        <v>5</v>
      </c>
      <c r="H779" s="1" t="s">
        <v>44</v>
      </c>
      <c r="I779" s="1" t="s">
        <v>280</v>
      </c>
      <c r="J779" s="1" t="s">
        <v>331</v>
      </c>
      <c r="K779" s="1" t="s">
        <v>214</v>
      </c>
      <c r="L779" s="1" t="s">
        <v>354</v>
      </c>
      <c r="M779" t="str">
        <f t="shared" si="72"/>
        <v>Andreu</v>
      </c>
      <c r="N779" t="str">
        <f t="shared" si="73"/>
        <v>Valiente</v>
      </c>
      <c r="O779" t="str">
        <f t="shared" si="74"/>
        <v>Pojawis</v>
      </c>
      <c r="P779" t="str">
        <f t="shared" si="75"/>
        <v>Wachowiec</v>
      </c>
      <c r="Q779">
        <f t="shared" si="76"/>
        <v>1</v>
      </c>
      <c r="R779" t="str">
        <f t="shared" si="77"/>
        <v>Andreu-Valiente-Pojawis-Wachowiec</v>
      </c>
    </row>
    <row r="780" spans="1:18" x14ac:dyDescent="0.25">
      <c r="A780" s="1" t="s">
        <v>213</v>
      </c>
      <c r="B780" s="1">
        <v>247</v>
      </c>
      <c r="C780" s="1" t="s">
        <v>24</v>
      </c>
      <c r="D780" s="1">
        <v>2</v>
      </c>
      <c r="E780" s="1" t="s">
        <v>182</v>
      </c>
      <c r="F780" s="1">
        <v>11</v>
      </c>
      <c r="G780" s="1">
        <v>10</v>
      </c>
      <c r="H780" s="1" t="s">
        <v>44</v>
      </c>
      <c r="I780" s="1" t="s">
        <v>280</v>
      </c>
      <c r="J780" s="1" t="s">
        <v>331</v>
      </c>
      <c r="K780" s="1" t="s">
        <v>214</v>
      </c>
      <c r="L780" s="1" t="s">
        <v>354</v>
      </c>
      <c r="M780" t="str">
        <f t="shared" si="72"/>
        <v>Andreu</v>
      </c>
      <c r="N780" t="str">
        <f t="shared" si="73"/>
        <v>Valiente</v>
      </c>
      <c r="O780" t="str">
        <f t="shared" si="74"/>
        <v>Pojawis</v>
      </c>
      <c r="P780" t="str">
        <f t="shared" si="75"/>
        <v>Wachowiec</v>
      </c>
      <c r="Q780">
        <f t="shared" si="76"/>
        <v>1</v>
      </c>
      <c r="R780" t="str">
        <f t="shared" si="77"/>
        <v>Andreu-Valiente-Pojawis-Wachowiec</v>
      </c>
    </row>
    <row r="781" spans="1:18" x14ac:dyDescent="0.25">
      <c r="A781" s="1" t="s">
        <v>213</v>
      </c>
      <c r="B781" s="1">
        <v>249</v>
      </c>
      <c r="C781" s="1" t="s">
        <v>27</v>
      </c>
      <c r="D781" s="1">
        <v>1</v>
      </c>
      <c r="E781" s="1" t="s">
        <v>182</v>
      </c>
      <c r="F781" s="1">
        <v>15</v>
      </c>
      <c r="G781" s="1">
        <v>3</v>
      </c>
      <c r="H781" s="1" t="s">
        <v>44</v>
      </c>
      <c r="I781" s="1" t="s">
        <v>283</v>
      </c>
      <c r="J781" s="1" t="s">
        <v>334</v>
      </c>
      <c r="K781" s="1" t="s">
        <v>214</v>
      </c>
      <c r="L781" s="1" t="s">
        <v>354</v>
      </c>
      <c r="M781" t="str">
        <f t="shared" si="72"/>
        <v>Roca</v>
      </c>
      <c r="N781" t="str">
        <f t="shared" si="73"/>
        <v>Jiménez</v>
      </c>
      <c r="O781" t="str">
        <f t="shared" si="74"/>
        <v>Kuta</v>
      </c>
      <c r="P781" t="str">
        <f t="shared" si="75"/>
        <v>Mierzwa</v>
      </c>
      <c r="Q781">
        <f t="shared" si="76"/>
        <v>1</v>
      </c>
      <c r="R781" t="str">
        <f t="shared" si="77"/>
        <v>Roca-Jiménez-Kuta-Mierzwa</v>
      </c>
    </row>
    <row r="782" spans="1:18" x14ac:dyDescent="0.25">
      <c r="A782" s="1" t="s">
        <v>213</v>
      </c>
      <c r="B782" s="1">
        <v>250</v>
      </c>
      <c r="C782" s="1" t="s">
        <v>27</v>
      </c>
      <c r="D782" s="1">
        <v>2</v>
      </c>
      <c r="E782" s="1" t="s">
        <v>182</v>
      </c>
      <c r="F782" s="1">
        <v>15</v>
      </c>
      <c r="G782" s="1">
        <v>2</v>
      </c>
      <c r="H782" s="1" t="s">
        <v>44</v>
      </c>
      <c r="I782" s="1" t="s">
        <v>283</v>
      </c>
      <c r="J782" s="1" t="s">
        <v>334</v>
      </c>
      <c r="K782" s="1" t="s">
        <v>214</v>
      </c>
      <c r="L782" s="1" t="s">
        <v>354</v>
      </c>
      <c r="M782" t="str">
        <f t="shared" si="72"/>
        <v>Roca</v>
      </c>
      <c r="N782" t="str">
        <f t="shared" si="73"/>
        <v>Jiménez</v>
      </c>
      <c r="O782" t="str">
        <f t="shared" si="74"/>
        <v>Kuta</v>
      </c>
      <c r="P782" t="str">
        <f t="shared" si="75"/>
        <v>Mierzwa</v>
      </c>
      <c r="Q782">
        <f t="shared" si="76"/>
        <v>1</v>
      </c>
      <c r="R782" t="str">
        <f t="shared" si="77"/>
        <v>Roca-Jiménez-Kuta-Mierzwa</v>
      </c>
    </row>
    <row r="783" spans="1:18" x14ac:dyDescent="0.25">
      <c r="A783" s="1" t="s">
        <v>213</v>
      </c>
      <c r="B783" s="1">
        <v>255</v>
      </c>
      <c r="C783" s="1" t="s">
        <v>12</v>
      </c>
      <c r="D783" s="1">
        <v>1</v>
      </c>
      <c r="E783" s="1" t="s">
        <v>169</v>
      </c>
      <c r="F783" s="1">
        <v>15</v>
      </c>
      <c r="G783" s="1">
        <v>7</v>
      </c>
      <c r="H783" s="1" t="s">
        <v>13</v>
      </c>
      <c r="I783" s="1" t="s">
        <v>256</v>
      </c>
      <c r="J783" s="1" t="s">
        <v>335</v>
      </c>
      <c r="K783" s="1" t="s">
        <v>214</v>
      </c>
      <c r="L783" s="1" t="s">
        <v>354</v>
      </c>
      <c r="M783" t="str">
        <f t="shared" si="72"/>
        <v>Mollberg</v>
      </c>
      <c r="N783" t="str">
        <f t="shared" si="73"/>
        <v>Westerland</v>
      </c>
      <c r="O783" t="str">
        <f t="shared" si="74"/>
        <v>Schaeffer</v>
      </c>
      <c r="P783" t="str">
        <f t="shared" si="75"/>
        <v>Skellern</v>
      </c>
      <c r="Q783">
        <f t="shared" si="76"/>
        <v>1</v>
      </c>
      <c r="R783" t="str">
        <f t="shared" si="77"/>
        <v>Mollberg-Westerland-Schaeffer-Skellern</v>
      </c>
    </row>
    <row r="784" spans="1:18" x14ac:dyDescent="0.25">
      <c r="A784" s="1" t="s">
        <v>213</v>
      </c>
      <c r="B784" s="1">
        <v>256</v>
      </c>
      <c r="C784" s="1" t="s">
        <v>12</v>
      </c>
      <c r="D784" s="1">
        <v>2</v>
      </c>
      <c r="E784" s="1" t="s">
        <v>169</v>
      </c>
      <c r="F784" s="1">
        <v>15</v>
      </c>
      <c r="G784" s="1">
        <v>8</v>
      </c>
      <c r="H784" s="1" t="s">
        <v>13</v>
      </c>
      <c r="I784" s="1" t="s">
        <v>256</v>
      </c>
      <c r="J784" s="1" t="s">
        <v>335</v>
      </c>
      <c r="K784" s="1" t="s">
        <v>214</v>
      </c>
      <c r="L784" s="1" t="s">
        <v>354</v>
      </c>
      <c r="M784" t="str">
        <f t="shared" si="72"/>
        <v>Mollberg</v>
      </c>
      <c r="N784" t="str">
        <f t="shared" si="73"/>
        <v>Westerland</v>
      </c>
      <c r="O784" t="str">
        <f t="shared" si="74"/>
        <v>Schaeffer</v>
      </c>
      <c r="P784" t="str">
        <f t="shared" si="75"/>
        <v>Skellern</v>
      </c>
      <c r="Q784">
        <f t="shared" si="76"/>
        <v>1</v>
      </c>
      <c r="R784" t="str">
        <f t="shared" si="77"/>
        <v>Mollberg-Westerland-Schaeffer-Skellern</v>
      </c>
    </row>
    <row r="785" spans="1:18" x14ac:dyDescent="0.25">
      <c r="A785" s="1" t="s">
        <v>213</v>
      </c>
      <c r="B785" s="1">
        <v>258</v>
      </c>
      <c r="C785" s="1" t="s">
        <v>18</v>
      </c>
      <c r="D785" s="1">
        <v>1</v>
      </c>
      <c r="E785" s="1" t="s">
        <v>169</v>
      </c>
      <c r="F785" s="1">
        <v>15</v>
      </c>
      <c r="G785" s="1">
        <v>8</v>
      </c>
      <c r="H785" s="1" t="s">
        <v>13</v>
      </c>
      <c r="I785" s="1" t="s">
        <v>259</v>
      </c>
      <c r="J785" s="1" t="s">
        <v>386</v>
      </c>
      <c r="K785" s="1" t="s">
        <v>214</v>
      </c>
      <c r="L785" s="1" t="s">
        <v>354</v>
      </c>
      <c r="M785" t="str">
        <f t="shared" si="72"/>
        <v>Elmblad</v>
      </c>
      <c r="N785" t="str">
        <f t="shared" si="73"/>
        <v>Hedman</v>
      </c>
      <c r="O785" t="str">
        <f t="shared" si="74"/>
        <v>Ab. Capp</v>
      </c>
      <c r="P785" t="str">
        <f t="shared" si="75"/>
        <v>Figg</v>
      </c>
      <c r="Q785">
        <f t="shared" si="76"/>
        <v>1</v>
      </c>
      <c r="R785" t="str">
        <f t="shared" si="77"/>
        <v>Elmblad-Hedman-Ab. Capp-Figg</v>
      </c>
    </row>
    <row r="786" spans="1:18" x14ac:dyDescent="0.25">
      <c r="A786" s="1" t="s">
        <v>213</v>
      </c>
      <c r="B786" s="1">
        <v>261</v>
      </c>
      <c r="C786" s="1" t="s">
        <v>21</v>
      </c>
      <c r="D786" s="1">
        <v>1</v>
      </c>
      <c r="E786" s="1" t="s">
        <v>169</v>
      </c>
      <c r="F786" s="1">
        <v>15</v>
      </c>
      <c r="G786" s="1">
        <v>13</v>
      </c>
      <c r="H786" s="1" t="s">
        <v>13</v>
      </c>
      <c r="I786" s="1" t="s">
        <v>262</v>
      </c>
      <c r="J786" s="1" t="s">
        <v>339</v>
      </c>
      <c r="K786" s="1" t="s">
        <v>214</v>
      </c>
      <c r="L786" s="1" t="s">
        <v>354</v>
      </c>
      <c r="M786" t="str">
        <f t="shared" si="72"/>
        <v>Dahlquist</v>
      </c>
      <c r="N786" t="str">
        <f t="shared" si="73"/>
        <v>Gustavsson</v>
      </c>
      <c r="O786" t="str">
        <f t="shared" si="74"/>
        <v>Griffiths</v>
      </c>
      <c r="P786" t="str">
        <f t="shared" si="75"/>
        <v>Lynch</v>
      </c>
      <c r="Q786">
        <f t="shared" si="76"/>
        <v>1</v>
      </c>
      <c r="R786" t="str">
        <f t="shared" si="77"/>
        <v>Dahlquist-Gustavsson-Griffiths-Lynch</v>
      </c>
    </row>
    <row r="787" spans="1:18" x14ac:dyDescent="0.25">
      <c r="A787" s="1" t="s">
        <v>213</v>
      </c>
      <c r="B787" s="1">
        <v>262</v>
      </c>
      <c r="C787" s="1" t="s">
        <v>21</v>
      </c>
      <c r="D787" s="1">
        <v>2</v>
      </c>
      <c r="E787" s="1" t="s">
        <v>169</v>
      </c>
      <c r="F787" s="1">
        <v>11</v>
      </c>
      <c r="G787" s="1">
        <v>15</v>
      </c>
      <c r="H787" s="1" t="s">
        <v>13</v>
      </c>
      <c r="I787" s="1" t="s">
        <v>262</v>
      </c>
      <c r="J787" s="1" t="s">
        <v>339</v>
      </c>
      <c r="K787" s="1" t="s">
        <v>214</v>
      </c>
      <c r="L787" s="1" t="s">
        <v>354</v>
      </c>
      <c r="M787" t="str">
        <f t="shared" si="72"/>
        <v>Dahlquist</v>
      </c>
      <c r="N787" t="str">
        <f t="shared" si="73"/>
        <v>Gustavsson</v>
      </c>
      <c r="O787" t="str">
        <f t="shared" si="74"/>
        <v>Griffiths</v>
      </c>
      <c r="P787" t="str">
        <f t="shared" si="75"/>
        <v>Lynch</v>
      </c>
      <c r="Q787">
        <f t="shared" si="76"/>
        <v>0</v>
      </c>
      <c r="R787" t="str">
        <f t="shared" si="77"/>
        <v>Dahlquist-Gustavsson-Griffiths-Lynch</v>
      </c>
    </row>
    <row r="788" spans="1:18" x14ac:dyDescent="0.25">
      <c r="A788" s="1" t="s">
        <v>213</v>
      </c>
      <c r="B788" s="1">
        <v>264</v>
      </c>
      <c r="C788" s="1" t="s">
        <v>24</v>
      </c>
      <c r="D788" s="1">
        <v>1</v>
      </c>
      <c r="E788" s="1" t="s">
        <v>169</v>
      </c>
      <c r="F788" s="1">
        <v>15</v>
      </c>
      <c r="G788" s="1">
        <v>11</v>
      </c>
      <c r="H788" s="1" t="s">
        <v>13</v>
      </c>
      <c r="I788" s="1" t="s">
        <v>265</v>
      </c>
      <c r="J788" s="1" t="s">
        <v>401</v>
      </c>
      <c r="K788" s="1" t="s">
        <v>214</v>
      </c>
      <c r="L788" s="1" t="s">
        <v>354</v>
      </c>
      <c r="M788" t="str">
        <f t="shared" si="72"/>
        <v>Häggqvist</v>
      </c>
      <c r="N788" t="str">
        <f t="shared" si="73"/>
        <v>Hugosson</v>
      </c>
      <c r="O788" t="str">
        <f t="shared" si="74"/>
        <v>Chu</v>
      </c>
      <c r="P788" t="str">
        <f t="shared" si="75"/>
        <v>T. Fung</v>
      </c>
      <c r="Q788">
        <f t="shared" si="76"/>
        <v>1</v>
      </c>
      <c r="R788" t="str">
        <f t="shared" si="77"/>
        <v>Häggqvist-Hugosson-Chu-T. Fung</v>
      </c>
    </row>
    <row r="789" spans="1:18" x14ac:dyDescent="0.25">
      <c r="A789" s="1" t="s">
        <v>213</v>
      </c>
      <c r="B789" s="1">
        <v>265</v>
      </c>
      <c r="C789" s="1" t="s">
        <v>24</v>
      </c>
      <c r="D789" s="1">
        <v>2</v>
      </c>
      <c r="E789" s="1" t="s">
        <v>169</v>
      </c>
      <c r="F789" s="1">
        <v>15</v>
      </c>
      <c r="G789" s="1">
        <v>8</v>
      </c>
      <c r="H789" s="1" t="s">
        <v>13</v>
      </c>
      <c r="I789" s="1" t="s">
        <v>265</v>
      </c>
      <c r="J789" s="1" t="s">
        <v>401</v>
      </c>
      <c r="K789" s="1" t="s">
        <v>214</v>
      </c>
      <c r="L789" s="1" t="s">
        <v>354</v>
      </c>
      <c r="M789" t="str">
        <f t="shared" si="72"/>
        <v>Häggqvist</v>
      </c>
      <c r="N789" t="str">
        <f t="shared" si="73"/>
        <v>Hugosson</v>
      </c>
      <c r="O789" t="str">
        <f t="shared" si="74"/>
        <v>Chu</v>
      </c>
      <c r="P789" t="str">
        <f t="shared" si="75"/>
        <v>T. Fung</v>
      </c>
      <c r="Q789">
        <f t="shared" si="76"/>
        <v>1</v>
      </c>
      <c r="R789" t="str">
        <f t="shared" si="77"/>
        <v>Häggqvist-Hugosson-Chu-T. Fung</v>
      </c>
    </row>
    <row r="790" spans="1:18" x14ac:dyDescent="0.25">
      <c r="A790" s="1" t="s">
        <v>213</v>
      </c>
      <c r="B790" s="1">
        <v>267</v>
      </c>
      <c r="C790" s="1" t="s">
        <v>27</v>
      </c>
      <c r="D790" s="1">
        <v>1</v>
      </c>
      <c r="E790" s="1" t="s">
        <v>169</v>
      </c>
      <c r="F790" s="1">
        <v>15</v>
      </c>
      <c r="G790" s="1">
        <v>6</v>
      </c>
      <c r="H790" s="1" t="s">
        <v>13</v>
      </c>
      <c r="I790" s="1" t="s">
        <v>269</v>
      </c>
      <c r="J790" s="1" t="s">
        <v>407</v>
      </c>
      <c r="K790" s="1" t="s">
        <v>214</v>
      </c>
      <c r="L790" s="1" t="s">
        <v>354</v>
      </c>
      <c r="M790" t="str">
        <f t="shared" si="72"/>
        <v>Almgren</v>
      </c>
      <c r="N790" t="str">
        <f t="shared" si="73"/>
        <v>Fransson</v>
      </c>
      <c r="O790" t="str">
        <f t="shared" si="74"/>
        <v>Cliff</v>
      </c>
      <c r="P790" t="str">
        <f t="shared" si="75"/>
        <v>R. Read</v>
      </c>
      <c r="Q790">
        <f t="shared" si="76"/>
        <v>1</v>
      </c>
      <c r="R790" t="str">
        <f t="shared" si="77"/>
        <v>Almgren-Fransson-Cliff-R. Read</v>
      </c>
    </row>
    <row r="791" spans="1:18" x14ac:dyDescent="0.25">
      <c r="A791" s="1" t="s">
        <v>213</v>
      </c>
      <c r="B791" s="1">
        <v>268</v>
      </c>
      <c r="C791" s="1" t="s">
        <v>27</v>
      </c>
      <c r="D791" s="1">
        <v>2</v>
      </c>
      <c r="E791" s="1" t="s">
        <v>169</v>
      </c>
      <c r="F791" s="1">
        <v>15</v>
      </c>
      <c r="G791" s="1">
        <v>6</v>
      </c>
      <c r="H791" s="1" t="s">
        <v>13</v>
      </c>
      <c r="I791" s="1" t="s">
        <v>269</v>
      </c>
      <c r="J791" s="1" t="s">
        <v>407</v>
      </c>
      <c r="K791" s="1" t="s">
        <v>214</v>
      </c>
      <c r="L791" s="1" t="s">
        <v>354</v>
      </c>
      <c r="M791" t="str">
        <f t="shared" si="72"/>
        <v>Almgren</v>
      </c>
      <c r="N791" t="str">
        <f t="shared" si="73"/>
        <v>Fransson</v>
      </c>
      <c r="O791" t="str">
        <f t="shared" si="74"/>
        <v>Cliff</v>
      </c>
      <c r="P791" t="str">
        <f t="shared" si="75"/>
        <v>R. Read</v>
      </c>
      <c r="Q791">
        <f t="shared" si="76"/>
        <v>1</v>
      </c>
      <c r="R791" t="str">
        <f t="shared" si="77"/>
        <v>Almgren-Fransson-Cliff-R. Read</v>
      </c>
    </row>
    <row r="792" spans="1:18" x14ac:dyDescent="0.25">
      <c r="A792" s="1" t="s">
        <v>213</v>
      </c>
      <c r="B792" s="1">
        <v>273</v>
      </c>
      <c r="C792" s="1" t="s">
        <v>12</v>
      </c>
      <c r="D792" s="1">
        <v>1</v>
      </c>
      <c r="E792" s="1" t="s">
        <v>96</v>
      </c>
      <c r="F792" s="1">
        <v>15</v>
      </c>
      <c r="G792" s="1">
        <v>13</v>
      </c>
      <c r="H792" s="1" t="s">
        <v>82</v>
      </c>
      <c r="I792" s="1" t="s">
        <v>231</v>
      </c>
      <c r="J792" s="1" t="s">
        <v>316</v>
      </c>
      <c r="K792" s="1" t="s">
        <v>214</v>
      </c>
      <c r="L792" s="1" t="s">
        <v>354</v>
      </c>
      <c r="M792" t="str">
        <f t="shared" si="72"/>
        <v>M. Calderón</v>
      </c>
      <c r="N792" t="str">
        <f t="shared" si="73"/>
        <v>L. Calderón</v>
      </c>
      <c r="O792" t="str">
        <f t="shared" si="74"/>
        <v>Bastos</v>
      </c>
      <c r="P792" t="str">
        <f t="shared" si="75"/>
        <v>Bordon</v>
      </c>
      <c r="Q792">
        <f t="shared" si="76"/>
        <v>1</v>
      </c>
      <c r="R792" t="str">
        <f t="shared" si="77"/>
        <v>M. Calderón-L. Calderón-Bastos-Bordon</v>
      </c>
    </row>
    <row r="793" spans="1:18" x14ac:dyDescent="0.25">
      <c r="A793" s="1" t="s">
        <v>213</v>
      </c>
      <c r="B793" s="1">
        <v>274</v>
      </c>
      <c r="C793" s="1" t="s">
        <v>12</v>
      </c>
      <c r="D793" s="1">
        <v>2</v>
      </c>
      <c r="E793" s="1" t="s">
        <v>96</v>
      </c>
      <c r="F793" s="1">
        <v>9</v>
      </c>
      <c r="G793" s="1">
        <v>15</v>
      </c>
      <c r="H793" s="1" t="s">
        <v>82</v>
      </c>
      <c r="I793" s="1" t="s">
        <v>231</v>
      </c>
      <c r="J793" s="1" t="s">
        <v>316</v>
      </c>
      <c r="K793" s="1" t="s">
        <v>214</v>
      </c>
      <c r="L793" s="1" t="s">
        <v>354</v>
      </c>
      <c r="M793" t="str">
        <f t="shared" si="72"/>
        <v>M. Calderón</v>
      </c>
      <c r="N793" t="str">
        <f t="shared" si="73"/>
        <v>L. Calderón</v>
      </c>
      <c r="O793" t="str">
        <f t="shared" si="74"/>
        <v>Bastos</v>
      </c>
      <c r="P793" t="str">
        <f t="shared" si="75"/>
        <v>Bordon</v>
      </c>
      <c r="Q793">
        <f t="shared" si="76"/>
        <v>0</v>
      </c>
      <c r="R793" t="str">
        <f t="shared" si="77"/>
        <v>M. Calderón-L. Calderón-Bastos-Bordon</v>
      </c>
    </row>
    <row r="794" spans="1:18" x14ac:dyDescent="0.25">
      <c r="A794" s="1" t="s">
        <v>213</v>
      </c>
      <c r="B794" s="1">
        <v>275</v>
      </c>
      <c r="C794" s="1" t="s">
        <v>12</v>
      </c>
      <c r="D794" s="1">
        <v>3</v>
      </c>
      <c r="E794" s="1" t="s">
        <v>96</v>
      </c>
      <c r="F794" s="1">
        <v>7</v>
      </c>
      <c r="G794" s="1">
        <v>10</v>
      </c>
      <c r="H794" s="1" t="s">
        <v>82</v>
      </c>
      <c r="I794" s="1" t="s">
        <v>231</v>
      </c>
      <c r="J794" s="1" t="s">
        <v>316</v>
      </c>
      <c r="K794" s="1" t="s">
        <v>214</v>
      </c>
      <c r="L794" s="1" t="s">
        <v>354</v>
      </c>
      <c r="M794" t="str">
        <f t="shared" si="72"/>
        <v>M. Calderón</v>
      </c>
      <c r="N794" t="str">
        <f t="shared" si="73"/>
        <v>L. Calderón</v>
      </c>
      <c r="O794" t="str">
        <f t="shared" si="74"/>
        <v>Bastos</v>
      </c>
      <c r="P794" t="str">
        <f t="shared" si="75"/>
        <v>Bordon</v>
      </c>
      <c r="Q794">
        <f t="shared" si="76"/>
        <v>0</v>
      </c>
      <c r="R794" t="str">
        <f t="shared" si="77"/>
        <v>M. Calderón-L. Calderón-Bastos-Bordon</v>
      </c>
    </row>
    <row r="795" spans="1:18" x14ac:dyDescent="0.25">
      <c r="A795" s="1" t="s">
        <v>213</v>
      </c>
      <c r="B795" s="1">
        <v>276</v>
      </c>
      <c r="C795" s="1" t="s">
        <v>18</v>
      </c>
      <c r="D795" s="1">
        <v>1</v>
      </c>
      <c r="E795" s="1" t="s">
        <v>96</v>
      </c>
      <c r="F795" s="1">
        <v>15</v>
      </c>
      <c r="G795" s="1">
        <v>9</v>
      </c>
      <c r="H795" s="1" t="s">
        <v>82</v>
      </c>
      <c r="I795" s="1" t="s">
        <v>236</v>
      </c>
      <c r="J795" s="1" t="s">
        <v>321</v>
      </c>
      <c r="K795" s="1" t="s">
        <v>214</v>
      </c>
      <c r="L795" s="1" t="s">
        <v>354</v>
      </c>
      <c r="M795" t="str">
        <f t="shared" si="72"/>
        <v>Ripoll</v>
      </c>
      <c r="N795" t="str">
        <f t="shared" si="73"/>
        <v>Mussiett</v>
      </c>
      <c r="O795" t="str">
        <f t="shared" si="74"/>
        <v>Barreto</v>
      </c>
      <c r="P795" t="str">
        <f t="shared" si="75"/>
        <v>Pereira</v>
      </c>
      <c r="Q795">
        <f t="shared" si="76"/>
        <v>1</v>
      </c>
      <c r="R795" t="str">
        <f t="shared" si="77"/>
        <v>Ripoll-Mussiett-Barreto-Pereira</v>
      </c>
    </row>
    <row r="796" spans="1:18" x14ac:dyDescent="0.25">
      <c r="A796" s="1" t="s">
        <v>213</v>
      </c>
      <c r="B796" s="1">
        <v>277</v>
      </c>
      <c r="C796" s="1" t="s">
        <v>18</v>
      </c>
      <c r="D796" s="1">
        <v>2</v>
      </c>
      <c r="E796" s="1" t="s">
        <v>96</v>
      </c>
      <c r="F796" s="1">
        <v>15</v>
      </c>
      <c r="G796" s="1">
        <v>9</v>
      </c>
      <c r="H796" s="1" t="s">
        <v>82</v>
      </c>
      <c r="I796" s="1" t="s">
        <v>236</v>
      </c>
      <c r="J796" s="1" t="s">
        <v>321</v>
      </c>
      <c r="K796" s="1" t="s">
        <v>214</v>
      </c>
      <c r="L796" s="1" t="s">
        <v>354</v>
      </c>
      <c r="M796" t="str">
        <f t="shared" si="72"/>
        <v>Ripoll</v>
      </c>
      <c r="N796" t="str">
        <f t="shared" si="73"/>
        <v>Mussiett</v>
      </c>
      <c r="O796" t="str">
        <f t="shared" si="74"/>
        <v>Barreto</v>
      </c>
      <c r="P796" t="str">
        <f t="shared" si="75"/>
        <v>Pereira</v>
      </c>
      <c r="Q796">
        <f t="shared" si="76"/>
        <v>1</v>
      </c>
      <c r="R796" t="str">
        <f t="shared" si="77"/>
        <v>Ripoll-Mussiett-Barreto-Pereira</v>
      </c>
    </row>
    <row r="797" spans="1:18" x14ac:dyDescent="0.25">
      <c r="A797" s="1" t="s">
        <v>213</v>
      </c>
      <c r="B797" s="1">
        <v>279</v>
      </c>
      <c r="C797" s="1" t="s">
        <v>21</v>
      </c>
      <c r="D797" s="1">
        <v>1</v>
      </c>
      <c r="E797" s="1" t="s">
        <v>96</v>
      </c>
      <c r="F797" s="1">
        <v>21</v>
      </c>
      <c r="G797" s="1">
        <v>19</v>
      </c>
      <c r="H797" s="1" t="s">
        <v>82</v>
      </c>
      <c r="I797" s="1" t="s">
        <v>241</v>
      </c>
      <c r="J797" s="1" t="s">
        <v>324</v>
      </c>
      <c r="K797" s="1" t="s">
        <v>214</v>
      </c>
      <c r="L797" s="1" t="s">
        <v>354</v>
      </c>
      <c r="M797" t="str">
        <f t="shared" si="72"/>
        <v>L. Moreno</v>
      </c>
      <c r="N797" t="str">
        <f t="shared" si="73"/>
        <v>R. Moreno</v>
      </c>
      <c r="O797" t="str">
        <f t="shared" si="74"/>
        <v>Aleixo</v>
      </c>
      <c r="P797" t="str">
        <f t="shared" si="75"/>
        <v>Santana</v>
      </c>
      <c r="Q797">
        <f t="shared" si="76"/>
        <v>1</v>
      </c>
      <c r="R797" t="str">
        <f t="shared" si="77"/>
        <v>L. Moreno-R. Moreno-Aleixo-Santana</v>
      </c>
    </row>
    <row r="798" spans="1:18" x14ac:dyDescent="0.25">
      <c r="A798" s="1" t="s">
        <v>213</v>
      </c>
      <c r="B798" s="1">
        <v>280</v>
      </c>
      <c r="C798" s="1" t="s">
        <v>21</v>
      </c>
      <c r="D798" s="1">
        <v>2</v>
      </c>
      <c r="E798" s="1" t="s">
        <v>96</v>
      </c>
      <c r="F798" s="1">
        <v>17</v>
      </c>
      <c r="G798" s="1">
        <v>15</v>
      </c>
      <c r="H798" s="1" t="s">
        <v>82</v>
      </c>
      <c r="I798" s="1" t="s">
        <v>241</v>
      </c>
      <c r="J798" s="1" t="s">
        <v>324</v>
      </c>
      <c r="K798" s="1" t="s">
        <v>214</v>
      </c>
      <c r="L798" s="1" t="s">
        <v>354</v>
      </c>
      <c r="M798" t="str">
        <f t="shared" si="72"/>
        <v>L. Moreno</v>
      </c>
      <c r="N798" t="str">
        <f t="shared" si="73"/>
        <v>R. Moreno</v>
      </c>
      <c r="O798" t="str">
        <f t="shared" si="74"/>
        <v>Aleixo</v>
      </c>
      <c r="P798" t="str">
        <f t="shared" si="75"/>
        <v>Santana</v>
      </c>
      <c r="Q798">
        <f t="shared" si="76"/>
        <v>1</v>
      </c>
      <c r="R798" t="str">
        <f t="shared" si="77"/>
        <v>L. Moreno-R. Moreno-Aleixo-Santana</v>
      </c>
    </row>
    <row r="799" spans="1:18" x14ac:dyDescent="0.25">
      <c r="A799" s="1" t="s">
        <v>213</v>
      </c>
      <c r="B799" s="1">
        <v>282</v>
      </c>
      <c r="C799" s="1" t="s">
        <v>24</v>
      </c>
      <c r="D799" s="1">
        <v>1</v>
      </c>
      <c r="E799" s="1" t="s">
        <v>96</v>
      </c>
      <c r="F799" s="1">
        <v>10</v>
      </c>
      <c r="G799" s="1">
        <v>15</v>
      </c>
      <c r="H799" s="1" t="s">
        <v>82</v>
      </c>
      <c r="I799" s="1" t="s">
        <v>246</v>
      </c>
      <c r="J799" s="1" t="s">
        <v>329</v>
      </c>
      <c r="K799" s="1" t="s">
        <v>214</v>
      </c>
      <c r="L799" s="1" t="s">
        <v>354</v>
      </c>
      <c r="M799" t="str">
        <f t="shared" si="72"/>
        <v>Pezoa</v>
      </c>
      <c r="N799" t="str">
        <f t="shared" si="73"/>
        <v>Lobos</v>
      </c>
      <c r="O799" t="str">
        <f t="shared" si="74"/>
        <v>Vieira</v>
      </c>
      <c r="P799" t="str">
        <f t="shared" si="75"/>
        <v>Serra</v>
      </c>
      <c r="Q799">
        <f t="shared" si="76"/>
        <v>0</v>
      </c>
      <c r="R799" t="str">
        <f t="shared" si="77"/>
        <v>Pezoa-Lobos-Vieira-Serra</v>
      </c>
    </row>
    <row r="800" spans="1:18" x14ac:dyDescent="0.25">
      <c r="A800" s="1" t="s">
        <v>213</v>
      </c>
      <c r="B800" s="1">
        <v>283</v>
      </c>
      <c r="C800" s="1" t="s">
        <v>24</v>
      </c>
      <c r="D800" s="1">
        <v>2</v>
      </c>
      <c r="E800" s="1" t="s">
        <v>96</v>
      </c>
      <c r="F800" s="1">
        <v>15</v>
      </c>
      <c r="G800" s="1">
        <v>13</v>
      </c>
      <c r="H800" s="1" t="s">
        <v>82</v>
      </c>
      <c r="I800" s="1" t="s">
        <v>246</v>
      </c>
      <c r="J800" s="1" t="s">
        <v>329</v>
      </c>
      <c r="K800" s="1" t="s">
        <v>214</v>
      </c>
      <c r="L800" s="1" t="s">
        <v>354</v>
      </c>
      <c r="M800" t="str">
        <f t="shared" si="72"/>
        <v>Pezoa</v>
      </c>
      <c r="N800" t="str">
        <f t="shared" si="73"/>
        <v>Lobos</v>
      </c>
      <c r="O800" t="str">
        <f t="shared" si="74"/>
        <v>Vieira</v>
      </c>
      <c r="P800" t="str">
        <f t="shared" si="75"/>
        <v>Serra</v>
      </c>
      <c r="Q800">
        <f t="shared" si="76"/>
        <v>1</v>
      </c>
      <c r="R800" t="str">
        <f t="shared" si="77"/>
        <v>Pezoa-Lobos-Vieira-Serra</v>
      </c>
    </row>
    <row r="801" spans="1:18" x14ac:dyDescent="0.25">
      <c r="A801" s="1" t="s">
        <v>213</v>
      </c>
      <c r="B801" s="1">
        <v>284</v>
      </c>
      <c r="C801" s="1" t="s">
        <v>24</v>
      </c>
      <c r="D801" s="1">
        <v>3</v>
      </c>
      <c r="E801" s="1" t="s">
        <v>96</v>
      </c>
      <c r="F801" s="1">
        <v>15</v>
      </c>
      <c r="G801" s="1">
        <v>12</v>
      </c>
      <c r="H801" s="1" t="s">
        <v>82</v>
      </c>
      <c r="I801" s="1" t="s">
        <v>246</v>
      </c>
      <c r="J801" s="1" t="s">
        <v>329</v>
      </c>
      <c r="K801" s="1" t="s">
        <v>214</v>
      </c>
      <c r="L801" s="1" t="s">
        <v>354</v>
      </c>
      <c r="M801" t="str">
        <f t="shared" si="72"/>
        <v>Pezoa</v>
      </c>
      <c r="N801" t="str">
        <f t="shared" si="73"/>
        <v>Lobos</v>
      </c>
      <c r="O801" t="str">
        <f t="shared" si="74"/>
        <v>Vieira</v>
      </c>
      <c r="P801" t="str">
        <f t="shared" si="75"/>
        <v>Serra</v>
      </c>
      <c r="Q801">
        <f t="shared" si="76"/>
        <v>1</v>
      </c>
      <c r="R801" t="str">
        <f t="shared" si="77"/>
        <v>Pezoa-Lobos-Vieira-Serra</v>
      </c>
    </row>
    <row r="802" spans="1:18" x14ac:dyDescent="0.25">
      <c r="A802" s="1" t="s">
        <v>213</v>
      </c>
      <c r="B802" s="1">
        <v>285</v>
      </c>
      <c r="C802" s="1" t="s">
        <v>27</v>
      </c>
      <c r="D802" s="1">
        <v>1</v>
      </c>
      <c r="E802" s="1" t="s">
        <v>96</v>
      </c>
      <c r="F802" s="1">
        <v>12</v>
      </c>
      <c r="G802" s="1">
        <v>15</v>
      </c>
      <c r="H802" s="1" t="s">
        <v>82</v>
      </c>
      <c r="I802" s="1" t="s">
        <v>251</v>
      </c>
      <c r="J802" s="1" t="s">
        <v>423</v>
      </c>
      <c r="K802" s="1" t="s">
        <v>214</v>
      </c>
      <c r="L802" s="1" t="s">
        <v>354</v>
      </c>
      <c r="M802" t="str">
        <f t="shared" si="72"/>
        <v>Pinto</v>
      </c>
      <c r="N802" t="str">
        <f t="shared" si="73"/>
        <v>Vera</v>
      </c>
      <c r="O802" t="str">
        <f t="shared" si="74"/>
        <v>Kolonko</v>
      </c>
      <c r="P802" t="str">
        <f t="shared" si="75"/>
        <v xml:space="preserve"> Ma. Thomé</v>
      </c>
      <c r="Q802">
        <f t="shared" si="76"/>
        <v>0</v>
      </c>
      <c r="R802" t="str">
        <f t="shared" si="77"/>
        <v>Pinto-Vera-Kolonko- Ma. Thomé</v>
      </c>
    </row>
    <row r="803" spans="1:18" x14ac:dyDescent="0.25">
      <c r="A803" s="1" t="s">
        <v>213</v>
      </c>
      <c r="B803" s="1">
        <v>286</v>
      </c>
      <c r="C803" s="1" t="s">
        <v>27</v>
      </c>
      <c r="D803" s="1">
        <v>2</v>
      </c>
      <c r="E803" s="1" t="s">
        <v>96</v>
      </c>
      <c r="F803" s="1">
        <v>13</v>
      </c>
      <c r="G803" s="1">
        <v>15</v>
      </c>
      <c r="H803" s="1" t="s">
        <v>82</v>
      </c>
      <c r="I803" s="1" t="s">
        <v>251</v>
      </c>
      <c r="J803" s="1" t="s">
        <v>423</v>
      </c>
      <c r="K803" s="1" t="s">
        <v>214</v>
      </c>
      <c r="L803" s="1" t="s">
        <v>354</v>
      </c>
      <c r="M803" t="str">
        <f t="shared" si="72"/>
        <v>Pinto</v>
      </c>
      <c r="N803" t="str">
        <f t="shared" si="73"/>
        <v>Vera</v>
      </c>
      <c r="O803" t="str">
        <f t="shared" si="74"/>
        <v>Kolonko</v>
      </c>
      <c r="P803" t="str">
        <f t="shared" si="75"/>
        <v xml:space="preserve"> Ma. Thomé</v>
      </c>
      <c r="Q803">
        <f t="shared" si="76"/>
        <v>0</v>
      </c>
      <c r="R803" t="str">
        <f t="shared" si="77"/>
        <v>Pinto-Vera-Kolonko- Ma. Thomé</v>
      </c>
    </row>
    <row r="804" spans="1:18" x14ac:dyDescent="0.25">
      <c r="A804" s="1" t="s">
        <v>207</v>
      </c>
      <c r="B804" s="1">
        <v>3</v>
      </c>
      <c r="C804" s="1" t="s">
        <v>12</v>
      </c>
      <c r="D804" s="1">
        <v>1</v>
      </c>
      <c r="E804" s="1" t="s">
        <v>195</v>
      </c>
      <c r="F804" s="1">
        <v>1</v>
      </c>
      <c r="G804" s="1">
        <v>0</v>
      </c>
      <c r="H804" s="1" t="s">
        <v>96</v>
      </c>
      <c r="I804" s="1" t="s">
        <v>230</v>
      </c>
      <c r="J804" s="1" t="s">
        <v>231</v>
      </c>
      <c r="K804" s="1" t="s">
        <v>208</v>
      </c>
      <c r="L804" s="1" t="s">
        <v>354</v>
      </c>
      <c r="M804" t="str">
        <f t="shared" si="72"/>
        <v>Hui</v>
      </c>
      <c r="N804" t="str">
        <f t="shared" si="73"/>
        <v>O. Jenki</v>
      </c>
      <c r="O804" t="str">
        <f t="shared" si="74"/>
        <v>M. Calderón</v>
      </c>
      <c r="P804" t="str">
        <f t="shared" si="75"/>
        <v>L. Calderón</v>
      </c>
      <c r="Q804">
        <f t="shared" si="76"/>
        <v>1</v>
      </c>
      <c r="R804" t="str">
        <f t="shared" si="77"/>
        <v>Hui-O. Jenki-M. Calderón-L. Calderón</v>
      </c>
    </row>
    <row r="805" spans="1:18" x14ac:dyDescent="0.25">
      <c r="A805" s="1" t="s">
        <v>207</v>
      </c>
      <c r="B805" s="1">
        <v>4</v>
      </c>
      <c r="C805" s="1" t="s">
        <v>12</v>
      </c>
      <c r="D805" s="1">
        <v>2</v>
      </c>
      <c r="E805" s="1" t="s">
        <v>195</v>
      </c>
      <c r="F805" s="1">
        <v>1</v>
      </c>
      <c r="G805" s="1">
        <v>0</v>
      </c>
      <c r="H805" s="1" t="s">
        <v>96</v>
      </c>
      <c r="I805" s="1" t="s">
        <v>230</v>
      </c>
      <c r="J805" s="1" t="s">
        <v>231</v>
      </c>
      <c r="K805" s="1" t="s">
        <v>208</v>
      </c>
      <c r="L805" s="1" t="s">
        <v>354</v>
      </c>
      <c r="M805" t="str">
        <f t="shared" si="72"/>
        <v>Hui</v>
      </c>
      <c r="N805" t="str">
        <f t="shared" si="73"/>
        <v>O. Jenki</v>
      </c>
      <c r="O805" t="str">
        <f t="shared" si="74"/>
        <v>M. Calderón</v>
      </c>
      <c r="P805" t="str">
        <f t="shared" si="75"/>
        <v>L. Calderón</v>
      </c>
      <c r="Q805">
        <f t="shared" si="76"/>
        <v>1</v>
      </c>
      <c r="R805" t="str">
        <f t="shared" si="77"/>
        <v>Hui-O. Jenki-M. Calderón-L. Calderón</v>
      </c>
    </row>
    <row r="806" spans="1:18" x14ac:dyDescent="0.25">
      <c r="A806" s="1" t="s">
        <v>207</v>
      </c>
      <c r="B806" s="1">
        <v>6</v>
      </c>
      <c r="C806" s="1" t="s">
        <v>18</v>
      </c>
      <c r="D806" s="1">
        <v>1</v>
      </c>
      <c r="E806" s="1" t="s">
        <v>195</v>
      </c>
      <c r="F806" s="1">
        <v>1</v>
      </c>
      <c r="G806" s="1">
        <v>0</v>
      </c>
      <c r="H806" s="1" t="s">
        <v>96</v>
      </c>
      <c r="I806" s="1" t="s">
        <v>235</v>
      </c>
      <c r="J806" s="1" t="s">
        <v>236</v>
      </c>
      <c r="K806" s="1" t="s">
        <v>208</v>
      </c>
      <c r="L806" s="1" t="s">
        <v>354</v>
      </c>
      <c r="M806" t="str">
        <f t="shared" si="72"/>
        <v>Washburn</v>
      </c>
      <c r="N806" t="str">
        <f t="shared" si="73"/>
        <v>A. Jenki</v>
      </c>
      <c r="O806" t="str">
        <f t="shared" si="74"/>
        <v>Ripoll</v>
      </c>
      <c r="P806" t="str">
        <f t="shared" si="75"/>
        <v>Mussiett</v>
      </c>
      <c r="Q806">
        <f t="shared" si="76"/>
        <v>1</v>
      </c>
      <c r="R806" t="str">
        <f t="shared" si="77"/>
        <v>Washburn-A. Jenki-Ripoll-Mussiett</v>
      </c>
    </row>
    <row r="807" spans="1:18" x14ac:dyDescent="0.25">
      <c r="A807" s="1" t="s">
        <v>207</v>
      </c>
      <c r="B807" s="1">
        <v>7</v>
      </c>
      <c r="C807" s="1" t="s">
        <v>18</v>
      </c>
      <c r="D807" s="1">
        <v>2</v>
      </c>
      <c r="E807" s="1" t="s">
        <v>195</v>
      </c>
      <c r="F807" s="1">
        <v>1</v>
      </c>
      <c r="G807" s="1">
        <v>0</v>
      </c>
      <c r="H807" s="1" t="s">
        <v>96</v>
      </c>
      <c r="I807" s="1" t="s">
        <v>235</v>
      </c>
      <c r="J807" s="1" t="s">
        <v>236</v>
      </c>
      <c r="K807" s="1" t="s">
        <v>208</v>
      </c>
      <c r="L807" s="1" t="s">
        <v>354</v>
      </c>
      <c r="M807" t="str">
        <f t="shared" si="72"/>
        <v>Washburn</v>
      </c>
      <c r="N807" t="str">
        <f t="shared" si="73"/>
        <v>A. Jenki</v>
      </c>
      <c r="O807" t="str">
        <f t="shared" si="74"/>
        <v>Ripoll</v>
      </c>
      <c r="P807" t="str">
        <f t="shared" si="75"/>
        <v>Mussiett</v>
      </c>
      <c r="Q807">
        <f t="shared" si="76"/>
        <v>1</v>
      </c>
      <c r="R807" t="str">
        <f t="shared" si="77"/>
        <v>Washburn-A. Jenki-Ripoll-Mussiett</v>
      </c>
    </row>
    <row r="808" spans="1:18" x14ac:dyDescent="0.25">
      <c r="A808" s="1" t="s">
        <v>207</v>
      </c>
      <c r="B808" s="1">
        <v>9</v>
      </c>
      <c r="C808" s="1" t="s">
        <v>21</v>
      </c>
      <c r="D808" s="1">
        <v>1</v>
      </c>
      <c r="E808" s="1" t="s">
        <v>195</v>
      </c>
      <c r="F808" s="1">
        <v>1</v>
      </c>
      <c r="G808" s="1">
        <v>0</v>
      </c>
      <c r="H808" s="1" t="s">
        <v>96</v>
      </c>
      <c r="I808" s="1" t="s">
        <v>240</v>
      </c>
      <c r="J808" s="1" t="s">
        <v>241</v>
      </c>
      <c r="K808" s="1" t="s">
        <v>208</v>
      </c>
      <c r="L808" s="1" t="s">
        <v>354</v>
      </c>
      <c r="M808" t="str">
        <f t="shared" si="72"/>
        <v>Morgan</v>
      </c>
      <c r="N808" t="str">
        <f t="shared" si="73"/>
        <v>Fleming</v>
      </c>
      <c r="O808" t="str">
        <f t="shared" si="74"/>
        <v>L. Moreno</v>
      </c>
      <c r="P808" t="str">
        <f t="shared" si="75"/>
        <v>R. Moreno</v>
      </c>
      <c r="Q808">
        <f t="shared" si="76"/>
        <v>1</v>
      </c>
      <c r="R808" t="str">
        <f t="shared" si="77"/>
        <v>Morgan-Fleming-L. Moreno-R. Moreno</v>
      </c>
    </row>
    <row r="809" spans="1:18" x14ac:dyDescent="0.25">
      <c r="A809" s="1" t="s">
        <v>207</v>
      </c>
      <c r="B809" s="1">
        <v>10</v>
      </c>
      <c r="C809" s="1" t="s">
        <v>21</v>
      </c>
      <c r="D809" s="1">
        <v>2</v>
      </c>
      <c r="E809" s="1" t="s">
        <v>195</v>
      </c>
      <c r="F809" s="1">
        <v>1</v>
      </c>
      <c r="G809" s="1">
        <v>0</v>
      </c>
      <c r="H809" s="1" t="s">
        <v>96</v>
      </c>
      <c r="I809" s="1" t="s">
        <v>240</v>
      </c>
      <c r="J809" s="1" t="s">
        <v>241</v>
      </c>
      <c r="K809" s="1" t="s">
        <v>208</v>
      </c>
      <c r="L809" s="1" t="s">
        <v>354</v>
      </c>
      <c r="M809" t="str">
        <f t="shared" si="72"/>
        <v>Morgan</v>
      </c>
      <c r="N809" t="str">
        <f t="shared" si="73"/>
        <v>Fleming</v>
      </c>
      <c r="O809" t="str">
        <f t="shared" si="74"/>
        <v>L. Moreno</v>
      </c>
      <c r="P809" t="str">
        <f t="shared" si="75"/>
        <v>R. Moreno</v>
      </c>
      <c r="Q809">
        <f t="shared" si="76"/>
        <v>1</v>
      </c>
      <c r="R809" t="str">
        <f t="shared" si="77"/>
        <v>Morgan-Fleming-L. Moreno-R. Moreno</v>
      </c>
    </row>
    <row r="810" spans="1:18" x14ac:dyDescent="0.25">
      <c r="A810" s="1" t="s">
        <v>207</v>
      </c>
      <c r="B810" s="1">
        <v>12</v>
      </c>
      <c r="C810" s="1" t="s">
        <v>24</v>
      </c>
      <c r="D810" s="1">
        <v>1</v>
      </c>
      <c r="E810" s="1" t="s">
        <v>195</v>
      </c>
      <c r="F810" s="1">
        <v>1</v>
      </c>
      <c r="G810" s="1">
        <v>0</v>
      </c>
      <c r="H810" s="1" t="s">
        <v>96</v>
      </c>
      <c r="I810" s="1" t="s">
        <v>245</v>
      </c>
      <c r="J810" s="1" t="s">
        <v>246</v>
      </c>
      <c r="K810" s="1" t="s">
        <v>208</v>
      </c>
      <c r="L810" s="1" t="s">
        <v>354</v>
      </c>
      <c r="M810" t="str">
        <f t="shared" si="72"/>
        <v>Pierson</v>
      </c>
      <c r="N810" t="str">
        <f t="shared" si="73"/>
        <v>Phan</v>
      </c>
      <c r="O810" t="str">
        <f t="shared" si="74"/>
        <v>Pezoa</v>
      </c>
      <c r="P810" t="str">
        <f t="shared" si="75"/>
        <v>Lobos</v>
      </c>
      <c r="Q810">
        <f t="shared" si="76"/>
        <v>1</v>
      </c>
      <c r="R810" t="str">
        <f t="shared" si="77"/>
        <v>Pierson-Phan-Pezoa-Lobos</v>
      </c>
    </row>
    <row r="811" spans="1:18" x14ac:dyDescent="0.25">
      <c r="A811" s="1" t="s">
        <v>207</v>
      </c>
      <c r="B811" s="1">
        <v>13</v>
      </c>
      <c r="C811" s="1" t="s">
        <v>24</v>
      </c>
      <c r="D811" s="1">
        <v>2</v>
      </c>
      <c r="E811" s="1" t="s">
        <v>195</v>
      </c>
      <c r="F811" s="1">
        <v>1</v>
      </c>
      <c r="G811" s="1">
        <v>0</v>
      </c>
      <c r="H811" s="1" t="s">
        <v>96</v>
      </c>
      <c r="I811" s="1" t="s">
        <v>245</v>
      </c>
      <c r="J811" s="1" t="s">
        <v>246</v>
      </c>
      <c r="K811" s="1" t="s">
        <v>208</v>
      </c>
      <c r="L811" s="1" t="s">
        <v>354</v>
      </c>
      <c r="M811" t="str">
        <f t="shared" si="72"/>
        <v>Pierson</v>
      </c>
      <c r="N811" t="str">
        <f t="shared" si="73"/>
        <v>Phan</v>
      </c>
      <c r="O811" t="str">
        <f t="shared" si="74"/>
        <v>Pezoa</v>
      </c>
      <c r="P811" t="str">
        <f t="shared" si="75"/>
        <v>Lobos</v>
      </c>
      <c r="Q811">
        <f t="shared" si="76"/>
        <v>1</v>
      </c>
      <c r="R811" t="str">
        <f t="shared" si="77"/>
        <v>Pierson-Phan-Pezoa-Lobos</v>
      </c>
    </row>
    <row r="812" spans="1:18" x14ac:dyDescent="0.25">
      <c r="A812" s="1" t="s">
        <v>207</v>
      </c>
      <c r="B812" s="1">
        <v>15</v>
      </c>
      <c r="C812" s="1" t="s">
        <v>27</v>
      </c>
      <c r="D812" s="1">
        <v>1</v>
      </c>
      <c r="E812" s="1" t="s">
        <v>195</v>
      </c>
      <c r="F812" s="1">
        <v>1</v>
      </c>
      <c r="G812" s="1">
        <v>0</v>
      </c>
      <c r="H812" s="1" t="s">
        <v>96</v>
      </c>
      <c r="I812" s="1" t="s">
        <v>250</v>
      </c>
      <c r="J812" s="1" t="s">
        <v>251</v>
      </c>
      <c r="K812" s="1" t="s">
        <v>208</v>
      </c>
      <c r="L812" s="1" t="s">
        <v>354</v>
      </c>
      <c r="M812" t="str">
        <f t="shared" si="72"/>
        <v>Timan</v>
      </c>
      <c r="N812" t="str">
        <f t="shared" si="73"/>
        <v>Allen</v>
      </c>
      <c r="O812" t="str">
        <f t="shared" si="74"/>
        <v>Pinto</v>
      </c>
      <c r="P812" t="str">
        <f t="shared" si="75"/>
        <v>Vera</v>
      </c>
      <c r="Q812">
        <f t="shared" si="76"/>
        <v>1</v>
      </c>
      <c r="R812" t="str">
        <f t="shared" si="77"/>
        <v>Timan-Allen-Pinto-Vera</v>
      </c>
    </row>
    <row r="813" spans="1:18" x14ac:dyDescent="0.25">
      <c r="A813" s="1" t="s">
        <v>207</v>
      </c>
      <c r="B813" s="1">
        <v>16</v>
      </c>
      <c r="C813" s="1" t="s">
        <v>27</v>
      </c>
      <c r="D813" s="1">
        <v>2</v>
      </c>
      <c r="E813" s="1" t="s">
        <v>195</v>
      </c>
      <c r="F813" s="1">
        <v>1</v>
      </c>
      <c r="G813" s="1">
        <v>0</v>
      </c>
      <c r="H813" s="1" t="s">
        <v>96</v>
      </c>
      <c r="I813" s="1" t="s">
        <v>250</v>
      </c>
      <c r="J813" s="1" t="s">
        <v>251</v>
      </c>
      <c r="K813" s="1" t="s">
        <v>208</v>
      </c>
      <c r="L813" s="1" t="s">
        <v>354</v>
      </c>
      <c r="M813" t="str">
        <f t="shared" si="72"/>
        <v>Timan</v>
      </c>
      <c r="N813" t="str">
        <f t="shared" si="73"/>
        <v>Allen</v>
      </c>
      <c r="O813" t="str">
        <f t="shared" si="74"/>
        <v>Pinto</v>
      </c>
      <c r="P813" t="str">
        <f t="shared" si="75"/>
        <v>Vera</v>
      </c>
      <c r="Q813">
        <f t="shared" si="76"/>
        <v>1</v>
      </c>
      <c r="R813" t="str">
        <f t="shared" si="77"/>
        <v>Timan-Allen-Pinto-Vera</v>
      </c>
    </row>
    <row r="814" spans="1:18" x14ac:dyDescent="0.25">
      <c r="A814" s="1" t="s">
        <v>207</v>
      </c>
      <c r="B814" s="1">
        <v>21</v>
      </c>
      <c r="C814" s="1" t="s">
        <v>12</v>
      </c>
      <c r="D814" s="1">
        <v>1</v>
      </c>
      <c r="E814" s="1" t="s">
        <v>156</v>
      </c>
      <c r="F814" s="1">
        <v>15</v>
      </c>
      <c r="G814" s="1">
        <v>12</v>
      </c>
      <c r="H814" s="1" t="s">
        <v>169</v>
      </c>
      <c r="I814" s="1" t="s">
        <v>255</v>
      </c>
      <c r="J814" s="1" t="s">
        <v>256</v>
      </c>
      <c r="K814" s="1" t="s">
        <v>208</v>
      </c>
      <c r="L814" s="1" t="s">
        <v>354</v>
      </c>
      <c r="M814" t="str">
        <f t="shared" si="72"/>
        <v>Leybourne</v>
      </c>
      <c r="N814" t="str">
        <f t="shared" si="73"/>
        <v>Kadlec</v>
      </c>
      <c r="O814" t="str">
        <f t="shared" si="74"/>
        <v>Mollberg</v>
      </c>
      <c r="P814" t="str">
        <f t="shared" si="75"/>
        <v>Westerland</v>
      </c>
      <c r="Q814">
        <f t="shared" si="76"/>
        <v>1</v>
      </c>
      <c r="R814" t="str">
        <f t="shared" si="77"/>
        <v>Leybourne-Kadlec-Mollberg-Westerland</v>
      </c>
    </row>
    <row r="815" spans="1:18" x14ac:dyDescent="0.25">
      <c r="A815" s="1" t="s">
        <v>207</v>
      </c>
      <c r="B815" s="1">
        <v>22</v>
      </c>
      <c r="C815" s="1" t="s">
        <v>12</v>
      </c>
      <c r="D815" s="1">
        <v>2</v>
      </c>
      <c r="E815" s="1" t="s">
        <v>156</v>
      </c>
      <c r="F815" s="1">
        <v>15</v>
      </c>
      <c r="G815" s="1">
        <v>10</v>
      </c>
      <c r="H815" s="1" t="s">
        <v>169</v>
      </c>
      <c r="I815" s="1" t="s">
        <v>255</v>
      </c>
      <c r="J815" s="1" t="s">
        <v>256</v>
      </c>
      <c r="K815" s="1" t="s">
        <v>208</v>
      </c>
      <c r="L815" s="1" t="s">
        <v>354</v>
      </c>
      <c r="M815" t="str">
        <f t="shared" si="72"/>
        <v>Leybourne</v>
      </c>
      <c r="N815" t="str">
        <f t="shared" si="73"/>
        <v>Kadlec</v>
      </c>
      <c r="O815" t="str">
        <f t="shared" si="74"/>
        <v>Mollberg</v>
      </c>
      <c r="P815" t="str">
        <f t="shared" si="75"/>
        <v>Westerland</v>
      </c>
      <c r="Q815">
        <f t="shared" si="76"/>
        <v>1</v>
      </c>
      <c r="R815" t="str">
        <f t="shared" si="77"/>
        <v>Leybourne-Kadlec-Mollberg-Westerland</v>
      </c>
    </row>
    <row r="816" spans="1:18" x14ac:dyDescent="0.25">
      <c r="A816" s="1" t="s">
        <v>207</v>
      </c>
      <c r="B816" s="1">
        <v>24</v>
      </c>
      <c r="C816" s="1" t="s">
        <v>18</v>
      </c>
      <c r="D816" s="1">
        <v>1</v>
      </c>
      <c r="E816" s="1" t="s">
        <v>156</v>
      </c>
      <c r="F816" s="1">
        <v>15</v>
      </c>
      <c r="G816" s="1">
        <v>8</v>
      </c>
      <c r="H816" s="1" t="s">
        <v>169</v>
      </c>
      <c r="I816" s="1" t="s">
        <v>258</v>
      </c>
      <c r="J816" s="1" t="s">
        <v>259</v>
      </c>
      <c r="K816" s="1" t="s">
        <v>208</v>
      </c>
      <c r="L816" s="1" t="s">
        <v>354</v>
      </c>
      <c r="M816" t="str">
        <f t="shared" si="72"/>
        <v>Kornek</v>
      </c>
      <c r="N816" t="str">
        <f t="shared" si="73"/>
        <v>Teskey</v>
      </c>
      <c r="O816" t="str">
        <f t="shared" si="74"/>
        <v>Elmblad</v>
      </c>
      <c r="P816" t="str">
        <f t="shared" si="75"/>
        <v>Hedman</v>
      </c>
      <c r="Q816">
        <f t="shared" si="76"/>
        <v>1</v>
      </c>
      <c r="R816" t="str">
        <f t="shared" si="77"/>
        <v>Kornek-Teskey-Elmblad-Hedman</v>
      </c>
    </row>
    <row r="817" spans="1:18" x14ac:dyDescent="0.25">
      <c r="A817" s="1" t="s">
        <v>207</v>
      </c>
      <c r="B817" s="1">
        <v>25</v>
      </c>
      <c r="C817" s="1" t="s">
        <v>18</v>
      </c>
      <c r="D817" s="1">
        <v>2</v>
      </c>
      <c r="E817" s="1" t="s">
        <v>156</v>
      </c>
      <c r="F817" s="1">
        <v>15</v>
      </c>
      <c r="G817" s="1">
        <v>7</v>
      </c>
      <c r="H817" s="1" t="s">
        <v>169</v>
      </c>
      <c r="I817" s="1" t="s">
        <v>258</v>
      </c>
      <c r="J817" s="1" t="s">
        <v>259</v>
      </c>
      <c r="K817" s="1" t="s">
        <v>208</v>
      </c>
      <c r="L817" s="1" t="s">
        <v>354</v>
      </c>
      <c r="M817" t="str">
        <f t="shared" si="72"/>
        <v>Kornek</v>
      </c>
      <c r="N817" t="str">
        <f t="shared" si="73"/>
        <v>Teskey</v>
      </c>
      <c r="O817" t="str">
        <f t="shared" si="74"/>
        <v>Elmblad</v>
      </c>
      <c r="P817" t="str">
        <f t="shared" si="75"/>
        <v>Hedman</v>
      </c>
      <c r="Q817">
        <f t="shared" si="76"/>
        <v>1</v>
      </c>
      <c r="R817" t="str">
        <f t="shared" si="77"/>
        <v>Kornek-Teskey-Elmblad-Hedman</v>
      </c>
    </row>
    <row r="818" spans="1:18" x14ac:dyDescent="0.25">
      <c r="A818" s="1" t="s">
        <v>207</v>
      </c>
      <c r="B818" s="1">
        <v>27</v>
      </c>
      <c r="C818" s="1" t="s">
        <v>21</v>
      </c>
      <c r="D818" s="1">
        <v>1</v>
      </c>
      <c r="E818" s="1" t="s">
        <v>156</v>
      </c>
      <c r="F818" s="1">
        <v>15</v>
      </c>
      <c r="G818" s="1">
        <v>5</v>
      </c>
      <c r="H818" s="1" t="s">
        <v>169</v>
      </c>
      <c r="I818" s="1" t="s">
        <v>368</v>
      </c>
      <c r="J818" s="1" t="s">
        <v>262</v>
      </c>
      <c r="K818" s="1" t="s">
        <v>208</v>
      </c>
      <c r="L818" s="1" t="s">
        <v>354</v>
      </c>
      <c r="M818" t="str">
        <f t="shared" si="72"/>
        <v>Lehner</v>
      </c>
      <c r="N818" t="str">
        <f t="shared" si="73"/>
        <v>orlandini</v>
      </c>
      <c r="O818" t="str">
        <f t="shared" si="74"/>
        <v>Dahlquist</v>
      </c>
      <c r="P818" t="str">
        <f t="shared" si="75"/>
        <v>Gustavsson</v>
      </c>
      <c r="Q818">
        <f t="shared" si="76"/>
        <v>1</v>
      </c>
      <c r="R818" t="str">
        <f t="shared" si="77"/>
        <v>Lehner-orlandini-Dahlquist-Gustavsson</v>
      </c>
    </row>
    <row r="819" spans="1:18" x14ac:dyDescent="0.25">
      <c r="A819" s="1" t="s">
        <v>207</v>
      </c>
      <c r="B819" s="1">
        <v>28</v>
      </c>
      <c r="C819" s="1" t="s">
        <v>21</v>
      </c>
      <c r="D819" s="1">
        <v>2</v>
      </c>
      <c r="E819" s="1" t="s">
        <v>156</v>
      </c>
      <c r="F819" s="1">
        <v>15</v>
      </c>
      <c r="G819" s="1">
        <v>10</v>
      </c>
      <c r="H819" s="1" t="s">
        <v>169</v>
      </c>
      <c r="I819" s="1" t="s">
        <v>368</v>
      </c>
      <c r="J819" s="1" t="s">
        <v>262</v>
      </c>
      <c r="K819" s="1" t="s">
        <v>208</v>
      </c>
      <c r="L819" s="1" t="s">
        <v>354</v>
      </c>
      <c r="M819" t="str">
        <f t="shared" si="72"/>
        <v>Lehner</v>
      </c>
      <c r="N819" t="str">
        <f t="shared" si="73"/>
        <v>orlandini</v>
      </c>
      <c r="O819" t="str">
        <f t="shared" si="74"/>
        <v>Dahlquist</v>
      </c>
      <c r="P819" t="str">
        <f t="shared" si="75"/>
        <v>Gustavsson</v>
      </c>
      <c r="Q819">
        <f t="shared" si="76"/>
        <v>1</v>
      </c>
      <c r="R819" t="str">
        <f t="shared" si="77"/>
        <v>Lehner-orlandini-Dahlquist-Gustavsson</v>
      </c>
    </row>
    <row r="820" spans="1:18" x14ac:dyDescent="0.25">
      <c r="A820" s="1" t="s">
        <v>207</v>
      </c>
      <c r="B820" s="1">
        <v>30</v>
      </c>
      <c r="C820" s="1" t="s">
        <v>24</v>
      </c>
      <c r="D820" s="1">
        <v>1</v>
      </c>
      <c r="E820" s="1" t="s">
        <v>156</v>
      </c>
      <c r="F820" s="1">
        <v>15</v>
      </c>
      <c r="G820" s="1">
        <v>9</v>
      </c>
      <c r="H820" s="1" t="s">
        <v>169</v>
      </c>
      <c r="I820" s="1" t="s">
        <v>366</v>
      </c>
      <c r="J820" s="1" t="s">
        <v>265</v>
      </c>
      <c r="K820" s="1" t="s">
        <v>208</v>
      </c>
      <c r="L820" s="1" t="s">
        <v>354</v>
      </c>
      <c r="M820" t="str">
        <f t="shared" si="72"/>
        <v>A. Bauer</v>
      </c>
      <c r="N820" t="str">
        <f t="shared" si="73"/>
        <v>Sundl</v>
      </c>
      <c r="O820" t="str">
        <f t="shared" si="74"/>
        <v>Häggqvist</v>
      </c>
      <c r="P820" t="str">
        <f t="shared" si="75"/>
        <v>Hugosson</v>
      </c>
      <c r="Q820">
        <f t="shared" si="76"/>
        <v>1</v>
      </c>
      <c r="R820" t="str">
        <f t="shared" si="77"/>
        <v>A. Bauer-Sundl-Häggqvist-Hugosson</v>
      </c>
    </row>
    <row r="821" spans="1:18" x14ac:dyDescent="0.25">
      <c r="A821" s="1" t="s">
        <v>207</v>
      </c>
      <c r="B821" s="1">
        <v>31</v>
      </c>
      <c r="C821" s="1" t="s">
        <v>24</v>
      </c>
      <c r="D821" s="1">
        <v>2</v>
      </c>
      <c r="E821" s="1" t="s">
        <v>156</v>
      </c>
      <c r="F821" s="1">
        <v>15</v>
      </c>
      <c r="G821" s="1">
        <v>9</v>
      </c>
      <c r="H821" s="1" t="s">
        <v>169</v>
      </c>
      <c r="I821" s="1" t="s">
        <v>366</v>
      </c>
      <c r="J821" s="1" t="s">
        <v>265</v>
      </c>
      <c r="K821" s="1" t="s">
        <v>208</v>
      </c>
      <c r="L821" s="1" t="s">
        <v>354</v>
      </c>
      <c r="M821" t="str">
        <f t="shared" si="72"/>
        <v>A. Bauer</v>
      </c>
      <c r="N821" t="str">
        <f t="shared" si="73"/>
        <v>Sundl</v>
      </c>
      <c r="O821" t="str">
        <f t="shared" si="74"/>
        <v>Häggqvist</v>
      </c>
      <c r="P821" t="str">
        <f t="shared" si="75"/>
        <v>Hugosson</v>
      </c>
      <c r="Q821">
        <f t="shared" si="76"/>
        <v>1</v>
      </c>
      <c r="R821" t="str">
        <f t="shared" si="77"/>
        <v>A. Bauer-Sundl-Häggqvist-Hugosson</v>
      </c>
    </row>
    <row r="822" spans="1:18" x14ac:dyDescent="0.25">
      <c r="A822" s="1" t="s">
        <v>207</v>
      </c>
      <c r="B822" s="1">
        <v>33</v>
      </c>
      <c r="C822" s="1" t="s">
        <v>27</v>
      </c>
      <c r="D822" s="1">
        <v>1</v>
      </c>
      <c r="E822" s="1" t="s">
        <v>156</v>
      </c>
      <c r="F822" s="1">
        <v>10</v>
      </c>
      <c r="G822" s="1">
        <v>17</v>
      </c>
      <c r="H822" s="1" t="s">
        <v>169</v>
      </c>
      <c r="I822" s="1" t="s">
        <v>267</v>
      </c>
      <c r="J822" s="1" t="s">
        <v>269</v>
      </c>
      <c r="K822" s="1" t="s">
        <v>208</v>
      </c>
      <c r="L822" s="1" t="s">
        <v>354</v>
      </c>
      <c r="M822" t="str">
        <f t="shared" si="72"/>
        <v>Mrak</v>
      </c>
      <c r="N822" t="str">
        <f t="shared" si="73"/>
        <v>Seiberl</v>
      </c>
      <c r="O822" t="str">
        <f t="shared" si="74"/>
        <v>Almgren</v>
      </c>
      <c r="P822" t="str">
        <f t="shared" si="75"/>
        <v>Fransson</v>
      </c>
      <c r="Q822">
        <f t="shared" si="76"/>
        <v>0</v>
      </c>
      <c r="R822" t="str">
        <f t="shared" si="77"/>
        <v>Mrak-Seiberl-Almgren-Fransson</v>
      </c>
    </row>
    <row r="823" spans="1:18" x14ac:dyDescent="0.25">
      <c r="A823" s="1" t="s">
        <v>207</v>
      </c>
      <c r="B823" s="1">
        <v>34</v>
      </c>
      <c r="C823" s="1" t="s">
        <v>27</v>
      </c>
      <c r="D823" s="1">
        <v>2</v>
      </c>
      <c r="E823" s="1" t="s">
        <v>156</v>
      </c>
      <c r="F823" s="1">
        <v>0</v>
      </c>
      <c r="G823" s="1">
        <v>0</v>
      </c>
      <c r="H823" s="1" t="s">
        <v>169</v>
      </c>
      <c r="I823" s="1" t="s">
        <v>267</v>
      </c>
      <c r="J823" s="1" t="s">
        <v>269</v>
      </c>
      <c r="K823" s="1" t="s">
        <v>208</v>
      </c>
      <c r="L823" s="1" t="s">
        <v>354</v>
      </c>
      <c r="M823" t="str">
        <f t="shared" si="72"/>
        <v>Mrak</v>
      </c>
      <c r="N823" t="str">
        <f t="shared" si="73"/>
        <v>Seiberl</v>
      </c>
      <c r="O823" t="str">
        <f t="shared" si="74"/>
        <v>Almgren</v>
      </c>
      <c r="P823" t="str">
        <f t="shared" si="75"/>
        <v>Fransson</v>
      </c>
      <c r="Q823">
        <f t="shared" si="76"/>
        <v>0</v>
      </c>
      <c r="R823" t="str">
        <f t="shared" si="77"/>
        <v>Mrak-Seiberl-Almgren-Fransson</v>
      </c>
    </row>
    <row r="824" spans="1:18" x14ac:dyDescent="0.25">
      <c r="A824" s="1" t="s">
        <v>207</v>
      </c>
      <c r="B824" s="1">
        <v>39</v>
      </c>
      <c r="C824" s="1" t="s">
        <v>12</v>
      </c>
      <c r="D824" s="1">
        <v>1</v>
      </c>
      <c r="E824" s="1" t="s">
        <v>194</v>
      </c>
      <c r="F824" s="1">
        <v>15</v>
      </c>
      <c r="G824" s="1">
        <v>10</v>
      </c>
      <c r="H824" s="1" t="s">
        <v>182</v>
      </c>
      <c r="I824" s="1" t="s">
        <v>270</v>
      </c>
      <c r="J824" s="1" t="s">
        <v>271</v>
      </c>
      <c r="K824" s="1" t="s">
        <v>208</v>
      </c>
      <c r="L824" s="1" t="s">
        <v>354</v>
      </c>
      <c r="M824" t="str">
        <f t="shared" si="72"/>
        <v>Aspirot</v>
      </c>
      <c r="N824" t="str">
        <f t="shared" si="73"/>
        <v>Tardy</v>
      </c>
      <c r="O824" t="str">
        <f t="shared" si="74"/>
        <v>Molina</v>
      </c>
      <c r="P824" t="str">
        <f t="shared" si="75"/>
        <v>Gebel</v>
      </c>
      <c r="Q824">
        <f t="shared" si="76"/>
        <v>1</v>
      </c>
      <c r="R824" t="str">
        <f t="shared" si="77"/>
        <v>Aspirot-Tardy-Molina-Gebel</v>
      </c>
    </row>
    <row r="825" spans="1:18" x14ac:dyDescent="0.25">
      <c r="A825" s="1" t="s">
        <v>207</v>
      </c>
      <c r="B825" s="1">
        <v>40</v>
      </c>
      <c r="C825" s="1" t="s">
        <v>12</v>
      </c>
      <c r="D825" s="1">
        <v>2</v>
      </c>
      <c r="E825" s="1" t="s">
        <v>194</v>
      </c>
      <c r="F825" s="1">
        <v>15</v>
      </c>
      <c r="G825" s="1">
        <v>7</v>
      </c>
      <c r="H825" s="1" t="s">
        <v>182</v>
      </c>
      <c r="I825" s="1" t="s">
        <v>270</v>
      </c>
      <c r="J825" s="1" t="s">
        <v>271</v>
      </c>
      <c r="K825" s="1" t="s">
        <v>208</v>
      </c>
      <c r="L825" s="1" t="s">
        <v>354</v>
      </c>
      <c r="M825" t="str">
        <f t="shared" si="72"/>
        <v>Aspirot</v>
      </c>
      <c r="N825" t="str">
        <f t="shared" si="73"/>
        <v>Tardy</v>
      </c>
      <c r="O825" t="str">
        <f t="shared" si="74"/>
        <v>Molina</v>
      </c>
      <c r="P825" t="str">
        <f t="shared" si="75"/>
        <v>Gebel</v>
      </c>
      <c r="Q825">
        <f t="shared" si="76"/>
        <v>1</v>
      </c>
      <c r="R825" t="str">
        <f t="shared" si="77"/>
        <v>Aspirot-Tardy-Molina-Gebel</v>
      </c>
    </row>
    <row r="826" spans="1:18" x14ac:dyDescent="0.25">
      <c r="A826" s="1" t="s">
        <v>207</v>
      </c>
      <c r="B826" s="1">
        <v>42</v>
      </c>
      <c r="C826" s="1" t="s">
        <v>18</v>
      </c>
      <c r="D826" s="1">
        <v>1</v>
      </c>
      <c r="E826" s="1" t="s">
        <v>194</v>
      </c>
      <c r="F826" s="1">
        <v>17</v>
      </c>
      <c r="G826" s="1">
        <v>15</v>
      </c>
      <c r="H826" s="1" t="s">
        <v>182</v>
      </c>
      <c r="I826" s="1" t="s">
        <v>393</v>
      </c>
      <c r="J826" s="1" t="s">
        <v>394</v>
      </c>
      <c r="K826" s="1" t="s">
        <v>208</v>
      </c>
      <c r="L826" s="1" t="s">
        <v>354</v>
      </c>
      <c r="M826" t="str">
        <f t="shared" si="72"/>
        <v>Fonseca</v>
      </c>
      <c r="N826" t="str">
        <f t="shared" si="73"/>
        <v>J. Leung</v>
      </c>
      <c r="O826" t="str">
        <f t="shared" si="74"/>
        <v>R. Martin</v>
      </c>
      <c r="P826" t="str">
        <f t="shared" si="75"/>
        <v>Villamariz</v>
      </c>
      <c r="Q826">
        <f t="shared" si="76"/>
        <v>1</v>
      </c>
      <c r="R826" t="str">
        <f t="shared" si="77"/>
        <v>Fonseca-J. Leung-R. Martin-Villamariz</v>
      </c>
    </row>
    <row r="827" spans="1:18" x14ac:dyDescent="0.25">
      <c r="A827" s="1" t="s">
        <v>207</v>
      </c>
      <c r="B827" s="1">
        <v>43</v>
      </c>
      <c r="C827" s="1" t="s">
        <v>18</v>
      </c>
      <c r="D827" s="1">
        <v>2</v>
      </c>
      <c r="E827" s="1" t="s">
        <v>194</v>
      </c>
      <c r="F827" s="1">
        <v>15</v>
      </c>
      <c r="G827" s="1">
        <v>9</v>
      </c>
      <c r="H827" s="1" t="s">
        <v>182</v>
      </c>
      <c r="I827" s="1" t="s">
        <v>393</v>
      </c>
      <c r="J827" s="1" t="s">
        <v>394</v>
      </c>
      <c r="K827" s="1" t="s">
        <v>208</v>
      </c>
      <c r="L827" s="1" t="s">
        <v>354</v>
      </c>
      <c r="M827" t="str">
        <f t="shared" si="72"/>
        <v>Fonseca</v>
      </c>
      <c r="N827" t="str">
        <f t="shared" si="73"/>
        <v>J. Leung</v>
      </c>
      <c r="O827" t="str">
        <f t="shared" si="74"/>
        <v>R. Martin</v>
      </c>
      <c r="P827" t="str">
        <f t="shared" si="75"/>
        <v>Villamariz</v>
      </c>
      <c r="Q827">
        <f t="shared" si="76"/>
        <v>1</v>
      </c>
      <c r="R827" t="str">
        <f t="shared" si="77"/>
        <v>Fonseca-J. Leung-R. Martin-Villamariz</v>
      </c>
    </row>
    <row r="828" spans="1:18" x14ac:dyDescent="0.25">
      <c r="A828" s="1" t="s">
        <v>207</v>
      </c>
      <c r="B828" s="1">
        <v>45</v>
      </c>
      <c r="C828" s="1" t="s">
        <v>21</v>
      </c>
      <c r="D828" s="1">
        <v>1</v>
      </c>
      <c r="E828" s="1" t="s">
        <v>194</v>
      </c>
      <c r="F828" s="1">
        <v>15</v>
      </c>
      <c r="G828" s="1">
        <v>9</v>
      </c>
      <c r="H828" s="1" t="s">
        <v>182</v>
      </c>
      <c r="I828" s="1" t="s">
        <v>276</v>
      </c>
      <c r="J828" s="1" t="s">
        <v>277</v>
      </c>
      <c r="K828" s="1" t="s">
        <v>208</v>
      </c>
      <c r="L828" s="1" t="s">
        <v>354</v>
      </c>
      <c r="M828" t="str">
        <f t="shared" si="72"/>
        <v>Vallee</v>
      </c>
      <c r="N828" t="str">
        <f t="shared" si="73"/>
        <v>Couroux</v>
      </c>
      <c r="O828" t="str">
        <f t="shared" si="74"/>
        <v>Thieren</v>
      </c>
      <c r="P828" t="str">
        <f t="shared" si="75"/>
        <v>Hernández</v>
      </c>
      <c r="Q828">
        <f t="shared" si="76"/>
        <v>1</v>
      </c>
      <c r="R828" t="str">
        <f t="shared" si="77"/>
        <v>Vallee-Couroux-Thieren-Hernández</v>
      </c>
    </row>
    <row r="829" spans="1:18" x14ac:dyDescent="0.25">
      <c r="A829" s="1" t="s">
        <v>207</v>
      </c>
      <c r="B829" s="1">
        <v>46</v>
      </c>
      <c r="C829" s="1" t="s">
        <v>21</v>
      </c>
      <c r="D829" s="1">
        <v>2</v>
      </c>
      <c r="E829" s="1" t="s">
        <v>194</v>
      </c>
      <c r="F829" s="1">
        <v>15</v>
      </c>
      <c r="G829" s="1">
        <v>7</v>
      </c>
      <c r="H829" s="1" t="s">
        <v>182</v>
      </c>
      <c r="I829" s="1" t="s">
        <v>276</v>
      </c>
      <c r="J829" s="1" t="s">
        <v>277</v>
      </c>
      <c r="K829" s="1" t="s">
        <v>208</v>
      </c>
      <c r="L829" s="1" t="s">
        <v>354</v>
      </c>
      <c r="M829" t="str">
        <f t="shared" si="72"/>
        <v>Vallee</v>
      </c>
      <c r="N829" t="str">
        <f t="shared" si="73"/>
        <v>Couroux</v>
      </c>
      <c r="O829" t="str">
        <f t="shared" si="74"/>
        <v>Thieren</v>
      </c>
      <c r="P829" t="str">
        <f t="shared" si="75"/>
        <v>Hernández</v>
      </c>
      <c r="Q829">
        <f t="shared" si="76"/>
        <v>1</v>
      </c>
      <c r="R829" t="str">
        <f t="shared" si="77"/>
        <v>Vallee-Couroux-Thieren-Hernández</v>
      </c>
    </row>
    <row r="830" spans="1:18" x14ac:dyDescent="0.25">
      <c r="A830" s="1" t="s">
        <v>207</v>
      </c>
      <c r="B830" s="1">
        <v>48</v>
      </c>
      <c r="C830" s="1" t="s">
        <v>24</v>
      </c>
      <c r="D830" s="1">
        <v>1</v>
      </c>
      <c r="E830" s="1" t="s">
        <v>194</v>
      </c>
      <c r="F830" s="1">
        <v>15</v>
      </c>
      <c r="G830" s="1">
        <v>8</v>
      </c>
      <c r="H830" s="1" t="s">
        <v>182</v>
      </c>
      <c r="I830" s="1" t="s">
        <v>279</v>
      </c>
      <c r="J830" s="1" t="s">
        <v>280</v>
      </c>
      <c r="K830" s="1" t="s">
        <v>208</v>
      </c>
      <c r="L830" s="1" t="s">
        <v>354</v>
      </c>
      <c r="M830" t="str">
        <f t="shared" si="72"/>
        <v>Boucher-Gratton</v>
      </c>
      <c r="N830" t="str">
        <f t="shared" si="73"/>
        <v>Cunningham</v>
      </c>
      <c r="O830" t="str">
        <f t="shared" si="74"/>
        <v>Andreu</v>
      </c>
      <c r="P830" t="str">
        <f t="shared" si="75"/>
        <v>Valiente</v>
      </c>
      <c r="Q830">
        <f t="shared" si="76"/>
        <v>1</v>
      </c>
      <c r="R830" t="str">
        <f t="shared" si="77"/>
        <v>Boucher-Gratton-Cunningham-Andreu-Valiente</v>
      </c>
    </row>
    <row r="831" spans="1:18" x14ac:dyDescent="0.25">
      <c r="A831" s="1" t="s">
        <v>207</v>
      </c>
      <c r="B831" s="1">
        <v>49</v>
      </c>
      <c r="C831" s="1" t="s">
        <v>24</v>
      </c>
      <c r="D831" s="1">
        <v>2</v>
      </c>
      <c r="E831" s="1" t="s">
        <v>194</v>
      </c>
      <c r="F831" s="1">
        <v>15</v>
      </c>
      <c r="G831" s="1">
        <v>13</v>
      </c>
      <c r="H831" s="1" t="s">
        <v>182</v>
      </c>
      <c r="I831" s="1" t="s">
        <v>279</v>
      </c>
      <c r="J831" s="1" t="s">
        <v>280</v>
      </c>
      <c r="K831" s="1" t="s">
        <v>208</v>
      </c>
      <c r="L831" s="1" t="s">
        <v>354</v>
      </c>
      <c r="M831" t="str">
        <f t="shared" si="72"/>
        <v>Boucher-Gratton</v>
      </c>
      <c r="N831" t="str">
        <f t="shared" si="73"/>
        <v>Cunningham</v>
      </c>
      <c r="O831" t="str">
        <f t="shared" si="74"/>
        <v>Andreu</v>
      </c>
      <c r="P831" t="str">
        <f t="shared" si="75"/>
        <v>Valiente</v>
      </c>
      <c r="Q831">
        <f t="shared" si="76"/>
        <v>1</v>
      </c>
      <c r="R831" t="str">
        <f t="shared" si="77"/>
        <v>Boucher-Gratton-Cunningham-Andreu-Valiente</v>
      </c>
    </row>
    <row r="832" spans="1:18" x14ac:dyDescent="0.25">
      <c r="A832" s="1" t="s">
        <v>207</v>
      </c>
      <c r="B832" s="1">
        <v>51</v>
      </c>
      <c r="C832" s="1" t="s">
        <v>27</v>
      </c>
      <c r="D832" s="1">
        <v>1</v>
      </c>
      <c r="E832" s="1" t="s">
        <v>194</v>
      </c>
      <c r="F832" s="1">
        <v>15</v>
      </c>
      <c r="G832" s="1">
        <v>8</v>
      </c>
      <c r="H832" s="1" t="s">
        <v>182</v>
      </c>
      <c r="I832" s="1" t="s">
        <v>282</v>
      </c>
      <c r="J832" s="1" t="s">
        <v>283</v>
      </c>
      <c r="K832" s="1" t="s">
        <v>208</v>
      </c>
      <c r="L832" s="1" t="s">
        <v>354</v>
      </c>
      <c r="M832" t="str">
        <f t="shared" si="72"/>
        <v>Yu</v>
      </c>
      <c r="N832" t="str">
        <f t="shared" si="73"/>
        <v>Diaz</v>
      </c>
      <c r="O832" t="str">
        <f t="shared" si="74"/>
        <v>Roca</v>
      </c>
      <c r="P832" t="str">
        <f t="shared" si="75"/>
        <v>Jiménez</v>
      </c>
      <c r="Q832">
        <f t="shared" si="76"/>
        <v>1</v>
      </c>
      <c r="R832" t="str">
        <f t="shared" si="77"/>
        <v>Yu-Diaz-Roca-Jiménez</v>
      </c>
    </row>
    <row r="833" spans="1:18" x14ac:dyDescent="0.25">
      <c r="A833" s="1" t="s">
        <v>207</v>
      </c>
      <c r="B833" s="1">
        <v>52</v>
      </c>
      <c r="C833" s="1" t="s">
        <v>27</v>
      </c>
      <c r="D833" s="1">
        <v>2</v>
      </c>
      <c r="E833" s="1" t="s">
        <v>194</v>
      </c>
      <c r="F833" s="1">
        <v>15</v>
      </c>
      <c r="G833" s="1">
        <v>10</v>
      </c>
      <c r="H833" s="1" t="s">
        <v>182</v>
      </c>
      <c r="I833" s="1" t="s">
        <v>282</v>
      </c>
      <c r="J833" s="1" t="s">
        <v>283</v>
      </c>
      <c r="K833" s="1" t="s">
        <v>208</v>
      </c>
      <c r="L833" s="1" t="s">
        <v>354</v>
      </c>
      <c r="M833" t="str">
        <f t="shared" si="72"/>
        <v>Yu</v>
      </c>
      <c r="N833" t="str">
        <f t="shared" si="73"/>
        <v>Diaz</v>
      </c>
      <c r="O833" t="str">
        <f t="shared" si="74"/>
        <v>Roca</v>
      </c>
      <c r="P833" t="str">
        <f t="shared" si="75"/>
        <v>Jiménez</v>
      </c>
      <c r="Q833">
        <f t="shared" si="76"/>
        <v>1</v>
      </c>
      <c r="R833" t="str">
        <f t="shared" si="77"/>
        <v>Yu-Diaz-Roca-Jiménez</v>
      </c>
    </row>
    <row r="834" spans="1:18" x14ac:dyDescent="0.25">
      <c r="A834" s="1" t="s">
        <v>207</v>
      </c>
      <c r="B834" s="1">
        <v>57</v>
      </c>
      <c r="C834" s="1" t="s">
        <v>12</v>
      </c>
      <c r="D834" s="1">
        <v>1</v>
      </c>
      <c r="E834" s="1" t="s">
        <v>147</v>
      </c>
      <c r="F834" s="1">
        <v>15</v>
      </c>
      <c r="G834" s="1">
        <v>8</v>
      </c>
      <c r="H834" s="1" t="s">
        <v>95</v>
      </c>
      <c r="I834" s="1" t="s">
        <v>272</v>
      </c>
      <c r="J834" s="1" t="s">
        <v>285</v>
      </c>
      <c r="K834" s="1" t="s">
        <v>208</v>
      </c>
      <c r="L834" s="1" t="s">
        <v>354</v>
      </c>
      <c r="M834" t="str">
        <f t="shared" ref="M834:M897" si="78">_xlfn.TEXTBEFORE(I834,"/")</f>
        <v>Kunzelmann</v>
      </c>
      <c r="N834" t="str">
        <f t="shared" ref="N834:N897" si="79">_xlfn.TEXTAFTER(I834,"/ ")</f>
        <v>Levie</v>
      </c>
      <c r="O834" t="str">
        <f t="shared" ref="O834:O897" si="80">_xlfn.TEXTBEFORE(J834,"/")</f>
        <v>Bouma</v>
      </c>
      <c r="P834" t="str">
        <f t="shared" ref="P834:P897" si="81">_xlfn.TEXTAFTER(J834,"/ ")</f>
        <v>Meijer</v>
      </c>
      <c r="Q834">
        <f t="shared" ref="Q834:Q897" si="82">IF(F834&gt;G834,1,0)</f>
        <v>1</v>
      </c>
      <c r="R834" t="str">
        <f t="shared" ref="R834:R897" si="83">_xlfn.TEXTJOIN("-",TRUE,M834,N834,O834,P834)</f>
        <v>Kunzelmann-Levie-Bouma-Meijer</v>
      </c>
    </row>
    <row r="835" spans="1:18" x14ac:dyDescent="0.25">
      <c r="A835" s="1" t="s">
        <v>207</v>
      </c>
      <c r="B835" s="1">
        <v>58</v>
      </c>
      <c r="C835" s="1" t="s">
        <v>12</v>
      </c>
      <c r="D835" s="1">
        <v>2</v>
      </c>
      <c r="E835" s="1" t="s">
        <v>147</v>
      </c>
      <c r="F835" s="1">
        <v>15</v>
      </c>
      <c r="G835" s="1">
        <v>11</v>
      </c>
      <c r="H835" s="1" t="s">
        <v>95</v>
      </c>
      <c r="I835" s="1" t="s">
        <v>272</v>
      </c>
      <c r="J835" s="1" t="s">
        <v>285</v>
      </c>
      <c r="K835" s="1" t="s">
        <v>208</v>
      </c>
      <c r="L835" s="1" t="s">
        <v>354</v>
      </c>
      <c r="M835" t="str">
        <f t="shared" si="78"/>
        <v>Kunzelmann</v>
      </c>
      <c r="N835" t="str">
        <f t="shared" si="79"/>
        <v>Levie</v>
      </c>
      <c r="O835" t="str">
        <f t="shared" si="80"/>
        <v>Bouma</v>
      </c>
      <c r="P835" t="str">
        <f t="shared" si="81"/>
        <v>Meijer</v>
      </c>
      <c r="Q835">
        <f t="shared" si="82"/>
        <v>1</v>
      </c>
      <c r="R835" t="str">
        <f t="shared" si="83"/>
        <v>Kunzelmann-Levie-Bouma-Meijer</v>
      </c>
    </row>
    <row r="836" spans="1:18" x14ac:dyDescent="0.25">
      <c r="A836" s="1" t="s">
        <v>207</v>
      </c>
      <c r="B836" s="1">
        <v>60</v>
      </c>
      <c r="C836" s="1" t="s">
        <v>18</v>
      </c>
      <c r="D836" s="1">
        <v>1</v>
      </c>
      <c r="E836" s="1" t="s">
        <v>147</v>
      </c>
      <c r="F836" s="1">
        <v>15</v>
      </c>
      <c r="G836" s="1">
        <v>12</v>
      </c>
      <c r="H836" s="1" t="s">
        <v>95</v>
      </c>
      <c r="I836" s="1" t="s">
        <v>384</v>
      </c>
      <c r="J836" s="1" t="s">
        <v>286</v>
      </c>
      <c r="K836" s="1" t="s">
        <v>208</v>
      </c>
      <c r="L836" s="1" t="s">
        <v>354</v>
      </c>
      <c r="M836" t="str">
        <f t="shared" si="78"/>
        <v>Gassner</v>
      </c>
      <c r="N836" t="str">
        <f t="shared" si="79"/>
        <v>K. Eigenmann</v>
      </c>
      <c r="O836" t="str">
        <f t="shared" si="80"/>
        <v>Shannon Dieltjes</v>
      </c>
      <c r="P836" t="str">
        <f t="shared" si="81"/>
        <v>Shauny Dieltjes</v>
      </c>
      <c r="Q836">
        <f t="shared" si="82"/>
        <v>1</v>
      </c>
      <c r="R836" t="str">
        <f t="shared" si="83"/>
        <v>Gassner-K. Eigenmann-Shannon Dieltjes-Shauny Dieltjes</v>
      </c>
    </row>
    <row r="837" spans="1:18" x14ac:dyDescent="0.25">
      <c r="A837" s="1" t="s">
        <v>207</v>
      </c>
      <c r="B837" s="1">
        <v>61</v>
      </c>
      <c r="C837" s="1" t="s">
        <v>18</v>
      </c>
      <c r="D837" s="1">
        <v>2</v>
      </c>
      <c r="E837" s="1" t="s">
        <v>147</v>
      </c>
      <c r="F837" s="1">
        <v>15</v>
      </c>
      <c r="G837" s="1">
        <v>7</v>
      </c>
      <c r="H837" s="1" t="s">
        <v>95</v>
      </c>
      <c r="I837" s="1" t="s">
        <v>384</v>
      </c>
      <c r="J837" s="1" t="s">
        <v>286</v>
      </c>
      <c r="K837" s="1" t="s">
        <v>208</v>
      </c>
      <c r="L837" s="1" t="s">
        <v>354</v>
      </c>
      <c r="M837" t="str">
        <f t="shared" si="78"/>
        <v>Gassner</v>
      </c>
      <c r="N837" t="str">
        <f t="shared" si="79"/>
        <v>K. Eigenmann</v>
      </c>
      <c r="O837" t="str">
        <f t="shared" si="80"/>
        <v>Shannon Dieltjes</v>
      </c>
      <c r="P837" t="str">
        <f t="shared" si="81"/>
        <v>Shauny Dieltjes</v>
      </c>
      <c r="Q837">
        <f t="shared" si="82"/>
        <v>1</v>
      </c>
      <c r="R837" t="str">
        <f t="shared" si="83"/>
        <v>Gassner-K. Eigenmann-Shannon Dieltjes-Shauny Dieltjes</v>
      </c>
    </row>
    <row r="838" spans="1:18" x14ac:dyDescent="0.25">
      <c r="A838" s="1" t="s">
        <v>207</v>
      </c>
      <c r="B838" s="1">
        <v>63</v>
      </c>
      <c r="C838" s="1" t="s">
        <v>21</v>
      </c>
      <c r="D838" s="1">
        <v>1</v>
      </c>
      <c r="E838" s="1" t="s">
        <v>147</v>
      </c>
      <c r="F838" s="1">
        <v>15</v>
      </c>
      <c r="G838" s="1">
        <v>10</v>
      </c>
      <c r="H838" s="1" t="s">
        <v>95</v>
      </c>
      <c r="I838" s="1" t="s">
        <v>278</v>
      </c>
      <c r="J838" s="1" t="s">
        <v>287</v>
      </c>
      <c r="K838" s="1" t="s">
        <v>208</v>
      </c>
      <c r="L838" s="1" t="s">
        <v>354</v>
      </c>
      <c r="M838" t="str">
        <f t="shared" si="78"/>
        <v>Kunz</v>
      </c>
      <c r="N838" t="str">
        <f t="shared" si="79"/>
        <v>Nenz</v>
      </c>
      <c r="O838" t="str">
        <f t="shared" si="80"/>
        <v>Smit</v>
      </c>
      <c r="P838" t="str">
        <f t="shared" si="81"/>
        <v>Van der Wielen</v>
      </c>
      <c r="Q838">
        <f t="shared" si="82"/>
        <v>1</v>
      </c>
      <c r="R838" t="str">
        <f t="shared" si="83"/>
        <v>Kunz-Nenz-Smit-Van der Wielen</v>
      </c>
    </row>
    <row r="839" spans="1:18" x14ac:dyDescent="0.25">
      <c r="A839" s="1" t="s">
        <v>207</v>
      </c>
      <c r="B839" s="1">
        <v>66</v>
      </c>
      <c r="C839" s="1" t="s">
        <v>24</v>
      </c>
      <c r="D839" s="1">
        <v>1</v>
      </c>
      <c r="E839" s="1" t="s">
        <v>147</v>
      </c>
      <c r="F839" s="1">
        <v>15</v>
      </c>
      <c r="G839" s="1">
        <v>8</v>
      </c>
      <c r="H839" s="1" t="s">
        <v>95</v>
      </c>
      <c r="I839" s="1" t="s">
        <v>281</v>
      </c>
      <c r="J839" s="1" t="s">
        <v>288</v>
      </c>
      <c r="K839" s="1" t="s">
        <v>208</v>
      </c>
      <c r="L839" s="1" t="s">
        <v>354</v>
      </c>
      <c r="M839" t="str">
        <f t="shared" si="78"/>
        <v>Wiedmer</v>
      </c>
      <c r="N839" t="str">
        <f t="shared" si="79"/>
        <v>Kunz</v>
      </c>
      <c r="O839" t="str">
        <f t="shared" si="80"/>
        <v>Thielen</v>
      </c>
      <c r="P839" t="str">
        <f t="shared" si="81"/>
        <v>Van der Donk</v>
      </c>
      <c r="Q839">
        <f t="shared" si="82"/>
        <v>1</v>
      </c>
      <c r="R839" t="str">
        <f t="shared" si="83"/>
        <v>Wiedmer-Kunz-Thielen-Van der Donk</v>
      </c>
    </row>
    <row r="840" spans="1:18" x14ac:dyDescent="0.25">
      <c r="A840" s="1" t="s">
        <v>207</v>
      </c>
      <c r="B840" s="1">
        <v>69</v>
      </c>
      <c r="C840" s="1" t="s">
        <v>27</v>
      </c>
      <c r="D840" s="1">
        <v>1</v>
      </c>
      <c r="E840" s="1" t="s">
        <v>147</v>
      </c>
      <c r="F840" s="1">
        <v>15</v>
      </c>
      <c r="G840" s="1">
        <v>4</v>
      </c>
      <c r="H840" s="1" t="s">
        <v>95</v>
      </c>
      <c r="I840" s="1" t="s">
        <v>284</v>
      </c>
      <c r="J840" s="1" t="s">
        <v>289</v>
      </c>
      <c r="K840" s="1" t="s">
        <v>208</v>
      </c>
      <c r="L840" s="1" t="s">
        <v>354</v>
      </c>
      <c r="M840" t="str">
        <f t="shared" si="78"/>
        <v>Schiegg</v>
      </c>
      <c r="N840" t="str">
        <f t="shared" si="79"/>
        <v>Amsler</v>
      </c>
      <c r="O840" t="str">
        <f t="shared" si="80"/>
        <v>Schippers</v>
      </c>
      <c r="P840" t="str">
        <f t="shared" si="81"/>
        <v>Berveling</v>
      </c>
      <c r="Q840">
        <f t="shared" si="82"/>
        <v>1</v>
      </c>
      <c r="R840" t="str">
        <f t="shared" si="83"/>
        <v>Schiegg-Amsler-Schippers-Berveling</v>
      </c>
    </row>
    <row r="841" spans="1:18" x14ac:dyDescent="0.25">
      <c r="A841" s="1" t="s">
        <v>207</v>
      </c>
      <c r="B841" s="1">
        <v>70</v>
      </c>
      <c r="C841" s="1" t="s">
        <v>27</v>
      </c>
      <c r="D841" s="1">
        <v>2</v>
      </c>
      <c r="E841" s="1" t="s">
        <v>147</v>
      </c>
      <c r="F841" s="1">
        <v>15</v>
      </c>
      <c r="G841" s="1">
        <v>6</v>
      </c>
      <c r="H841" s="1" t="s">
        <v>95</v>
      </c>
      <c r="I841" s="1" t="s">
        <v>284</v>
      </c>
      <c r="J841" s="1" t="s">
        <v>289</v>
      </c>
      <c r="K841" s="1" t="s">
        <v>208</v>
      </c>
      <c r="L841" s="1" t="s">
        <v>354</v>
      </c>
      <c r="M841" t="str">
        <f t="shared" si="78"/>
        <v>Schiegg</v>
      </c>
      <c r="N841" t="str">
        <f t="shared" si="79"/>
        <v>Amsler</v>
      </c>
      <c r="O841" t="str">
        <f t="shared" si="80"/>
        <v>Schippers</v>
      </c>
      <c r="P841" t="str">
        <f t="shared" si="81"/>
        <v>Berveling</v>
      </c>
      <c r="Q841">
        <f t="shared" si="82"/>
        <v>1</v>
      </c>
      <c r="R841" t="str">
        <f t="shared" si="83"/>
        <v>Schiegg-Amsler-Schippers-Berveling</v>
      </c>
    </row>
    <row r="842" spans="1:18" x14ac:dyDescent="0.25">
      <c r="A842" s="1" t="s">
        <v>207</v>
      </c>
      <c r="B842" s="1">
        <v>75</v>
      </c>
      <c r="C842" s="1" t="s">
        <v>12</v>
      </c>
      <c r="D842" s="1">
        <v>1</v>
      </c>
      <c r="E842" s="1" t="s">
        <v>168</v>
      </c>
      <c r="F842" s="1">
        <v>15</v>
      </c>
      <c r="G842" s="1">
        <v>11</v>
      </c>
      <c r="H842" s="1" t="s">
        <v>181</v>
      </c>
      <c r="I842" s="1" t="s">
        <v>232</v>
      </c>
      <c r="J842" s="1" t="s">
        <v>291</v>
      </c>
      <c r="K842" s="1" t="s">
        <v>208</v>
      </c>
      <c r="L842" s="1" t="s">
        <v>354</v>
      </c>
      <c r="M842" t="str">
        <f t="shared" si="78"/>
        <v>Alt</v>
      </c>
      <c r="N842" t="str">
        <f t="shared" si="79"/>
        <v>Paysan</v>
      </c>
      <c r="O842" t="str">
        <f t="shared" si="80"/>
        <v>Bak</v>
      </c>
      <c r="P842" t="str">
        <f t="shared" si="81"/>
        <v>Bloch</v>
      </c>
      <c r="Q842">
        <f t="shared" si="82"/>
        <v>1</v>
      </c>
      <c r="R842" t="str">
        <f t="shared" si="83"/>
        <v>Alt-Paysan-Bak-Bloch</v>
      </c>
    </row>
    <row r="843" spans="1:18" x14ac:dyDescent="0.25">
      <c r="A843" s="1" t="s">
        <v>207</v>
      </c>
      <c r="B843" s="1">
        <v>76</v>
      </c>
      <c r="C843" s="1" t="s">
        <v>12</v>
      </c>
      <c r="D843" s="1">
        <v>2</v>
      </c>
      <c r="E843" s="1" t="s">
        <v>168</v>
      </c>
      <c r="F843" s="1">
        <v>15</v>
      </c>
      <c r="G843" s="1">
        <v>9</v>
      </c>
      <c r="H843" s="1" t="s">
        <v>181</v>
      </c>
      <c r="I843" s="1" t="s">
        <v>232</v>
      </c>
      <c r="J843" s="1" t="s">
        <v>291</v>
      </c>
      <c r="K843" s="1" t="s">
        <v>208</v>
      </c>
      <c r="L843" s="1" t="s">
        <v>354</v>
      </c>
      <c r="M843" t="str">
        <f t="shared" si="78"/>
        <v>Alt</v>
      </c>
      <c r="N843" t="str">
        <f t="shared" si="79"/>
        <v>Paysan</v>
      </c>
      <c r="O843" t="str">
        <f t="shared" si="80"/>
        <v>Bak</v>
      </c>
      <c r="P843" t="str">
        <f t="shared" si="81"/>
        <v>Bloch</v>
      </c>
      <c r="Q843">
        <f t="shared" si="82"/>
        <v>1</v>
      </c>
      <c r="R843" t="str">
        <f t="shared" si="83"/>
        <v>Alt-Paysan-Bak-Bloch</v>
      </c>
    </row>
    <row r="844" spans="1:18" x14ac:dyDescent="0.25">
      <c r="A844" s="1" t="s">
        <v>207</v>
      </c>
      <c r="B844" s="1">
        <v>78</v>
      </c>
      <c r="C844" s="1" t="s">
        <v>18</v>
      </c>
      <c r="D844" s="1">
        <v>1</v>
      </c>
      <c r="E844" s="1" t="s">
        <v>168</v>
      </c>
      <c r="F844" s="1">
        <v>15</v>
      </c>
      <c r="G844" s="1">
        <v>11</v>
      </c>
      <c r="H844" s="1" t="s">
        <v>181</v>
      </c>
      <c r="I844" s="1" t="s">
        <v>237</v>
      </c>
      <c r="J844" s="1" t="s">
        <v>293</v>
      </c>
      <c r="K844" s="1" t="s">
        <v>208</v>
      </c>
      <c r="L844" s="1" t="s">
        <v>354</v>
      </c>
      <c r="M844" t="str">
        <f t="shared" si="78"/>
        <v>Duport</v>
      </c>
      <c r="N844" t="str">
        <f t="shared" si="79"/>
        <v>Liza</v>
      </c>
      <c r="O844" t="str">
        <f t="shared" si="80"/>
        <v>Flensted</v>
      </c>
      <c r="P844" t="str">
        <f t="shared" si="81"/>
        <v>Hillebro</v>
      </c>
      <c r="Q844">
        <f t="shared" si="82"/>
        <v>1</v>
      </c>
      <c r="R844" t="str">
        <f t="shared" si="83"/>
        <v>Duport-Liza-Flensted-Hillebro</v>
      </c>
    </row>
    <row r="845" spans="1:18" x14ac:dyDescent="0.25">
      <c r="A845" s="1" t="s">
        <v>207</v>
      </c>
      <c r="B845" s="1">
        <v>79</v>
      </c>
      <c r="C845" s="1" t="s">
        <v>18</v>
      </c>
      <c r="D845" s="1">
        <v>2</v>
      </c>
      <c r="E845" s="1" t="s">
        <v>168</v>
      </c>
      <c r="F845" s="1">
        <v>15</v>
      </c>
      <c r="G845" s="1">
        <v>7</v>
      </c>
      <c r="H845" s="1" t="s">
        <v>181</v>
      </c>
      <c r="I845" s="1" t="s">
        <v>237</v>
      </c>
      <c r="J845" s="1" t="s">
        <v>293</v>
      </c>
      <c r="K845" s="1" t="s">
        <v>208</v>
      </c>
      <c r="L845" s="1" t="s">
        <v>354</v>
      </c>
      <c r="M845" t="str">
        <f t="shared" si="78"/>
        <v>Duport</v>
      </c>
      <c r="N845" t="str">
        <f t="shared" si="79"/>
        <v>Liza</v>
      </c>
      <c r="O845" t="str">
        <f t="shared" si="80"/>
        <v>Flensted</v>
      </c>
      <c r="P845" t="str">
        <f t="shared" si="81"/>
        <v>Hillebro</v>
      </c>
      <c r="Q845">
        <f t="shared" si="82"/>
        <v>1</v>
      </c>
      <c r="R845" t="str">
        <f t="shared" si="83"/>
        <v>Duport-Liza-Flensted-Hillebro</v>
      </c>
    </row>
    <row r="846" spans="1:18" x14ac:dyDescent="0.25">
      <c r="A846" s="1" t="s">
        <v>207</v>
      </c>
      <c r="B846" s="1">
        <v>81</v>
      </c>
      <c r="C846" s="1" t="s">
        <v>21</v>
      </c>
      <c r="D846" s="1">
        <v>1</v>
      </c>
      <c r="E846" s="1" t="s">
        <v>168</v>
      </c>
      <c r="F846" s="1">
        <v>15</v>
      </c>
      <c r="G846" s="1">
        <v>9</v>
      </c>
      <c r="H846" s="1" t="s">
        <v>181</v>
      </c>
      <c r="I846" s="1" t="s">
        <v>395</v>
      </c>
      <c r="J846" s="1" t="s">
        <v>295</v>
      </c>
      <c r="K846" s="1" t="s">
        <v>208</v>
      </c>
      <c r="L846" s="1" t="s">
        <v>354</v>
      </c>
      <c r="M846" t="str">
        <f t="shared" si="78"/>
        <v>E. Martinez</v>
      </c>
      <c r="N846" t="str">
        <f t="shared" si="79"/>
        <v>Rouault</v>
      </c>
      <c r="O846" t="str">
        <f t="shared" si="80"/>
        <v>Enevoldsen</v>
      </c>
      <c r="P846" t="str">
        <f t="shared" si="81"/>
        <v>Sepstrup</v>
      </c>
      <c r="Q846">
        <f t="shared" si="82"/>
        <v>1</v>
      </c>
      <c r="R846" t="str">
        <f t="shared" si="83"/>
        <v>E. Martinez-Rouault-Enevoldsen-Sepstrup</v>
      </c>
    </row>
    <row r="847" spans="1:18" x14ac:dyDescent="0.25">
      <c r="A847" s="1" t="s">
        <v>207</v>
      </c>
      <c r="B847" s="1">
        <v>82</v>
      </c>
      <c r="C847" s="1" t="s">
        <v>21</v>
      </c>
      <c r="D847" s="1">
        <v>2</v>
      </c>
      <c r="E847" s="1" t="s">
        <v>168</v>
      </c>
      <c r="F847" s="1">
        <v>15</v>
      </c>
      <c r="G847" s="1">
        <v>7</v>
      </c>
      <c r="H847" s="1" t="s">
        <v>181</v>
      </c>
      <c r="I847" s="1" t="s">
        <v>395</v>
      </c>
      <c r="J847" s="1" t="s">
        <v>295</v>
      </c>
      <c r="K847" s="1" t="s">
        <v>208</v>
      </c>
      <c r="L847" s="1" t="s">
        <v>354</v>
      </c>
      <c r="M847" t="str">
        <f t="shared" si="78"/>
        <v>E. Martinez</v>
      </c>
      <c r="N847" t="str">
        <f t="shared" si="79"/>
        <v>Rouault</v>
      </c>
      <c r="O847" t="str">
        <f t="shared" si="80"/>
        <v>Enevoldsen</v>
      </c>
      <c r="P847" t="str">
        <f t="shared" si="81"/>
        <v>Sepstrup</v>
      </c>
      <c r="Q847">
        <f t="shared" si="82"/>
        <v>1</v>
      </c>
      <c r="R847" t="str">
        <f t="shared" si="83"/>
        <v>E. Martinez-Rouault-Enevoldsen-Sepstrup</v>
      </c>
    </row>
    <row r="848" spans="1:18" x14ac:dyDescent="0.25">
      <c r="A848" s="1" t="s">
        <v>207</v>
      </c>
      <c r="B848" s="1">
        <v>84</v>
      </c>
      <c r="C848" s="1" t="s">
        <v>24</v>
      </c>
      <c r="D848" s="1">
        <v>1</v>
      </c>
      <c r="E848" s="1" t="s">
        <v>168</v>
      </c>
      <c r="F848" s="1">
        <v>15</v>
      </c>
      <c r="G848" s="1">
        <v>9</v>
      </c>
      <c r="H848" s="1" t="s">
        <v>181</v>
      </c>
      <c r="I848" s="1" t="s">
        <v>247</v>
      </c>
      <c r="J848" s="1" t="s">
        <v>297</v>
      </c>
      <c r="K848" s="1" t="s">
        <v>208</v>
      </c>
      <c r="L848" s="1" t="s">
        <v>354</v>
      </c>
      <c r="M848" t="str">
        <f t="shared" si="78"/>
        <v>Joly</v>
      </c>
      <c r="N848" t="str">
        <f t="shared" si="79"/>
        <v>Novarese</v>
      </c>
      <c r="O848" t="str">
        <f t="shared" si="80"/>
        <v>Andreassen</v>
      </c>
      <c r="P848" t="str">
        <f t="shared" si="81"/>
        <v>Lund</v>
      </c>
      <c r="Q848">
        <f t="shared" si="82"/>
        <v>1</v>
      </c>
      <c r="R848" t="str">
        <f t="shared" si="83"/>
        <v>Joly-Novarese-Andreassen-Lund</v>
      </c>
    </row>
    <row r="849" spans="1:18" x14ac:dyDescent="0.25">
      <c r="A849" s="1" t="s">
        <v>207</v>
      </c>
      <c r="B849" s="1">
        <v>85</v>
      </c>
      <c r="C849" s="1" t="s">
        <v>24</v>
      </c>
      <c r="D849" s="1">
        <v>2</v>
      </c>
      <c r="E849" s="1" t="s">
        <v>168</v>
      </c>
      <c r="F849" s="1">
        <v>15</v>
      </c>
      <c r="G849" s="1">
        <v>9</v>
      </c>
      <c r="H849" s="1" t="s">
        <v>181</v>
      </c>
      <c r="I849" s="1" t="s">
        <v>247</v>
      </c>
      <c r="J849" s="1" t="s">
        <v>297</v>
      </c>
      <c r="K849" s="1" t="s">
        <v>208</v>
      </c>
      <c r="L849" s="1" t="s">
        <v>354</v>
      </c>
      <c r="M849" t="str">
        <f t="shared" si="78"/>
        <v>Joly</v>
      </c>
      <c r="N849" t="str">
        <f t="shared" si="79"/>
        <v>Novarese</v>
      </c>
      <c r="O849" t="str">
        <f t="shared" si="80"/>
        <v>Andreassen</v>
      </c>
      <c r="P849" t="str">
        <f t="shared" si="81"/>
        <v>Lund</v>
      </c>
      <c r="Q849">
        <f t="shared" si="82"/>
        <v>1</v>
      </c>
      <c r="R849" t="str">
        <f t="shared" si="83"/>
        <v>Joly-Novarese-Andreassen-Lund</v>
      </c>
    </row>
    <row r="850" spans="1:18" x14ac:dyDescent="0.25">
      <c r="A850" s="1" t="s">
        <v>207</v>
      </c>
      <c r="B850" s="1">
        <v>87</v>
      </c>
      <c r="C850" s="1" t="s">
        <v>27</v>
      </c>
      <c r="D850" s="1">
        <v>1</v>
      </c>
      <c r="E850" s="1" t="s">
        <v>168</v>
      </c>
      <c r="F850" s="1">
        <v>15</v>
      </c>
      <c r="G850" s="1">
        <v>7</v>
      </c>
      <c r="H850" s="1" t="s">
        <v>181</v>
      </c>
      <c r="I850" s="1" t="s">
        <v>252</v>
      </c>
      <c r="J850" s="1" t="s">
        <v>424</v>
      </c>
      <c r="K850" s="1" t="s">
        <v>208</v>
      </c>
      <c r="L850" s="1" t="s">
        <v>354</v>
      </c>
      <c r="M850" t="str">
        <f t="shared" si="78"/>
        <v>Eydoux</v>
      </c>
      <c r="N850" t="str">
        <f t="shared" si="79"/>
        <v>Martin</v>
      </c>
      <c r="O850" t="str">
        <f t="shared" si="80"/>
        <v>Gregersen</v>
      </c>
      <c r="P850" t="str">
        <f t="shared" si="81"/>
        <v>MH. Chang</v>
      </c>
      <c r="Q850">
        <f t="shared" si="82"/>
        <v>1</v>
      </c>
      <c r="R850" t="str">
        <f t="shared" si="83"/>
        <v>Eydoux-Martin-Gregersen-MH. Chang</v>
      </c>
    </row>
    <row r="851" spans="1:18" x14ac:dyDescent="0.25">
      <c r="A851" s="1" t="s">
        <v>207</v>
      </c>
      <c r="B851" s="1">
        <v>88</v>
      </c>
      <c r="C851" s="1" t="s">
        <v>27</v>
      </c>
      <c r="D851" s="1">
        <v>2</v>
      </c>
      <c r="E851" s="1" t="s">
        <v>168</v>
      </c>
      <c r="F851" s="1">
        <v>15</v>
      </c>
      <c r="G851" s="1">
        <v>4</v>
      </c>
      <c r="H851" s="1" t="s">
        <v>181</v>
      </c>
      <c r="I851" s="1" t="s">
        <v>252</v>
      </c>
      <c r="J851" s="1" t="s">
        <v>424</v>
      </c>
      <c r="K851" s="1" t="s">
        <v>208</v>
      </c>
      <c r="L851" s="1" t="s">
        <v>354</v>
      </c>
      <c r="M851" t="str">
        <f t="shared" si="78"/>
        <v>Eydoux</v>
      </c>
      <c r="N851" t="str">
        <f t="shared" si="79"/>
        <v>Martin</v>
      </c>
      <c r="O851" t="str">
        <f t="shared" si="80"/>
        <v>Gregersen</v>
      </c>
      <c r="P851" t="str">
        <f t="shared" si="81"/>
        <v>MH. Chang</v>
      </c>
      <c r="Q851">
        <f t="shared" si="82"/>
        <v>1</v>
      </c>
      <c r="R851" t="str">
        <f t="shared" si="83"/>
        <v>Eydoux-Martin-Gregersen-MH. Chang</v>
      </c>
    </row>
    <row r="852" spans="1:18" x14ac:dyDescent="0.25">
      <c r="A852" s="1" t="s">
        <v>207</v>
      </c>
      <c r="B852" s="1">
        <v>93</v>
      </c>
      <c r="C852" s="1" t="s">
        <v>12</v>
      </c>
      <c r="D852" s="1">
        <v>1</v>
      </c>
      <c r="E852" s="1" t="s">
        <v>146</v>
      </c>
      <c r="F852" s="1">
        <v>16</v>
      </c>
      <c r="G852" s="1">
        <v>14</v>
      </c>
      <c r="H852" s="1" t="s">
        <v>14</v>
      </c>
      <c r="I852" s="1" t="s">
        <v>234</v>
      </c>
      <c r="J852" s="1" t="s">
        <v>300</v>
      </c>
      <c r="K852" s="1" t="s">
        <v>208</v>
      </c>
      <c r="L852" s="1" t="s">
        <v>354</v>
      </c>
      <c r="M852" t="str">
        <f t="shared" si="78"/>
        <v>Knauf</v>
      </c>
      <c r="N852" t="str">
        <f t="shared" si="79"/>
        <v>Lorenz</v>
      </c>
      <c r="O852" t="str">
        <f t="shared" si="80"/>
        <v>Fatt</v>
      </c>
      <c r="P852" t="str">
        <f t="shared" si="81"/>
        <v>Quibell</v>
      </c>
      <c r="Q852">
        <f t="shared" si="82"/>
        <v>1</v>
      </c>
      <c r="R852" t="str">
        <f t="shared" si="83"/>
        <v>Knauf-Lorenz-Fatt-Quibell</v>
      </c>
    </row>
    <row r="853" spans="1:18" x14ac:dyDescent="0.25">
      <c r="A853" s="1" t="s">
        <v>207</v>
      </c>
      <c r="B853" s="1">
        <v>94</v>
      </c>
      <c r="C853" s="1" t="s">
        <v>12</v>
      </c>
      <c r="D853" s="1">
        <v>2</v>
      </c>
      <c r="E853" s="1" t="s">
        <v>146</v>
      </c>
      <c r="F853" s="1">
        <v>11</v>
      </c>
      <c r="G853" s="1">
        <v>9</v>
      </c>
      <c r="H853" s="1" t="s">
        <v>14</v>
      </c>
      <c r="I853" s="1" t="s">
        <v>234</v>
      </c>
      <c r="J853" s="1" t="s">
        <v>300</v>
      </c>
      <c r="K853" s="1" t="s">
        <v>208</v>
      </c>
      <c r="L853" s="1" t="s">
        <v>354</v>
      </c>
      <c r="M853" t="str">
        <f t="shared" si="78"/>
        <v>Knauf</v>
      </c>
      <c r="N853" t="str">
        <f t="shared" si="79"/>
        <v>Lorenz</v>
      </c>
      <c r="O853" t="str">
        <f t="shared" si="80"/>
        <v>Fatt</v>
      </c>
      <c r="P853" t="str">
        <f t="shared" si="81"/>
        <v>Quibell</v>
      </c>
      <c r="Q853">
        <f t="shared" si="82"/>
        <v>1</v>
      </c>
      <c r="R853" t="str">
        <f t="shared" si="83"/>
        <v>Knauf-Lorenz-Fatt-Quibell</v>
      </c>
    </row>
    <row r="854" spans="1:18" x14ac:dyDescent="0.25">
      <c r="A854" s="1" t="s">
        <v>207</v>
      </c>
      <c r="B854" s="1">
        <v>96</v>
      </c>
      <c r="C854" s="1" t="s">
        <v>18</v>
      </c>
      <c r="D854" s="1">
        <v>1</v>
      </c>
      <c r="E854" s="1" t="s">
        <v>146</v>
      </c>
      <c r="F854" s="1">
        <v>15</v>
      </c>
      <c r="G854" s="1">
        <v>10</v>
      </c>
      <c r="H854" s="1" t="s">
        <v>14</v>
      </c>
      <c r="I854" s="1" t="s">
        <v>239</v>
      </c>
      <c r="J854" s="1" t="s">
        <v>302</v>
      </c>
      <c r="K854" s="1" t="s">
        <v>208</v>
      </c>
      <c r="L854" s="1" t="s">
        <v>354</v>
      </c>
      <c r="M854" t="str">
        <f t="shared" si="78"/>
        <v>F. Stadler</v>
      </c>
      <c r="N854" t="str">
        <f t="shared" si="79"/>
        <v>J. Stadler</v>
      </c>
      <c r="O854" t="str">
        <f t="shared" si="80"/>
        <v>Troughton</v>
      </c>
      <c r="P854" t="str">
        <f t="shared" si="81"/>
        <v>Cooke</v>
      </c>
      <c r="Q854">
        <f t="shared" si="82"/>
        <v>1</v>
      </c>
      <c r="R854" t="str">
        <f t="shared" si="83"/>
        <v>F. Stadler-J. Stadler-Troughton-Cooke</v>
      </c>
    </row>
    <row r="855" spans="1:18" x14ac:dyDescent="0.25">
      <c r="A855" s="1" t="s">
        <v>207</v>
      </c>
      <c r="B855" s="1">
        <v>97</v>
      </c>
      <c r="C855" s="1" t="s">
        <v>18</v>
      </c>
      <c r="D855" s="1">
        <v>2</v>
      </c>
      <c r="E855" s="1" t="s">
        <v>146</v>
      </c>
      <c r="F855" s="1">
        <v>16</v>
      </c>
      <c r="G855" s="1">
        <v>18</v>
      </c>
      <c r="H855" s="1" t="s">
        <v>14</v>
      </c>
      <c r="I855" s="1" t="s">
        <v>239</v>
      </c>
      <c r="J855" s="1" t="s">
        <v>302</v>
      </c>
      <c r="K855" s="1" t="s">
        <v>208</v>
      </c>
      <c r="L855" s="1" t="s">
        <v>354</v>
      </c>
      <c r="M855" t="str">
        <f t="shared" si="78"/>
        <v>F. Stadler</v>
      </c>
      <c r="N855" t="str">
        <f t="shared" si="79"/>
        <v>J. Stadler</v>
      </c>
      <c r="O855" t="str">
        <f t="shared" si="80"/>
        <v>Troughton</v>
      </c>
      <c r="P855" t="str">
        <f t="shared" si="81"/>
        <v>Cooke</v>
      </c>
      <c r="Q855">
        <f t="shared" si="82"/>
        <v>0</v>
      </c>
      <c r="R855" t="str">
        <f t="shared" si="83"/>
        <v>F. Stadler-J. Stadler-Troughton-Cooke</v>
      </c>
    </row>
    <row r="856" spans="1:18" x14ac:dyDescent="0.25">
      <c r="A856" s="1" t="s">
        <v>207</v>
      </c>
      <c r="B856" s="1">
        <v>99</v>
      </c>
      <c r="C856" s="1" t="s">
        <v>21</v>
      </c>
      <c r="D856" s="1">
        <v>1</v>
      </c>
      <c r="E856" s="1" t="s">
        <v>146</v>
      </c>
      <c r="F856" s="1">
        <v>15</v>
      </c>
      <c r="G856" s="1">
        <v>11</v>
      </c>
      <c r="H856" s="1" t="s">
        <v>14</v>
      </c>
      <c r="I856" s="1" t="s">
        <v>244</v>
      </c>
      <c r="J856" s="1" t="s">
        <v>402</v>
      </c>
      <c r="K856" s="1" t="s">
        <v>208</v>
      </c>
      <c r="L856" s="1" t="s">
        <v>354</v>
      </c>
      <c r="M856" t="str">
        <f t="shared" si="78"/>
        <v>Gulden</v>
      </c>
      <c r="N856" t="str">
        <f t="shared" si="79"/>
        <v>Haas</v>
      </c>
      <c r="O856" t="str">
        <f t="shared" si="80"/>
        <v>Hill-Smith</v>
      </c>
      <c r="P856" t="str">
        <f t="shared" si="81"/>
        <v>Ja. Cheung</v>
      </c>
      <c r="Q856">
        <f t="shared" si="82"/>
        <v>1</v>
      </c>
      <c r="R856" t="str">
        <f t="shared" si="83"/>
        <v>Gulden-Haas-Hill-Smith-Ja. Cheung</v>
      </c>
    </row>
    <row r="857" spans="1:18" x14ac:dyDescent="0.25">
      <c r="A857" s="1" t="s">
        <v>207</v>
      </c>
      <c r="B857" s="1">
        <v>100</v>
      </c>
      <c r="C857" s="1" t="s">
        <v>21</v>
      </c>
      <c r="D857" s="1">
        <v>2</v>
      </c>
      <c r="E857" s="1" t="s">
        <v>146</v>
      </c>
      <c r="F857" s="1">
        <v>15</v>
      </c>
      <c r="G857" s="1">
        <v>11</v>
      </c>
      <c r="H857" s="1" t="s">
        <v>14</v>
      </c>
      <c r="I857" s="1" t="s">
        <v>244</v>
      </c>
      <c r="J857" s="1" t="s">
        <v>402</v>
      </c>
      <c r="K857" s="1" t="s">
        <v>208</v>
      </c>
      <c r="L857" s="1" t="s">
        <v>354</v>
      </c>
      <c r="M857" t="str">
        <f t="shared" si="78"/>
        <v>Gulden</v>
      </c>
      <c r="N857" t="str">
        <f t="shared" si="79"/>
        <v>Haas</v>
      </c>
      <c r="O857" t="str">
        <f t="shared" si="80"/>
        <v>Hill-Smith</v>
      </c>
      <c r="P857" t="str">
        <f t="shared" si="81"/>
        <v>Ja. Cheung</v>
      </c>
      <c r="Q857">
        <f t="shared" si="82"/>
        <v>1</v>
      </c>
      <c r="R857" t="str">
        <f t="shared" si="83"/>
        <v>Gulden-Haas-Hill-Smith-Ja. Cheung</v>
      </c>
    </row>
    <row r="858" spans="1:18" x14ac:dyDescent="0.25">
      <c r="A858" s="1" t="s">
        <v>207</v>
      </c>
      <c r="B858" s="1">
        <v>102</v>
      </c>
      <c r="C858" s="1" t="s">
        <v>24</v>
      </c>
      <c r="D858" s="1">
        <v>1</v>
      </c>
      <c r="E858" s="1" t="s">
        <v>146</v>
      </c>
      <c r="F858" s="1">
        <v>15</v>
      </c>
      <c r="G858" s="1">
        <v>8</v>
      </c>
      <c r="H858" s="1" t="s">
        <v>14</v>
      </c>
      <c r="I858" s="1" t="s">
        <v>249</v>
      </c>
      <c r="J858" s="1" t="s">
        <v>405</v>
      </c>
      <c r="K858" s="1" t="s">
        <v>208</v>
      </c>
      <c r="L858" s="1" t="s">
        <v>354</v>
      </c>
      <c r="M858" t="str">
        <f t="shared" si="78"/>
        <v>Grob</v>
      </c>
      <c r="N858" t="str">
        <f t="shared" si="79"/>
        <v>Peusch</v>
      </c>
      <c r="O858" t="str">
        <f t="shared" si="80"/>
        <v>Smith</v>
      </c>
      <c r="P858" t="str">
        <f t="shared" si="81"/>
        <v>Jem. Lee</v>
      </c>
      <c r="Q858">
        <f t="shared" si="82"/>
        <v>1</v>
      </c>
      <c r="R858" t="str">
        <f t="shared" si="83"/>
        <v>Grob-Peusch-Smith-Jem. Lee</v>
      </c>
    </row>
    <row r="859" spans="1:18" x14ac:dyDescent="0.25">
      <c r="A859" s="1" t="s">
        <v>207</v>
      </c>
      <c r="B859" s="1">
        <v>103</v>
      </c>
      <c r="C859" s="1" t="s">
        <v>24</v>
      </c>
      <c r="D859" s="1">
        <v>2</v>
      </c>
      <c r="E859" s="1" t="s">
        <v>146</v>
      </c>
      <c r="F859" s="1">
        <v>15</v>
      </c>
      <c r="G859" s="1">
        <v>7</v>
      </c>
      <c r="H859" s="1" t="s">
        <v>14</v>
      </c>
      <c r="I859" s="1" t="s">
        <v>249</v>
      </c>
      <c r="J859" s="1" t="s">
        <v>405</v>
      </c>
      <c r="K859" s="1" t="s">
        <v>208</v>
      </c>
      <c r="L859" s="1" t="s">
        <v>354</v>
      </c>
      <c r="M859" t="str">
        <f t="shared" si="78"/>
        <v>Grob</v>
      </c>
      <c r="N859" t="str">
        <f t="shared" si="79"/>
        <v>Peusch</v>
      </c>
      <c r="O859" t="str">
        <f t="shared" si="80"/>
        <v>Smith</v>
      </c>
      <c r="P859" t="str">
        <f t="shared" si="81"/>
        <v>Jem. Lee</v>
      </c>
      <c r="Q859">
        <f t="shared" si="82"/>
        <v>1</v>
      </c>
      <c r="R859" t="str">
        <f t="shared" si="83"/>
        <v>Grob-Peusch-Smith-Jem. Lee</v>
      </c>
    </row>
    <row r="860" spans="1:18" x14ac:dyDescent="0.25">
      <c r="A860" s="1" t="s">
        <v>207</v>
      </c>
      <c r="B860" s="1">
        <v>105</v>
      </c>
      <c r="C860" s="1" t="s">
        <v>27</v>
      </c>
      <c r="D860" s="1">
        <v>1</v>
      </c>
      <c r="E860" s="1" t="s">
        <v>146</v>
      </c>
      <c r="F860" s="1">
        <v>15</v>
      </c>
      <c r="G860" s="1">
        <v>7</v>
      </c>
      <c r="H860" s="1" t="s">
        <v>14</v>
      </c>
      <c r="I860" s="1" t="s">
        <v>367</v>
      </c>
      <c r="J860" s="1" t="s">
        <v>308</v>
      </c>
      <c r="K860" s="1" t="s">
        <v>208</v>
      </c>
      <c r="L860" s="1" t="s">
        <v>354</v>
      </c>
      <c r="M860" t="str">
        <f t="shared" si="78"/>
        <v>K. Bauer</v>
      </c>
      <c r="N860" t="str">
        <f t="shared" si="79"/>
        <v>Walter</v>
      </c>
      <c r="O860" t="str">
        <f t="shared" si="80"/>
        <v>Field</v>
      </c>
      <c r="P860" t="str">
        <f t="shared" si="81"/>
        <v>Ognjenovic</v>
      </c>
      <c r="Q860">
        <f t="shared" si="82"/>
        <v>1</v>
      </c>
      <c r="R860" t="str">
        <f t="shared" si="83"/>
        <v>K. Bauer-Walter-Field-Ognjenovic</v>
      </c>
    </row>
    <row r="861" spans="1:18" x14ac:dyDescent="0.25">
      <c r="A861" s="1" t="s">
        <v>207</v>
      </c>
      <c r="B861" s="1">
        <v>106</v>
      </c>
      <c r="C861" s="1" t="s">
        <v>27</v>
      </c>
      <c r="D861" s="1">
        <v>2</v>
      </c>
      <c r="E861" s="1" t="s">
        <v>146</v>
      </c>
      <c r="F861" s="1">
        <v>15</v>
      </c>
      <c r="G861" s="1">
        <v>10</v>
      </c>
      <c r="H861" s="1" t="s">
        <v>14</v>
      </c>
      <c r="I861" s="1" t="s">
        <v>367</v>
      </c>
      <c r="J861" s="1" t="s">
        <v>308</v>
      </c>
      <c r="K861" s="1" t="s">
        <v>208</v>
      </c>
      <c r="L861" s="1" t="s">
        <v>354</v>
      </c>
      <c r="M861" t="str">
        <f t="shared" si="78"/>
        <v>K. Bauer</v>
      </c>
      <c r="N861" t="str">
        <f t="shared" si="79"/>
        <v>Walter</v>
      </c>
      <c r="O861" t="str">
        <f t="shared" si="80"/>
        <v>Field</v>
      </c>
      <c r="P861" t="str">
        <f t="shared" si="81"/>
        <v>Ognjenovic</v>
      </c>
      <c r="Q861">
        <f t="shared" si="82"/>
        <v>1</v>
      </c>
      <c r="R861" t="str">
        <f t="shared" si="83"/>
        <v>K. Bauer-Walter-Field-Ognjenovic</v>
      </c>
    </row>
    <row r="862" spans="1:18" x14ac:dyDescent="0.25">
      <c r="A862" s="1" t="s">
        <v>207</v>
      </c>
      <c r="B862" s="1">
        <v>111</v>
      </c>
      <c r="C862" s="1" t="s">
        <v>12</v>
      </c>
      <c r="D862" s="1">
        <v>1</v>
      </c>
      <c r="E862" s="1" t="s">
        <v>155</v>
      </c>
      <c r="F862" s="1">
        <v>15</v>
      </c>
      <c r="G862" s="1">
        <v>13</v>
      </c>
      <c r="H862" s="1" t="s">
        <v>57</v>
      </c>
      <c r="I862" s="1" t="s">
        <v>257</v>
      </c>
      <c r="J862" s="1" t="s">
        <v>301</v>
      </c>
      <c r="K862" s="1" t="s">
        <v>208</v>
      </c>
      <c r="L862" s="1" t="s">
        <v>354</v>
      </c>
      <c r="M862" t="str">
        <f t="shared" si="78"/>
        <v>Rossetto</v>
      </c>
      <c r="N862" t="str">
        <f t="shared" si="79"/>
        <v>Zanella</v>
      </c>
      <c r="O862" t="str">
        <f t="shared" si="80"/>
        <v>Labonc</v>
      </c>
      <c r="P862" t="str">
        <f t="shared" si="81"/>
        <v>Sencovici</v>
      </c>
      <c r="Q862">
        <f t="shared" si="82"/>
        <v>1</v>
      </c>
      <c r="R862" t="str">
        <f t="shared" si="83"/>
        <v>Rossetto-Zanella-Labonc-Sencovici</v>
      </c>
    </row>
    <row r="863" spans="1:18" x14ac:dyDescent="0.25">
      <c r="A863" s="1" t="s">
        <v>207</v>
      </c>
      <c r="B863" s="1">
        <v>112</v>
      </c>
      <c r="C863" s="1" t="s">
        <v>12</v>
      </c>
      <c r="D863" s="1">
        <v>2</v>
      </c>
      <c r="E863" s="1" t="s">
        <v>155</v>
      </c>
      <c r="F863" s="1">
        <v>13</v>
      </c>
      <c r="G863" s="1">
        <v>15</v>
      </c>
      <c r="H863" s="1" t="s">
        <v>57</v>
      </c>
      <c r="I863" s="1" t="s">
        <v>257</v>
      </c>
      <c r="J863" s="1" t="s">
        <v>301</v>
      </c>
      <c r="K863" s="1" t="s">
        <v>208</v>
      </c>
      <c r="L863" s="1" t="s">
        <v>354</v>
      </c>
      <c r="M863" t="str">
        <f t="shared" si="78"/>
        <v>Rossetto</v>
      </c>
      <c r="N863" t="str">
        <f t="shared" si="79"/>
        <v>Zanella</v>
      </c>
      <c r="O863" t="str">
        <f t="shared" si="80"/>
        <v>Labonc</v>
      </c>
      <c r="P863" t="str">
        <f t="shared" si="81"/>
        <v>Sencovici</v>
      </c>
      <c r="Q863">
        <f t="shared" si="82"/>
        <v>0</v>
      </c>
      <c r="R863" t="str">
        <f t="shared" si="83"/>
        <v>Rossetto-Zanella-Labonc-Sencovici</v>
      </c>
    </row>
    <row r="864" spans="1:18" x14ac:dyDescent="0.25">
      <c r="A864" s="1" t="s">
        <v>207</v>
      </c>
      <c r="B864" s="1">
        <v>113</v>
      </c>
      <c r="C864" s="1" t="s">
        <v>12</v>
      </c>
      <c r="D864" s="1">
        <v>3</v>
      </c>
      <c r="E864" s="1" t="s">
        <v>155</v>
      </c>
      <c r="F864" s="1">
        <v>15</v>
      </c>
      <c r="G864" s="1">
        <v>10</v>
      </c>
      <c r="H864" s="1" t="s">
        <v>57</v>
      </c>
      <c r="I864" s="1" t="s">
        <v>257</v>
      </c>
      <c r="J864" s="1" t="s">
        <v>301</v>
      </c>
      <c r="K864" s="1" t="s">
        <v>208</v>
      </c>
      <c r="L864" s="1" t="s">
        <v>354</v>
      </c>
      <c r="M864" t="str">
        <f t="shared" si="78"/>
        <v>Rossetto</v>
      </c>
      <c r="N864" t="str">
        <f t="shared" si="79"/>
        <v>Zanella</v>
      </c>
      <c r="O864" t="str">
        <f t="shared" si="80"/>
        <v>Labonc</v>
      </c>
      <c r="P864" t="str">
        <f t="shared" si="81"/>
        <v>Sencovici</v>
      </c>
      <c r="Q864">
        <f t="shared" si="82"/>
        <v>1</v>
      </c>
      <c r="R864" t="str">
        <f t="shared" si="83"/>
        <v>Rossetto-Zanella-Labonc-Sencovici</v>
      </c>
    </row>
    <row r="865" spans="1:18" x14ac:dyDescent="0.25">
      <c r="A865" s="1" t="s">
        <v>207</v>
      </c>
      <c r="B865" s="1">
        <v>114</v>
      </c>
      <c r="C865" s="1" t="s">
        <v>18</v>
      </c>
      <c r="D865" s="1">
        <v>1</v>
      </c>
      <c r="E865" s="1" t="s">
        <v>155</v>
      </c>
      <c r="F865" s="1">
        <v>15</v>
      </c>
      <c r="G865" s="1">
        <v>12</v>
      </c>
      <c r="H865" s="1" t="s">
        <v>57</v>
      </c>
      <c r="I865" s="1" t="s">
        <v>260</v>
      </c>
      <c r="J865" s="1" t="s">
        <v>303</v>
      </c>
      <c r="K865" s="1" t="s">
        <v>208</v>
      </c>
      <c r="L865" s="1" t="s">
        <v>354</v>
      </c>
      <c r="M865" t="str">
        <f t="shared" si="78"/>
        <v>Patat</v>
      </c>
      <c r="N865" t="str">
        <f t="shared" si="79"/>
        <v>Pernigo</v>
      </c>
      <c r="O865" t="str">
        <f t="shared" si="80"/>
        <v>Pîrlea</v>
      </c>
      <c r="P865" t="str">
        <f t="shared" si="81"/>
        <v>Tărășilă</v>
      </c>
      <c r="Q865">
        <f t="shared" si="82"/>
        <v>1</v>
      </c>
      <c r="R865" t="str">
        <f t="shared" si="83"/>
        <v>Patat-Pernigo-Pîrlea-Tărășilă</v>
      </c>
    </row>
    <row r="866" spans="1:18" x14ac:dyDescent="0.25">
      <c r="A866" s="1" t="s">
        <v>207</v>
      </c>
      <c r="B866" s="1">
        <v>115</v>
      </c>
      <c r="C866" s="1" t="s">
        <v>18</v>
      </c>
      <c r="D866" s="1">
        <v>2</v>
      </c>
      <c r="E866" s="1" t="s">
        <v>155</v>
      </c>
      <c r="F866" s="1">
        <v>14</v>
      </c>
      <c r="G866" s="1">
        <v>16</v>
      </c>
      <c r="H866" s="1" t="s">
        <v>57</v>
      </c>
      <c r="I866" s="1" t="s">
        <v>260</v>
      </c>
      <c r="J866" s="1" t="s">
        <v>303</v>
      </c>
      <c r="K866" s="1" t="s">
        <v>208</v>
      </c>
      <c r="L866" s="1" t="s">
        <v>354</v>
      </c>
      <c r="M866" t="str">
        <f t="shared" si="78"/>
        <v>Patat</v>
      </c>
      <c r="N866" t="str">
        <f t="shared" si="79"/>
        <v>Pernigo</v>
      </c>
      <c r="O866" t="str">
        <f t="shared" si="80"/>
        <v>Pîrlea</v>
      </c>
      <c r="P866" t="str">
        <f t="shared" si="81"/>
        <v>Tărășilă</v>
      </c>
      <c r="Q866">
        <f t="shared" si="82"/>
        <v>0</v>
      </c>
      <c r="R866" t="str">
        <f t="shared" si="83"/>
        <v>Patat-Pernigo-Pîrlea-Tărășilă</v>
      </c>
    </row>
    <row r="867" spans="1:18" x14ac:dyDescent="0.25">
      <c r="A867" s="1" t="s">
        <v>207</v>
      </c>
      <c r="B867" s="1">
        <v>116</v>
      </c>
      <c r="C867" s="1" t="s">
        <v>18</v>
      </c>
      <c r="D867" s="1">
        <v>3</v>
      </c>
      <c r="E867" s="1" t="s">
        <v>155</v>
      </c>
      <c r="F867" s="1">
        <v>12</v>
      </c>
      <c r="G867" s="1">
        <v>15</v>
      </c>
      <c r="H867" s="1" t="s">
        <v>57</v>
      </c>
      <c r="I867" s="1" t="s">
        <v>260</v>
      </c>
      <c r="J867" s="1" t="s">
        <v>303</v>
      </c>
      <c r="K867" s="1" t="s">
        <v>208</v>
      </c>
      <c r="L867" s="1" t="s">
        <v>354</v>
      </c>
      <c r="M867" t="str">
        <f t="shared" si="78"/>
        <v>Patat</v>
      </c>
      <c r="N867" t="str">
        <f t="shared" si="79"/>
        <v>Pernigo</v>
      </c>
      <c r="O867" t="str">
        <f t="shared" si="80"/>
        <v>Pîrlea</v>
      </c>
      <c r="P867" t="str">
        <f t="shared" si="81"/>
        <v>Tărășilă</v>
      </c>
      <c r="Q867">
        <f t="shared" si="82"/>
        <v>0</v>
      </c>
      <c r="R867" t="str">
        <f t="shared" si="83"/>
        <v>Patat-Pernigo-Pîrlea-Tărășilă</v>
      </c>
    </row>
    <row r="868" spans="1:18" x14ac:dyDescent="0.25">
      <c r="A868" s="1" t="s">
        <v>207</v>
      </c>
      <c r="B868" s="1">
        <v>117</v>
      </c>
      <c r="C868" s="1" t="s">
        <v>21</v>
      </c>
      <c r="D868" s="1">
        <v>1</v>
      </c>
      <c r="E868" s="1" t="s">
        <v>155</v>
      </c>
      <c r="F868" s="1">
        <v>10</v>
      </c>
      <c r="G868" s="1">
        <v>15</v>
      </c>
      <c r="H868" s="1" t="s">
        <v>57</v>
      </c>
      <c r="I868" s="1" t="s">
        <v>263</v>
      </c>
      <c r="J868" s="1" t="s">
        <v>305</v>
      </c>
      <c r="K868" s="1" t="s">
        <v>208</v>
      </c>
      <c r="L868" s="1" t="s">
        <v>354</v>
      </c>
      <c r="M868" t="str">
        <f t="shared" si="78"/>
        <v>Augello</v>
      </c>
      <c r="N868" t="str">
        <f t="shared" si="79"/>
        <v>Del Pioluogo</v>
      </c>
      <c r="O868" t="str">
        <f t="shared" si="80"/>
        <v>Cîmpian</v>
      </c>
      <c r="P868" t="str">
        <f t="shared" si="81"/>
        <v>Măriuța</v>
      </c>
      <c r="Q868">
        <f t="shared" si="82"/>
        <v>0</v>
      </c>
      <c r="R868" t="str">
        <f t="shared" si="83"/>
        <v>Augello-Del Pioluogo-Cîmpian-Măriuța</v>
      </c>
    </row>
    <row r="869" spans="1:18" x14ac:dyDescent="0.25">
      <c r="A869" s="1" t="s">
        <v>207</v>
      </c>
      <c r="B869" s="1">
        <v>118</v>
      </c>
      <c r="C869" s="1" t="s">
        <v>21</v>
      </c>
      <c r="D869" s="1">
        <v>2</v>
      </c>
      <c r="E869" s="1" t="s">
        <v>155</v>
      </c>
      <c r="F869" s="1">
        <v>12</v>
      </c>
      <c r="G869" s="1">
        <v>15</v>
      </c>
      <c r="H869" s="1" t="s">
        <v>57</v>
      </c>
      <c r="I869" s="1" t="s">
        <v>263</v>
      </c>
      <c r="J869" s="1" t="s">
        <v>305</v>
      </c>
      <c r="K869" s="1" t="s">
        <v>208</v>
      </c>
      <c r="L869" s="1" t="s">
        <v>354</v>
      </c>
      <c r="M869" t="str">
        <f t="shared" si="78"/>
        <v>Augello</v>
      </c>
      <c r="N869" t="str">
        <f t="shared" si="79"/>
        <v>Del Pioluogo</v>
      </c>
      <c r="O869" t="str">
        <f t="shared" si="80"/>
        <v>Cîmpian</v>
      </c>
      <c r="P869" t="str">
        <f t="shared" si="81"/>
        <v>Măriuța</v>
      </c>
      <c r="Q869">
        <f t="shared" si="82"/>
        <v>0</v>
      </c>
      <c r="R869" t="str">
        <f t="shared" si="83"/>
        <v>Augello-Del Pioluogo-Cîmpian-Măriuța</v>
      </c>
    </row>
    <row r="870" spans="1:18" x14ac:dyDescent="0.25">
      <c r="A870" s="1" t="s">
        <v>207</v>
      </c>
      <c r="B870" s="1">
        <v>120</v>
      </c>
      <c r="C870" s="1" t="s">
        <v>24</v>
      </c>
      <c r="D870" s="1">
        <v>1</v>
      </c>
      <c r="E870" s="1" t="s">
        <v>155</v>
      </c>
      <c r="F870" s="1">
        <v>15</v>
      </c>
      <c r="G870" s="1">
        <v>12</v>
      </c>
      <c r="H870" s="1" t="s">
        <v>57</v>
      </c>
      <c r="I870" s="1" t="s">
        <v>365</v>
      </c>
      <c r="J870" s="1" t="s">
        <v>307</v>
      </c>
      <c r="K870" s="1" t="s">
        <v>208</v>
      </c>
      <c r="L870" s="1" t="s">
        <v>354</v>
      </c>
      <c r="M870" t="str">
        <f t="shared" si="78"/>
        <v>Biondini</v>
      </c>
      <c r="N870" t="str">
        <f t="shared" si="79"/>
        <v>canu</v>
      </c>
      <c r="O870" t="str">
        <f t="shared" si="80"/>
        <v>Bob</v>
      </c>
      <c r="P870" t="str">
        <f t="shared" si="81"/>
        <v>Toporaș</v>
      </c>
      <c r="Q870">
        <f t="shared" si="82"/>
        <v>1</v>
      </c>
      <c r="R870" t="str">
        <f t="shared" si="83"/>
        <v>Biondini-canu-Bob-Toporaș</v>
      </c>
    </row>
    <row r="871" spans="1:18" x14ac:dyDescent="0.25">
      <c r="A871" s="1" t="s">
        <v>207</v>
      </c>
      <c r="B871" s="1">
        <v>121</v>
      </c>
      <c r="C871" s="1" t="s">
        <v>24</v>
      </c>
      <c r="D871" s="1">
        <v>2</v>
      </c>
      <c r="E871" s="1" t="s">
        <v>155</v>
      </c>
      <c r="F871" s="1">
        <v>20</v>
      </c>
      <c r="G871" s="1">
        <v>21</v>
      </c>
      <c r="H871" s="1" t="s">
        <v>57</v>
      </c>
      <c r="I871" s="1" t="s">
        <v>365</v>
      </c>
      <c r="J871" s="1" t="s">
        <v>307</v>
      </c>
      <c r="K871" s="1" t="s">
        <v>208</v>
      </c>
      <c r="L871" s="1" t="s">
        <v>354</v>
      </c>
      <c r="M871" t="str">
        <f t="shared" si="78"/>
        <v>Biondini</v>
      </c>
      <c r="N871" t="str">
        <f t="shared" si="79"/>
        <v>canu</v>
      </c>
      <c r="O871" t="str">
        <f t="shared" si="80"/>
        <v>Bob</v>
      </c>
      <c r="P871" t="str">
        <f t="shared" si="81"/>
        <v>Toporaș</v>
      </c>
      <c r="Q871">
        <f t="shared" si="82"/>
        <v>0</v>
      </c>
      <c r="R871" t="str">
        <f t="shared" si="83"/>
        <v>Biondini-canu-Bob-Toporaș</v>
      </c>
    </row>
    <row r="872" spans="1:18" x14ac:dyDescent="0.25">
      <c r="A872" s="1" t="s">
        <v>207</v>
      </c>
      <c r="B872" s="1">
        <v>122</v>
      </c>
      <c r="C872" s="1" t="s">
        <v>24</v>
      </c>
      <c r="D872" s="1">
        <v>3</v>
      </c>
      <c r="E872" s="1" t="s">
        <v>155</v>
      </c>
      <c r="F872" s="1">
        <v>15</v>
      </c>
      <c r="G872" s="1">
        <v>10</v>
      </c>
      <c r="H872" s="1" t="s">
        <v>57</v>
      </c>
      <c r="I872" s="1" t="s">
        <v>365</v>
      </c>
      <c r="J872" s="1" t="s">
        <v>307</v>
      </c>
      <c r="K872" s="1" t="s">
        <v>208</v>
      </c>
      <c r="L872" s="1" t="s">
        <v>354</v>
      </c>
      <c r="M872" t="str">
        <f t="shared" si="78"/>
        <v>Biondini</v>
      </c>
      <c r="N872" t="str">
        <f t="shared" si="79"/>
        <v>canu</v>
      </c>
      <c r="O872" t="str">
        <f t="shared" si="80"/>
        <v>Bob</v>
      </c>
      <c r="P872" t="str">
        <f t="shared" si="81"/>
        <v>Toporaș</v>
      </c>
      <c r="Q872">
        <f t="shared" si="82"/>
        <v>1</v>
      </c>
      <c r="R872" t="str">
        <f t="shared" si="83"/>
        <v>Biondini-canu-Bob-Toporaș</v>
      </c>
    </row>
    <row r="873" spans="1:18" x14ac:dyDescent="0.25">
      <c r="A873" s="1" t="s">
        <v>207</v>
      </c>
      <c r="B873" s="1">
        <v>123</v>
      </c>
      <c r="C873" s="1" t="s">
        <v>27</v>
      </c>
      <c r="D873" s="1">
        <v>1</v>
      </c>
      <c r="E873" s="1" t="s">
        <v>155</v>
      </c>
      <c r="F873" s="1">
        <v>15</v>
      </c>
      <c r="G873" s="1">
        <v>3</v>
      </c>
      <c r="H873" s="1" t="s">
        <v>57</v>
      </c>
      <c r="I873" s="1" t="s">
        <v>268</v>
      </c>
      <c r="J873" s="1" t="s">
        <v>309</v>
      </c>
      <c r="K873" s="1" t="s">
        <v>208</v>
      </c>
      <c r="L873" s="1" t="s">
        <v>354</v>
      </c>
      <c r="M873" t="str">
        <f t="shared" si="78"/>
        <v>Ferragina</v>
      </c>
      <c r="N873" t="str">
        <f t="shared" si="79"/>
        <v>Lucchiari</v>
      </c>
      <c r="O873" t="str">
        <f t="shared" si="80"/>
        <v>Ilie</v>
      </c>
      <c r="P873" t="str">
        <f t="shared" si="81"/>
        <v>Niță</v>
      </c>
      <c r="Q873">
        <f t="shared" si="82"/>
        <v>1</v>
      </c>
      <c r="R873" t="str">
        <f t="shared" si="83"/>
        <v>Ferragina-Lucchiari-Ilie-Niță</v>
      </c>
    </row>
    <row r="874" spans="1:18" x14ac:dyDescent="0.25">
      <c r="A874" s="1" t="s">
        <v>207</v>
      </c>
      <c r="B874" s="1">
        <v>124</v>
      </c>
      <c r="C874" s="1" t="s">
        <v>27</v>
      </c>
      <c r="D874" s="1">
        <v>2</v>
      </c>
      <c r="E874" s="1" t="s">
        <v>155</v>
      </c>
      <c r="F874" s="1">
        <v>15</v>
      </c>
      <c r="G874" s="1">
        <v>7</v>
      </c>
      <c r="H874" s="1" t="s">
        <v>57</v>
      </c>
      <c r="I874" s="1" t="s">
        <v>268</v>
      </c>
      <c r="J874" s="1" t="s">
        <v>309</v>
      </c>
      <c r="K874" s="1" t="s">
        <v>208</v>
      </c>
      <c r="L874" s="1" t="s">
        <v>354</v>
      </c>
      <c r="M874" t="str">
        <f t="shared" si="78"/>
        <v>Ferragina</v>
      </c>
      <c r="N874" t="str">
        <f t="shared" si="79"/>
        <v>Lucchiari</v>
      </c>
      <c r="O874" t="str">
        <f t="shared" si="80"/>
        <v>Ilie</v>
      </c>
      <c r="P874" t="str">
        <f t="shared" si="81"/>
        <v>Niță</v>
      </c>
      <c r="Q874">
        <f t="shared" si="82"/>
        <v>1</v>
      </c>
      <c r="R874" t="str">
        <f t="shared" si="83"/>
        <v>Ferragina-Lucchiari-Ilie-Niță</v>
      </c>
    </row>
    <row r="875" spans="1:18" x14ac:dyDescent="0.25">
      <c r="A875" s="1" t="s">
        <v>207</v>
      </c>
      <c r="B875" s="1">
        <v>129</v>
      </c>
      <c r="C875" s="1" t="s">
        <v>12</v>
      </c>
      <c r="D875" s="1">
        <v>1</v>
      </c>
      <c r="E875" s="1" t="s">
        <v>30</v>
      </c>
      <c r="F875" s="1">
        <v>13</v>
      </c>
      <c r="G875" s="1">
        <v>15</v>
      </c>
      <c r="H875" s="1" t="s">
        <v>31</v>
      </c>
      <c r="I875" s="1" t="s">
        <v>233</v>
      </c>
      <c r="J875" s="1" t="s">
        <v>421</v>
      </c>
      <c r="K875" s="1" t="s">
        <v>208</v>
      </c>
      <c r="L875" s="1" t="s">
        <v>354</v>
      </c>
      <c r="M875" t="str">
        <f t="shared" si="78"/>
        <v>Vandersype</v>
      </c>
      <c r="N875" t="str">
        <f t="shared" si="79"/>
        <v>D'hoore</v>
      </c>
      <c r="O875" t="str">
        <f t="shared" si="80"/>
        <v>A. Chang</v>
      </c>
      <c r="P875" t="str">
        <f t="shared" si="81"/>
        <v>S. Ding</v>
      </c>
      <c r="Q875">
        <f t="shared" si="82"/>
        <v>0</v>
      </c>
      <c r="R875" t="str">
        <f t="shared" si="83"/>
        <v>Vandersype-D'hoore-A. Chang-S. Ding</v>
      </c>
    </row>
    <row r="876" spans="1:18" x14ac:dyDescent="0.25">
      <c r="A876" s="1" t="s">
        <v>207</v>
      </c>
      <c r="B876" s="1">
        <v>130</v>
      </c>
      <c r="C876" s="1" t="s">
        <v>12</v>
      </c>
      <c r="D876" s="1">
        <v>2</v>
      </c>
      <c r="E876" s="1" t="s">
        <v>30</v>
      </c>
      <c r="F876" s="1">
        <v>11</v>
      </c>
      <c r="G876" s="1">
        <v>15</v>
      </c>
      <c r="H876" s="1" t="s">
        <v>31</v>
      </c>
      <c r="I876" s="1" t="s">
        <v>233</v>
      </c>
      <c r="J876" s="1" t="s">
        <v>421</v>
      </c>
      <c r="K876" s="1" t="s">
        <v>208</v>
      </c>
      <c r="L876" s="1" t="s">
        <v>354</v>
      </c>
      <c r="M876" t="str">
        <f t="shared" si="78"/>
        <v>Vandersype</v>
      </c>
      <c r="N876" t="str">
        <f t="shared" si="79"/>
        <v>D'hoore</v>
      </c>
      <c r="O876" t="str">
        <f t="shared" si="80"/>
        <v>A. Chang</v>
      </c>
      <c r="P876" t="str">
        <f t="shared" si="81"/>
        <v>S. Ding</v>
      </c>
      <c r="Q876">
        <f t="shared" si="82"/>
        <v>0</v>
      </c>
      <c r="R876" t="str">
        <f t="shared" si="83"/>
        <v>Vandersype-D'hoore-A. Chang-S. Ding</v>
      </c>
    </row>
    <row r="877" spans="1:18" x14ac:dyDescent="0.25">
      <c r="A877" s="1" t="s">
        <v>207</v>
      </c>
      <c r="B877" s="1">
        <v>132</v>
      </c>
      <c r="C877" s="1" t="s">
        <v>18</v>
      </c>
      <c r="D877" s="1">
        <v>1</v>
      </c>
      <c r="E877" s="1" t="s">
        <v>30</v>
      </c>
      <c r="F877" s="1">
        <v>15</v>
      </c>
      <c r="G877" s="1">
        <v>13</v>
      </c>
      <c r="H877" s="1" t="s">
        <v>31</v>
      </c>
      <c r="I877" s="1" t="s">
        <v>238</v>
      </c>
      <c r="J877" s="1" t="s">
        <v>292</v>
      </c>
      <c r="K877" s="1" t="s">
        <v>208</v>
      </c>
      <c r="L877" s="1" t="s">
        <v>354</v>
      </c>
      <c r="M877" t="str">
        <f t="shared" si="78"/>
        <v>Vankemenade</v>
      </c>
      <c r="N877" t="str">
        <f t="shared" si="79"/>
        <v>Teisseyre</v>
      </c>
      <c r="O877" t="str">
        <f t="shared" si="80"/>
        <v>Yang</v>
      </c>
      <c r="P877" t="str">
        <f t="shared" si="81"/>
        <v>T. Ding</v>
      </c>
      <c r="Q877">
        <f t="shared" si="82"/>
        <v>1</v>
      </c>
      <c r="R877" t="str">
        <f t="shared" si="83"/>
        <v>Vankemenade-Teisseyre-Yang-T. Ding</v>
      </c>
    </row>
    <row r="878" spans="1:18" x14ac:dyDescent="0.25">
      <c r="A878" s="1" t="s">
        <v>207</v>
      </c>
      <c r="B878" s="1">
        <v>133</v>
      </c>
      <c r="C878" s="1" t="s">
        <v>18</v>
      </c>
      <c r="D878" s="1">
        <v>2</v>
      </c>
      <c r="E878" s="1" t="s">
        <v>30</v>
      </c>
      <c r="F878" s="1">
        <v>15</v>
      </c>
      <c r="G878" s="1">
        <v>10</v>
      </c>
      <c r="H878" s="1" t="s">
        <v>31</v>
      </c>
      <c r="I878" s="1" t="s">
        <v>238</v>
      </c>
      <c r="J878" s="1" t="s">
        <v>292</v>
      </c>
      <c r="K878" s="1" t="s">
        <v>208</v>
      </c>
      <c r="L878" s="1" t="s">
        <v>354</v>
      </c>
      <c r="M878" t="str">
        <f t="shared" si="78"/>
        <v>Vankemenade</v>
      </c>
      <c r="N878" t="str">
        <f t="shared" si="79"/>
        <v>Teisseyre</v>
      </c>
      <c r="O878" t="str">
        <f t="shared" si="80"/>
        <v>Yang</v>
      </c>
      <c r="P878" t="str">
        <f t="shared" si="81"/>
        <v>T. Ding</v>
      </c>
      <c r="Q878">
        <f t="shared" si="82"/>
        <v>1</v>
      </c>
      <c r="R878" t="str">
        <f t="shared" si="83"/>
        <v>Vankemenade-Teisseyre-Yang-T. Ding</v>
      </c>
    </row>
    <row r="879" spans="1:18" x14ac:dyDescent="0.25">
      <c r="A879" s="1" t="s">
        <v>207</v>
      </c>
      <c r="B879" s="1">
        <v>135</v>
      </c>
      <c r="C879" s="1" t="s">
        <v>21</v>
      </c>
      <c r="D879" s="1">
        <v>1</v>
      </c>
      <c r="E879" s="1" t="s">
        <v>30</v>
      </c>
      <c r="F879" s="1">
        <v>15</v>
      </c>
      <c r="G879" s="1">
        <v>10</v>
      </c>
      <c r="H879" s="1" t="s">
        <v>31</v>
      </c>
      <c r="I879" s="1" t="s">
        <v>243</v>
      </c>
      <c r="J879" s="1" t="s">
        <v>406</v>
      </c>
      <c r="K879" s="1" t="s">
        <v>208</v>
      </c>
      <c r="L879" s="1" t="s">
        <v>354</v>
      </c>
      <c r="M879" t="str">
        <f t="shared" si="78"/>
        <v>Delbecke</v>
      </c>
      <c r="N879" t="str">
        <f t="shared" si="79"/>
        <v>Van der Stichelen</v>
      </c>
      <c r="O879" t="str">
        <f t="shared" si="80"/>
        <v>Lu</v>
      </c>
      <c r="P879" t="str">
        <f t="shared" si="81"/>
        <v>Jer. Lee</v>
      </c>
      <c r="Q879">
        <f t="shared" si="82"/>
        <v>1</v>
      </c>
      <c r="R879" t="str">
        <f t="shared" si="83"/>
        <v>Delbecke-Van der Stichelen-Lu-Jer. Lee</v>
      </c>
    </row>
    <row r="880" spans="1:18" x14ac:dyDescent="0.25">
      <c r="A880" s="1" t="s">
        <v>207</v>
      </c>
      <c r="B880" s="1">
        <v>136</v>
      </c>
      <c r="C880" s="1" t="s">
        <v>21</v>
      </c>
      <c r="D880" s="1">
        <v>2</v>
      </c>
      <c r="E880" s="1" t="s">
        <v>30</v>
      </c>
      <c r="F880" s="1">
        <v>15</v>
      </c>
      <c r="G880" s="1">
        <v>13</v>
      </c>
      <c r="H880" s="1" t="s">
        <v>31</v>
      </c>
      <c r="I880" s="1" t="s">
        <v>243</v>
      </c>
      <c r="J880" s="1" t="s">
        <v>406</v>
      </c>
      <c r="K880" s="1" t="s">
        <v>208</v>
      </c>
      <c r="L880" s="1" t="s">
        <v>354</v>
      </c>
      <c r="M880" t="str">
        <f t="shared" si="78"/>
        <v>Delbecke</v>
      </c>
      <c r="N880" t="str">
        <f t="shared" si="79"/>
        <v>Van der Stichelen</v>
      </c>
      <c r="O880" t="str">
        <f t="shared" si="80"/>
        <v>Lu</v>
      </c>
      <c r="P880" t="str">
        <f t="shared" si="81"/>
        <v>Jer. Lee</v>
      </c>
      <c r="Q880">
        <f t="shared" si="82"/>
        <v>1</v>
      </c>
      <c r="R880" t="str">
        <f t="shared" si="83"/>
        <v>Delbecke-Van der Stichelen-Lu-Jer. Lee</v>
      </c>
    </row>
    <row r="881" spans="1:18" x14ac:dyDescent="0.25">
      <c r="A881" s="1" t="s">
        <v>207</v>
      </c>
      <c r="B881" s="1">
        <v>138</v>
      </c>
      <c r="C881" s="1" t="s">
        <v>24</v>
      </c>
      <c r="D881" s="1">
        <v>1</v>
      </c>
      <c r="E881" s="1" t="s">
        <v>30</v>
      </c>
      <c r="F881" s="1">
        <v>11</v>
      </c>
      <c r="G881" s="1">
        <v>15</v>
      </c>
      <c r="H881" s="1" t="s">
        <v>31</v>
      </c>
      <c r="I881" s="1" t="s">
        <v>248</v>
      </c>
      <c r="J881" s="1" t="s">
        <v>414</v>
      </c>
      <c r="K881" s="1" t="s">
        <v>208</v>
      </c>
      <c r="L881" s="1" t="s">
        <v>354</v>
      </c>
      <c r="M881" t="str">
        <f t="shared" si="78"/>
        <v>Jubault</v>
      </c>
      <c r="N881" t="str">
        <f t="shared" si="79"/>
        <v>Dumesnil</v>
      </c>
      <c r="O881" t="str">
        <f t="shared" si="80"/>
        <v>P. Kuo</v>
      </c>
      <c r="P881" t="str">
        <f t="shared" si="81"/>
        <v>Mic. Chen</v>
      </c>
      <c r="Q881">
        <f t="shared" si="82"/>
        <v>0</v>
      </c>
      <c r="R881" t="str">
        <f t="shared" si="83"/>
        <v>Jubault-Dumesnil-P. Kuo-Mic. Chen</v>
      </c>
    </row>
    <row r="882" spans="1:18" x14ac:dyDescent="0.25">
      <c r="A882" s="1" t="s">
        <v>207</v>
      </c>
      <c r="B882" s="1">
        <v>139</v>
      </c>
      <c r="C882" s="1" t="s">
        <v>24</v>
      </c>
      <c r="D882" s="1">
        <v>2</v>
      </c>
      <c r="E882" s="1" t="s">
        <v>30</v>
      </c>
      <c r="F882" s="1">
        <v>21</v>
      </c>
      <c r="G882" s="1">
        <v>20</v>
      </c>
      <c r="H882" s="1" t="s">
        <v>31</v>
      </c>
      <c r="I882" s="1" t="s">
        <v>248</v>
      </c>
      <c r="J882" s="1" t="s">
        <v>414</v>
      </c>
      <c r="K882" s="1" t="s">
        <v>208</v>
      </c>
      <c r="L882" s="1" t="s">
        <v>354</v>
      </c>
      <c r="M882" t="str">
        <f t="shared" si="78"/>
        <v>Jubault</v>
      </c>
      <c r="N882" t="str">
        <f t="shared" si="79"/>
        <v>Dumesnil</v>
      </c>
      <c r="O882" t="str">
        <f t="shared" si="80"/>
        <v>P. Kuo</v>
      </c>
      <c r="P882" t="str">
        <f t="shared" si="81"/>
        <v>Mic. Chen</v>
      </c>
      <c r="Q882">
        <f t="shared" si="82"/>
        <v>1</v>
      </c>
      <c r="R882" t="str">
        <f t="shared" si="83"/>
        <v>Jubault-Dumesnil-P. Kuo-Mic. Chen</v>
      </c>
    </row>
    <row r="883" spans="1:18" x14ac:dyDescent="0.25">
      <c r="A883" s="1" t="s">
        <v>207</v>
      </c>
      <c r="B883" s="1">
        <v>140</v>
      </c>
      <c r="C883" s="1" t="s">
        <v>24</v>
      </c>
      <c r="D883" s="1">
        <v>3</v>
      </c>
      <c r="E883" s="1" t="s">
        <v>30</v>
      </c>
      <c r="F883" s="1">
        <v>15</v>
      </c>
      <c r="G883" s="1">
        <v>13</v>
      </c>
      <c r="H883" s="1" t="s">
        <v>31</v>
      </c>
      <c r="I883" s="1" t="s">
        <v>248</v>
      </c>
      <c r="J883" s="1" t="s">
        <v>414</v>
      </c>
      <c r="K883" s="1" t="s">
        <v>208</v>
      </c>
      <c r="L883" s="1" t="s">
        <v>354</v>
      </c>
      <c r="M883" t="str">
        <f t="shared" si="78"/>
        <v>Jubault</v>
      </c>
      <c r="N883" t="str">
        <f t="shared" si="79"/>
        <v>Dumesnil</v>
      </c>
      <c r="O883" t="str">
        <f t="shared" si="80"/>
        <v>P. Kuo</v>
      </c>
      <c r="P883" t="str">
        <f t="shared" si="81"/>
        <v>Mic. Chen</v>
      </c>
      <c r="Q883">
        <f t="shared" si="82"/>
        <v>1</v>
      </c>
      <c r="R883" t="str">
        <f t="shared" si="83"/>
        <v>Jubault-Dumesnil-P. Kuo-Mic. Chen</v>
      </c>
    </row>
    <row r="884" spans="1:18" x14ac:dyDescent="0.25">
      <c r="A884" s="1" t="s">
        <v>207</v>
      </c>
      <c r="B884" s="1">
        <v>141</v>
      </c>
      <c r="C884" s="1" t="s">
        <v>27</v>
      </c>
      <c r="D884" s="1">
        <v>1</v>
      </c>
      <c r="E884" s="1" t="s">
        <v>30</v>
      </c>
      <c r="F884" s="1">
        <v>15</v>
      </c>
      <c r="G884" s="1">
        <v>10</v>
      </c>
      <c r="H884" s="1" t="s">
        <v>31</v>
      </c>
      <c r="I884" s="1" t="s">
        <v>410</v>
      </c>
      <c r="J884" s="1" t="s">
        <v>298</v>
      </c>
      <c r="K884" s="1" t="s">
        <v>208</v>
      </c>
      <c r="L884" s="1" t="s">
        <v>354</v>
      </c>
      <c r="M884" t="str">
        <f t="shared" si="78"/>
        <v>Alderweireldt</v>
      </c>
      <c r="N884" t="str">
        <f t="shared" si="79"/>
        <v>Jon. Neyens</v>
      </c>
      <c r="O884" t="str">
        <f t="shared" si="80"/>
        <v>Lin</v>
      </c>
      <c r="P884" t="str">
        <f t="shared" si="81"/>
        <v>Cheng</v>
      </c>
      <c r="Q884">
        <f t="shared" si="82"/>
        <v>1</v>
      </c>
      <c r="R884" t="str">
        <f t="shared" si="83"/>
        <v>Alderweireldt-Jon. Neyens-Lin-Cheng</v>
      </c>
    </row>
    <row r="885" spans="1:18" x14ac:dyDescent="0.25">
      <c r="A885" s="1" t="s">
        <v>207</v>
      </c>
      <c r="B885" s="1">
        <v>142</v>
      </c>
      <c r="C885" s="1" t="s">
        <v>27</v>
      </c>
      <c r="D885" s="1">
        <v>2</v>
      </c>
      <c r="E885" s="1" t="s">
        <v>30</v>
      </c>
      <c r="F885" s="1">
        <v>16</v>
      </c>
      <c r="G885" s="1">
        <v>18</v>
      </c>
      <c r="H885" s="1" t="s">
        <v>31</v>
      </c>
      <c r="I885" s="1" t="s">
        <v>410</v>
      </c>
      <c r="J885" s="1" t="s">
        <v>298</v>
      </c>
      <c r="K885" s="1" t="s">
        <v>208</v>
      </c>
      <c r="L885" s="1" t="s">
        <v>354</v>
      </c>
      <c r="M885" t="str">
        <f t="shared" si="78"/>
        <v>Alderweireldt</v>
      </c>
      <c r="N885" t="str">
        <f t="shared" si="79"/>
        <v>Jon. Neyens</v>
      </c>
      <c r="O885" t="str">
        <f t="shared" si="80"/>
        <v>Lin</v>
      </c>
      <c r="P885" t="str">
        <f t="shared" si="81"/>
        <v>Cheng</v>
      </c>
      <c r="Q885">
        <f t="shared" si="82"/>
        <v>0</v>
      </c>
      <c r="R885" t="str">
        <f t="shared" si="83"/>
        <v>Alderweireldt-Jon. Neyens-Lin-Cheng</v>
      </c>
    </row>
    <row r="886" spans="1:18" x14ac:dyDescent="0.25">
      <c r="A886" s="1" t="s">
        <v>207</v>
      </c>
      <c r="B886" s="1">
        <v>143</v>
      </c>
      <c r="C886" s="1" t="s">
        <v>27</v>
      </c>
      <c r="D886" s="1">
        <v>3</v>
      </c>
      <c r="E886" s="1" t="s">
        <v>30</v>
      </c>
      <c r="F886" s="1">
        <v>15</v>
      </c>
      <c r="G886" s="1">
        <v>11</v>
      </c>
      <c r="H886" s="1" t="s">
        <v>31</v>
      </c>
      <c r="I886" s="1" t="s">
        <v>410</v>
      </c>
      <c r="J886" s="1" t="s">
        <v>298</v>
      </c>
      <c r="K886" s="1" t="s">
        <v>208</v>
      </c>
      <c r="L886" s="1" t="s">
        <v>354</v>
      </c>
      <c r="M886" t="str">
        <f t="shared" si="78"/>
        <v>Alderweireldt</v>
      </c>
      <c r="N886" t="str">
        <f t="shared" si="79"/>
        <v>Jon. Neyens</v>
      </c>
      <c r="O886" t="str">
        <f t="shared" si="80"/>
        <v>Lin</v>
      </c>
      <c r="P886" t="str">
        <f t="shared" si="81"/>
        <v>Cheng</v>
      </c>
      <c r="Q886">
        <f t="shared" si="82"/>
        <v>1</v>
      </c>
      <c r="R886" t="str">
        <f t="shared" si="83"/>
        <v>Alderweireldt-Jon. Neyens-Lin-Cheng</v>
      </c>
    </row>
    <row r="887" spans="1:18" x14ac:dyDescent="0.25">
      <c r="A887" s="1" t="s">
        <v>207</v>
      </c>
      <c r="B887" s="1">
        <v>255</v>
      </c>
      <c r="C887" s="1" t="s">
        <v>12</v>
      </c>
      <c r="D887" s="1">
        <v>1</v>
      </c>
      <c r="E887" s="1" t="s">
        <v>83</v>
      </c>
      <c r="F887" s="1">
        <v>1</v>
      </c>
      <c r="G887" s="1">
        <v>0</v>
      </c>
      <c r="H887" s="1" t="s">
        <v>69</v>
      </c>
      <c r="I887" s="1" t="s">
        <v>336</v>
      </c>
      <c r="J887" s="1" t="s">
        <v>310</v>
      </c>
      <c r="K887" s="1" t="s">
        <v>222</v>
      </c>
      <c r="L887" s="1" t="s">
        <v>354</v>
      </c>
      <c r="M887" t="str">
        <f t="shared" si="78"/>
        <v>Due-Tønnessen</v>
      </c>
      <c r="N887" t="str">
        <f t="shared" si="79"/>
        <v>Espevik</v>
      </c>
      <c r="O887" t="str">
        <f t="shared" si="80"/>
        <v>Ernestsone</v>
      </c>
      <c r="P887" t="str">
        <f t="shared" si="81"/>
        <v>Naumane</v>
      </c>
      <c r="Q887">
        <f t="shared" si="82"/>
        <v>1</v>
      </c>
      <c r="R887" t="str">
        <f t="shared" si="83"/>
        <v>Due-Tønnessen-Espevik-Ernestsone-Naumane</v>
      </c>
    </row>
    <row r="888" spans="1:18" x14ac:dyDescent="0.25">
      <c r="A888" s="1" t="s">
        <v>207</v>
      </c>
      <c r="B888" s="1">
        <v>259</v>
      </c>
      <c r="C888" s="1" t="s">
        <v>18</v>
      </c>
      <c r="D888" s="1">
        <v>2</v>
      </c>
      <c r="E888" s="1" t="s">
        <v>83</v>
      </c>
      <c r="F888" s="1">
        <v>1</v>
      </c>
      <c r="G888" s="1">
        <v>0</v>
      </c>
      <c r="H888" s="1" t="s">
        <v>69</v>
      </c>
      <c r="I888" s="1" t="s">
        <v>418</v>
      </c>
      <c r="J888" s="1" t="s">
        <v>311</v>
      </c>
      <c r="K888" s="1" t="s">
        <v>222</v>
      </c>
      <c r="L888" s="1" t="s">
        <v>354</v>
      </c>
      <c r="M888" t="str">
        <f t="shared" si="78"/>
        <v>Olsen</v>
      </c>
      <c r="N888" t="str">
        <f t="shared" si="79"/>
        <v>S. Modalsli</v>
      </c>
      <c r="O888" t="str">
        <f t="shared" si="80"/>
        <v>Jansone</v>
      </c>
      <c r="P888" t="str">
        <f t="shared" si="81"/>
        <v>Smilga</v>
      </c>
      <c r="Q888">
        <f t="shared" si="82"/>
        <v>1</v>
      </c>
      <c r="R888" t="str">
        <f t="shared" si="83"/>
        <v>Olsen-S. Modalsli-Jansone-Smilga</v>
      </c>
    </row>
    <row r="889" spans="1:18" x14ac:dyDescent="0.25">
      <c r="A889" s="1" t="s">
        <v>207</v>
      </c>
      <c r="B889" s="1">
        <v>261</v>
      </c>
      <c r="C889" s="1" t="s">
        <v>21</v>
      </c>
      <c r="D889" s="1">
        <v>1</v>
      </c>
      <c r="E889" s="1" t="s">
        <v>83</v>
      </c>
      <c r="F889" s="1">
        <v>1</v>
      </c>
      <c r="G889" s="1">
        <v>0</v>
      </c>
      <c r="H889" s="1" t="s">
        <v>69</v>
      </c>
      <c r="I889" s="1" t="s">
        <v>340</v>
      </c>
      <c r="J889" s="1" t="s">
        <v>312</v>
      </c>
      <c r="K889" s="1" t="s">
        <v>222</v>
      </c>
      <c r="L889" s="1" t="s">
        <v>354</v>
      </c>
      <c r="M889" t="str">
        <f t="shared" si="78"/>
        <v>Eilertsen</v>
      </c>
      <c r="N889" t="str">
        <f t="shared" si="79"/>
        <v>Pavall</v>
      </c>
      <c r="O889" t="str">
        <f t="shared" si="80"/>
        <v>Brauna</v>
      </c>
      <c r="P889" t="str">
        <f t="shared" si="81"/>
        <v>Ivanova</v>
      </c>
      <c r="Q889">
        <f t="shared" si="82"/>
        <v>1</v>
      </c>
      <c r="R889" t="str">
        <f t="shared" si="83"/>
        <v>Eilertsen-Pavall-Brauna-Ivanova</v>
      </c>
    </row>
    <row r="890" spans="1:18" x14ac:dyDescent="0.25">
      <c r="A890" s="1" t="s">
        <v>207</v>
      </c>
      <c r="B890" s="1">
        <v>273</v>
      </c>
      <c r="C890" s="1" t="s">
        <v>12</v>
      </c>
      <c r="D890" s="1">
        <v>1</v>
      </c>
      <c r="E890" s="1" t="s">
        <v>134</v>
      </c>
      <c r="F890" s="1">
        <v>19</v>
      </c>
      <c r="G890" s="1">
        <v>21</v>
      </c>
      <c r="H890" s="1" t="s">
        <v>108</v>
      </c>
      <c r="I890" s="1" t="s">
        <v>389</v>
      </c>
      <c r="J890" s="1" t="s">
        <v>313</v>
      </c>
      <c r="K890" s="1" t="s">
        <v>222</v>
      </c>
      <c r="L890" s="1" t="s">
        <v>354</v>
      </c>
      <c r="M890" t="str">
        <f t="shared" si="78"/>
        <v>C. Chan</v>
      </c>
      <c r="N890" t="str">
        <f t="shared" si="79"/>
        <v>Tang</v>
      </c>
      <c r="O890" t="str">
        <f t="shared" si="80"/>
        <v>Figueroa</v>
      </c>
      <c r="P890" t="str">
        <f t="shared" si="81"/>
        <v>Vega</v>
      </c>
      <c r="Q890">
        <f t="shared" si="82"/>
        <v>0</v>
      </c>
      <c r="R890" t="str">
        <f t="shared" si="83"/>
        <v>C. Chan-Tang-Figueroa-Vega</v>
      </c>
    </row>
    <row r="891" spans="1:18" x14ac:dyDescent="0.25">
      <c r="A891" s="1" t="s">
        <v>207</v>
      </c>
      <c r="B891" s="1">
        <v>276</v>
      </c>
      <c r="C891" s="1" t="s">
        <v>18</v>
      </c>
      <c r="D891" s="1">
        <v>1</v>
      </c>
      <c r="E891" s="1" t="s">
        <v>134</v>
      </c>
      <c r="F891" s="1">
        <v>21</v>
      </c>
      <c r="G891" s="1">
        <v>14</v>
      </c>
      <c r="H891" s="1" t="s">
        <v>108</v>
      </c>
      <c r="I891" s="1" t="s">
        <v>388</v>
      </c>
      <c r="J891" s="1" t="s">
        <v>314</v>
      </c>
      <c r="K891" s="1" t="s">
        <v>222</v>
      </c>
      <c r="L891" s="1" t="s">
        <v>354</v>
      </c>
      <c r="M891" t="str">
        <f t="shared" si="78"/>
        <v>R. Chan</v>
      </c>
      <c r="N891" t="str">
        <f t="shared" si="79"/>
        <v>Law</v>
      </c>
      <c r="O891" t="str">
        <f t="shared" si="80"/>
        <v>García</v>
      </c>
      <c r="P891" t="str">
        <f t="shared" si="81"/>
        <v>Eberhardt</v>
      </c>
      <c r="Q891">
        <f t="shared" si="82"/>
        <v>1</v>
      </c>
      <c r="R891" t="str">
        <f t="shared" si="83"/>
        <v>R. Chan-Law-García-Eberhardt</v>
      </c>
    </row>
    <row r="892" spans="1:18" x14ac:dyDescent="0.25">
      <c r="A892" s="1" t="s">
        <v>207</v>
      </c>
      <c r="B892" s="1">
        <v>279</v>
      </c>
      <c r="C892" s="1" t="s">
        <v>21</v>
      </c>
      <c r="D892" s="1">
        <v>1</v>
      </c>
      <c r="E892" s="1" t="s">
        <v>134</v>
      </c>
      <c r="F892" s="1">
        <v>21</v>
      </c>
      <c r="G892" s="1">
        <v>9</v>
      </c>
      <c r="H892" s="1" t="s">
        <v>108</v>
      </c>
      <c r="I892" s="1" t="s">
        <v>390</v>
      </c>
      <c r="J892" s="1" t="s">
        <v>315</v>
      </c>
      <c r="K892" s="1" t="s">
        <v>222</v>
      </c>
      <c r="L892" s="1" t="s">
        <v>354</v>
      </c>
      <c r="M892" t="str">
        <f t="shared" si="78"/>
        <v>Zhu</v>
      </c>
      <c r="N892" t="str">
        <f t="shared" si="79"/>
        <v>M. Chan</v>
      </c>
      <c r="O892" t="str">
        <f t="shared" si="80"/>
        <v>Regalado</v>
      </c>
      <c r="P892" t="str">
        <f t="shared" si="81"/>
        <v>Lara</v>
      </c>
      <c r="Q892">
        <f t="shared" si="82"/>
        <v>1</v>
      </c>
      <c r="R892" t="str">
        <f t="shared" si="83"/>
        <v>Zhu-M. Chan-Regalado-Lara</v>
      </c>
    </row>
    <row r="893" spans="1:18" x14ac:dyDescent="0.25">
      <c r="A893" s="1" t="s">
        <v>215</v>
      </c>
      <c r="B893" s="1">
        <v>3</v>
      </c>
      <c r="C893" s="1" t="s">
        <v>12</v>
      </c>
      <c r="D893" s="1">
        <v>1</v>
      </c>
      <c r="E893" s="1" t="s">
        <v>195</v>
      </c>
      <c r="F893" s="1">
        <v>21</v>
      </c>
      <c r="G893" s="1">
        <v>18</v>
      </c>
      <c r="H893" s="1" t="s">
        <v>30</v>
      </c>
      <c r="I893" s="1" t="s">
        <v>230</v>
      </c>
      <c r="J893" s="1" t="s">
        <v>233</v>
      </c>
      <c r="K893" s="1" t="s">
        <v>216</v>
      </c>
      <c r="L893" s="1" t="s">
        <v>354</v>
      </c>
      <c r="M893" t="str">
        <f t="shared" si="78"/>
        <v>Hui</v>
      </c>
      <c r="N893" t="str">
        <f t="shared" si="79"/>
        <v>O. Jenki</v>
      </c>
      <c r="O893" t="str">
        <f t="shared" si="80"/>
        <v>Vandersype</v>
      </c>
      <c r="P893" t="str">
        <f t="shared" si="81"/>
        <v>D'hoore</v>
      </c>
      <c r="Q893">
        <f t="shared" si="82"/>
        <v>1</v>
      </c>
      <c r="R893" t="str">
        <f t="shared" si="83"/>
        <v>Hui-O. Jenki-Vandersype-D'hoore</v>
      </c>
    </row>
    <row r="894" spans="1:18" x14ac:dyDescent="0.25">
      <c r="A894" s="1" t="s">
        <v>215</v>
      </c>
      <c r="B894" s="1">
        <v>4</v>
      </c>
      <c r="C894" s="1" t="s">
        <v>12</v>
      </c>
      <c r="D894" s="1">
        <v>2</v>
      </c>
      <c r="E894" s="1" t="s">
        <v>195</v>
      </c>
      <c r="F894" s="1">
        <v>21</v>
      </c>
      <c r="G894" s="1">
        <v>18</v>
      </c>
      <c r="H894" s="1" t="s">
        <v>30</v>
      </c>
      <c r="I894" s="1" t="s">
        <v>230</v>
      </c>
      <c r="J894" s="1" t="s">
        <v>233</v>
      </c>
      <c r="K894" s="1" t="s">
        <v>216</v>
      </c>
      <c r="L894" s="1" t="s">
        <v>354</v>
      </c>
      <c r="M894" t="str">
        <f t="shared" si="78"/>
        <v>Hui</v>
      </c>
      <c r="N894" t="str">
        <f t="shared" si="79"/>
        <v>O. Jenki</v>
      </c>
      <c r="O894" t="str">
        <f t="shared" si="80"/>
        <v>Vandersype</v>
      </c>
      <c r="P894" t="str">
        <f t="shared" si="81"/>
        <v>D'hoore</v>
      </c>
      <c r="Q894">
        <f t="shared" si="82"/>
        <v>1</v>
      </c>
      <c r="R894" t="str">
        <f t="shared" si="83"/>
        <v>Hui-O. Jenki-Vandersype-D'hoore</v>
      </c>
    </row>
    <row r="895" spans="1:18" x14ac:dyDescent="0.25">
      <c r="A895" s="1" t="s">
        <v>215</v>
      </c>
      <c r="B895" s="1">
        <v>6</v>
      </c>
      <c r="C895" s="1" t="s">
        <v>18</v>
      </c>
      <c r="D895" s="1">
        <v>1</v>
      </c>
      <c r="E895" s="1" t="s">
        <v>195</v>
      </c>
      <c r="F895" s="1">
        <v>21</v>
      </c>
      <c r="G895" s="1">
        <v>18</v>
      </c>
      <c r="H895" s="1" t="s">
        <v>30</v>
      </c>
      <c r="I895" s="1" t="s">
        <v>235</v>
      </c>
      <c r="J895" s="1" t="s">
        <v>238</v>
      </c>
      <c r="K895" s="1" t="s">
        <v>216</v>
      </c>
      <c r="L895" s="1" t="s">
        <v>354</v>
      </c>
      <c r="M895" t="str">
        <f t="shared" si="78"/>
        <v>Washburn</v>
      </c>
      <c r="N895" t="str">
        <f t="shared" si="79"/>
        <v>A. Jenki</v>
      </c>
      <c r="O895" t="str">
        <f t="shared" si="80"/>
        <v>Vankemenade</v>
      </c>
      <c r="P895" t="str">
        <f t="shared" si="81"/>
        <v>Teisseyre</v>
      </c>
      <c r="Q895">
        <f t="shared" si="82"/>
        <v>1</v>
      </c>
      <c r="R895" t="str">
        <f t="shared" si="83"/>
        <v>Washburn-A. Jenki-Vankemenade-Teisseyre</v>
      </c>
    </row>
    <row r="896" spans="1:18" x14ac:dyDescent="0.25">
      <c r="A896" s="1" t="s">
        <v>215</v>
      </c>
      <c r="B896" s="1">
        <v>7</v>
      </c>
      <c r="C896" s="1" t="s">
        <v>18</v>
      </c>
      <c r="D896" s="1">
        <v>2</v>
      </c>
      <c r="E896" s="1" t="s">
        <v>195</v>
      </c>
      <c r="F896" s="1">
        <v>14</v>
      </c>
      <c r="G896" s="1">
        <v>15</v>
      </c>
      <c r="H896" s="1" t="s">
        <v>30</v>
      </c>
      <c r="I896" s="1" t="s">
        <v>235</v>
      </c>
      <c r="J896" s="1" t="s">
        <v>238</v>
      </c>
      <c r="K896" s="1" t="s">
        <v>216</v>
      </c>
      <c r="L896" s="1" t="s">
        <v>354</v>
      </c>
      <c r="M896" t="str">
        <f t="shared" si="78"/>
        <v>Washburn</v>
      </c>
      <c r="N896" t="str">
        <f t="shared" si="79"/>
        <v>A. Jenki</v>
      </c>
      <c r="O896" t="str">
        <f t="shared" si="80"/>
        <v>Vankemenade</v>
      </c>
      <c r="P896" t="str">
        <f t="shared" si="81"/>
        <v>Teisseyre</v>
      </c>
      <c r="Q896">
        <f t="shared" si="82"/>
        <v>0</v>
      </c>
      <c r="R896" t="str">
        <f t="shared" si="83"/>
        <v>Washburn-A. Jenki-Vankemenade-Teisseyre</v>
      </c>
    </row>
    <row r="897" spans="1:18" x14ac:dyDescent="0.25">
      <c r="A897" s="1" t="s">
        <v>215</v>
      </c>
      <c r="B897" s="1">
        <v>9</v>
      </c>
      <c r="C897" s="1" t="s">
        <v>21</v>
      </c>
      <c r="D897" s="1">
        <v>1</v>
      </c>
      <c r="E897" s="1" t="s">
        <v>195</v>
      </c>
      <c r="F897" s="1">
        <v>21</v>
      </c>
      <c r="G897" s="1">
        <v>11</v>
      </c>
      <c r="H897" s="1" t="s">
        <v>30</v>
      </c>
      <c r="I897" s="1" t="s">
        <v>240</v>
      </c>
      <c r="J897" s="1" t="s">
        <v>243</v>
      </c>
      <c r="K897" s="1" t="s">
        <v>216</v>
      </c>
      <c r="L897" s="1" t="s">
        <v>354</v>
      </c>
      <c r="M897" t="str">
        <f t="shared" si="78"/>
        <v>Morgan</v>
      </c>
      <c r="N897" t="str">
        <f t="shared" si="79"/>
        <v>Fleming</v>
      </c>
      <c r="O897" t="str">
        <f t="shared" si="80"/>
        <v>Delbecke</v>
      </c>
      <c r="P897" t="str">
        <f t="shared" si="81"/>
        <v>Van der Stichelen</v>
      </c>
      <c r="Q897">
        <f t="shared" si="82"/>
        <v>1</v>
      </c>
      <c r="R897" t="str">
        <f t="shared" si="83"/>
        <v>Morgan-Fleming-Delbecke-Van der Stichelen</v>
      </c>
    </row>
    <row r="898" spans="1:18" x14ac:dyDescent="0.25">
      <c r="A898" s="1" t="s">
        <v>215</v>
      </c>
      <c r="B898" s="1">
        <v>10</v>
      </c>
      <c r="C898" s="1" t="s">
        <v>21</v>
      </c>
      <c r="D898" s="1">
        <v>2</v>
      </c>
      <c r="E898" s="1" t="s">
        <v>195</v>
      </c>
      <c r="F898" s="1">
        <v>21</v>
      </c>
      <c r="G898" s="1">
        <v>13</v>
      </c>
      <c r="H898" s="1" t="s">
        <v>30</v>
      </c>
      <c r="I898" s="1" t="s">
        <v>240</v>
      </c>
      <c r="J898" s="1" t="s">
        <v>243</v>
      </c>
      <c r="K898" s="1" t="s">
        <v>216</v>
      </c>
      <c r="L898" s="1" t="s">
        <v>354</v>
      </c>
      <c r="M898" t="str">
        <f t="shared" ref="M898:M961" si="84">_xlfn.TEXTBEFORE(I898,"/")</f>
        <v>Morgan</v>
      </c>
      <c r="N898" t="str">
        <f t="shared" ref="N898:N961" si="85">_xlfn.TEXTAFTER(I898,"/ ")</f>
        <v>Fleming</v>
      </c>
      <c r="O898" t="str">
        <f t="shared" ref="O898:O961" si="86">_xlfn.TEXTBEFORE(J898,"/")</f>
        <v>Delbecke</v>
      </c>
      <c r="P898" t="str">
        <f t="shared" ref="P898:P961" si="87">_xlfn.TEXTAFTER(J898,"/ ")</f>
        <v>Van der Stichelen</v>
      </c>
      <c r="Q898">
        <f t="shared" ref="Q898:Q961" si="88">IF(F898&gt;G898,1,0)</f>
        <v>1</v>
      </c>
      <c r="R898" t="str">
        <f t="shared" ref="R898:R961" si="89">_xlfn.TEXTJOIN("-",TRUE,M898,N898,O898,P898)</f>
        <v>Morgan-Fleming-Delbecke-Van der Stichelen</v>
      </c>
    </row>
    <row r="899" spans="1:18" x14ac:dyDescent="0.25">
      <c r="A899" s="1" t="s">
        <v>215</v>
      </c>
      <c r="B899" s="1">
        <v>12</v>
      </c>
      <c r="C899" s="1" t="s">
        <v>24</v>
      </c>
      <c r="D899" s="1">
        <v>1</v>
      </c>
      <c r="E899" s="1" t="s">
        <v>195</v>
      </c>
      <c r="F899" s="1">
        <v>21</v>
      </c>
      <c r="G899" s="1">
        <v>13</v>
      </c>
      <c r="H899" s="1" t="s">
        <v>30</v>
      </c>
      <c r="I899" s="1" t="s">
        <v>245</v>
      </c>
      <c r="J899" s="1" t="s">
        <v>248</v>
      </c>
      <c r="K899" s="1" t="s">
        <v>216</v>
      </c>
      <c r="L899" s="1" t="s">
        <v>354</v>
      </c>
      <c r="M899" t="str">
        <f t="shared" si="84"/>
        <v>Pierson</v>
      </c>
      <c r="N899" t="str">
        <f t="shared" si="85"/>
        <v>Phan</v>
      </c>
      <c r="O899" t="str">
        <f t="shared" si="86"/>
        <v>Jubault</v>
      </c>
      <c r="P899" t="str">
        <f t="shared" si="87"/>
        <v>Dumesnil</v>
      </c>
      <c r="Q899">
        <f t="shared" si="88"/>
        <v>1</v>
      </c>
      <c r="R899" t="str">
        <f t="shared" si="89"/>
        <v>Pierson-Phan-Jubault-Dumesnil</v>
      </c>
    </row>
    <row r="900" spans="1:18" x14ac:dyDescent="0.25">
      <c r="A900" s="1" t="s">
        <v>215</v>
      </c>
      <c r="B900" s="1">
        <v>13</v>
      </c>
      <c r="C900" s="1" t="s">
        <v>24</v>
      </c>
      <c r="D900" s="1">
        <v>2</v>
      </c>
      <c r="E900" s="1" t="s">
        <v>195</v>
      </c>
      <c r="F900" s="1">
        <v>20</v>
      </c>
      <c r="G900" s="1">
        <v>20</v>
      </c>
      <c r="H900" s="1" t="s">
        <v>30</v>
      </c>
      <c r="I900" s="1" t="s">
        <v>245</v>
      </c>
      <c r="J900" s="1" t="s">
        <v>248</v>
      </c>
      <c r="K900" s="1" t="s">
        <v>216</v>
      </c>
      <c r="L900" s="1" t="s">
        <v>354</v>
      </c>
      <c r="M900" t="str">
        <f t="shared" si="84"/>
        <v>Pierson</v>
      </c>
      <c r="N900" t="str">
        <f t="shared" si="85"/>
        <v>Phan</v>
      </c>
      <c r="O900" t="str">
        <f t="shared" si="86"/>
        <v>Jubault</v>
      </c>
      <c r="P900" t="str">
        <f t="shared" si="87"/>
        <v>Dumesnil</v>
      </c>
      <c r="Q900">
        <f t="shared" si="88"/>
        <v>0</v>
      </c>
      <c r="R900" t="str">
        <f t="shared" si="89"/>
        <v>Pierson-Phan-Jubault-Dumesnil</v>
      </c>
    </row>
    <row r="901" spans="1:18" x14ac:dyDescent="0.25">
      <c r="A901" s="1" t="s">
        <v>215</v>
      </c>
      <c r="B901" s="1">
        <v>15</v>
      </c>
      <c r="C901" s="1" t="s">
        <v>27</v>
      </c>
      <c r="D901" s="1">
        <v>1</v>
      </c>
      <c r="E901" s="1" t="s">
        <v>195</v>
      </c>
      <c r="F901" s="1">
        <v>21</v>
      </c>
      <c r="G901" s="1">
        <v>8</v>
      </c>
      <c r="H901" s="1" t="s">
        <v>30</v>
      </c>
      <c r="I901" s="1" t="s">
        <v>250</v>
      </c>
      <c r="J901" s="1" t="s">
        <v>410</v>
      </c>
      <c r="K901" s="1" t="s">
        <v>216</v>
      </c>
      <c r="L901" s="1" t="s">
        <v>354</v>
      </c>
      <c r="M901" t="str">
        <f t="shared" si="84"/>
        <v>Timan</v>
      </c>
      <c r="N901" t="str">
        <f t="shared" si="85"/>
        <v>Allen</v>
      </c>
      <c r="O901" t="str">
        <f t="shared" si="86"/>
        <v>Alderweireldt</v>
      </c>
      <c r="P901" t="str">
        <f t="shared" si="87"/>
        <v>Jon. Neyens</v>
      </c>
      <c r="Q901">
        <f t="shared" si="88"/>
        <v>1</v>
      </c>
      <c r="R901" t="str">
        <f t="shared" si="89"/>
        <v>Timan-Allen-Alderweireldt-Jon. Neyens</v>
      </c>
    </row>
    <row r="902" spans="1:18" x14ac:dyDescent="0.25">
      <c r="A902" s="1" t="s">
        <v>215</v>
      </c>
      <c r="B902" s="1">
        <v>16</v>
      </c>
      <c r="C902" s="1" t="s">
        <v>27</v>
      </c>
      <c r="D902" s="1">
        <v>2</v>
      </c>
      <c r="E902" s="1" t="s">
        <v>195</v>
      </c>
      <c r="F902" s="1">
        <v>21</v>
      </c>
      <c r="G902" s="1">
        <v>11</v>
      </c>
      <c r="H902" s="1" t="s">
        <v>30</v>
      </c>
      <c r="I902" s="1" t="s">
        <v>250</v>
      </c>
      <c r="J902" s="1" t="s">
        <v>410</v>
      </c>
      <c r="K902" s="1" t="s">
        <v>216</v>
      </c>
      <c r="L902" s="1" t="s">
        <v>354</v>
      </c>
      <c r="M902" t="str">
        <f t="shared" si="84"/>
        <v>Timan</v>
      </c>
      <c r="N902" t="str">
        <f t="shared" si="85"/>
        <v>Allen</v>
      </c>
      <c r="O902" t="str">
        <f t="shared" si="86"/>
        <v>Alderweireldt</v>
      </c>
      <c r="P902" t="str">
        <f t="shared" si="87"/>
        <v>Jon. Neyens</v>
      </c>
      <c r="Q902">
        <f t="shared" si="88"/>
        <v>1</v>
      </c>
      <c r="R902" t="str">
        <f t="shared" si="89"/>
        <v>Timan-Allen-Alderweireldt-Jon. Neyens</v>
      </c>
    </row>
    <row r="903" spans="1:18" x14ac:dyDescent="0.25">
      <c r="A903" s="1" t="s">
        <v>215</v>
      </c>
      <c r="B903" s="1">
        <v>21</v>
      </c>
      <c r="C903" s="1" t="s">
        <v>12</v>
      </c>
      <c r="D903" s="1">
        <v>1</v>
      </c>
      <c r="E903" s="1" t="s">
        <v>156</v>
      </c>
      <c r="F903" s="1">
        <v>21</v>
      </c>
      <c r="G903" s="1">
        <v>14</v>
      </c>
      <c r="H903" s="1" t="s">
        <v>155</v>
      </c>
      <c r="I903" s="1" t="s">
        <v>255</v>
      </c>
      <c r="J903" s="1" t="s">
        <v>257</v>
      </c>
      <c r="K903" s="1" t="s">
        <v>216</v>
      </c>
      <c r="L903" s="1" t="s">
        <v>354</v>
      </c>
      <c r="M903" t="str">
        <f t="shared" si="84"/>
        <v>Leybourne</v>
      </c>
      <c r="N903" t="str">
        <f t="shared" si="85"/>
        <v>Kadlec</v>
      </c>
      <c r="O903" t="str">
        <f t="shared" si="86"/>
        <v>Rossetto</v>
      </c>
      <c r="P903" t="str">
        <f t="shared" si="87"/>
        <v>Zanella</v>
      </c>
      <c r="Q903">
        <f t="shared" si="88"/>
        <v>1</v>
      </c>
      <c r="R903" t="str">
        <f t="shared" si="89"/>
        <v>Leybourne-Kadlec-Rossetto-Zanella</v>
      </c>
    </row>
    <row r="904" spans="1:18" x14ac:dyDescent="0.25">
      <c r="A904" s="1" t="s">
        <v>215</v>
      </c>
      <c r="B904" s="1">
        <v>22</v>
      </c>
      <c r="C904" s="1" t="s">
        <v>12</v>
      </c>
      <c r="D904" s="1">
        <v>2</v>
      </c>
      <c r="E904" s="1" t="s">
        <v>156</v>
      </c>
      <c r="F904" s="1">
        <v>19</v>
      </c>
      <c r="G904" s="1">
        <v>13</v>
      </c>
      <c r="H904" s="1" t="s">
        <v>155</v>
      </c>
      <c r="I904" s="1" t="s">
        <v>255</v>
      </c>
      <c r="J904" s="1" t="s">
        <v>257</v>
      </c>
      <c r="K904" s="1" t="s">
        <v>216</v>
      </c>
      <c r="L904" s="1" t="s">
        <v>354</v>
      </c>
      <c r="M904" t="str">
        <f t="shared" si="84"/>
        <v>Leybourne</v>
      </c>
      <c r="N904" t="str">
        <f t="shared" si="85"/>
        <v>Kadlec</v>
      </c>
      <c r="O904" t="str">
        <f t="shared" si="86"/>
        <v>Rossetto</v>
      </c>
      <c r="P904" t="str">
        <f t="shared" si="87"/>
        <v>Zanella</v>
      </c>
      <c r="Q904">
        <f t="shared" si="88"/>
        <v>1</v>
      </c>
      <c r="R904" t="str">
        <f t="shared" si="89"/>
        <v>Leybourne-Kadlec-Rossetto-Zanella</v>
      </c>
    </row>
    <row r="905" spans="1:18" x14ac:dyDescent="0.25">
      <c r="A905" s="1" t="s">
        <v>215</v>
      </c>
      <c r="B905" s="1">
        <v>24</v>
      </c>
      <c r="C905" s="1" t="s">
        <v>18</v>
      </c>
      <c r="D905" s="1">
        <v>1</v>
      </c>
      <c r="E905" s="1" t="s">
        <v>156</v>
      </c>
      <c r="F905" s="1">
        <v>21</v>
      </c>
      <c r="G905" s="1">
        <v>15</v>
      </c>
      <c r="H905" s="1" t="s">
        <v>155</v>
      </c>
      <c r="I905" s="1" t="s">
        <v>258</v>
      </c>
      <c r="J905" s="1" t="s">
        <v>260</v>
      </c>
      <c r="K905" s="1" t="s">
        <v>216</v>
      </c>
      <c r="L905" s="1" t="s">
        <v>354</v>
      </c>
      <c r="M905" t="str">
        <f t="shared" si="84"/>
        <v>Kornek</v>
      </c>
      <c r="N905" t="str">
        <f t="shared" si="85"/>
        <v>Teskey</v>
      </c>
      <c r="O905" t="str">
        <f t="shared" si="86"/>
        <v>Patat</v>
      </c>
      <c r="P905" t="str">
        <f t="shared" si="87"/>
        <v>Pernigo</v>
      </c>
      <c r="Q905">
        <f t="shared" si="88"/>
        <v>1</v>
      </c>
      <c r="R905" t="str">
        <f t="shared" si="89"/>
        <v>Kornek-Teskey-Patat-Pernigo</v>
      </c>
    </row>
    <row r="906" spans="1:18" x14ac:dyDescent="0.25">
      <c r="A906" s="1" t="s">
        <v>215</v>
      </c>
      <c r="B906" s="1">
        <v>25</v>
      </c>
      <c r="C906" s="1" t="s">
        <v>18</v>
      </c>
      <c r="D906" s="1">
        <v>2</v>
      </c>
      <c r="E906" s="1" t="s">
        <v>156</v>
      </c>
      <c r="F906" s="1">
        <v>21</v>
      </c>
      <c r="G906" s="1">
        <v>15</v>
      </c>
      <c r="H906" s="1" t="s">
        <v>155</v>
      </c>
      <c r="I906" s="1" t="s">
        <v>258</v>
      </c>
      <c r="J906" s="1" t="s">
        <v>260</v>
      </c>
      <c r="K906" s="1" t="s">
        <v>216</v>
      </c>
      <c r="L906" s="1" t="s">
        <v>354</v>
      </c>
      <c r="M906" t="str">
        <f t="shared" si="84"/>
        <v>Kornek</v>
      </c>
      <c r="N906" t="str">
        <f t="shared" si="85"/>
        <v>Teskey</v>
      </c>
      <c r="O906" t="str">
        <f t="shared" si="86"/>
        <v>Patat</v>
      </c>
      <c r="P906" t="str">
        <f t="shared" si="87"/>
        <v>Pernigo</v>
      </c>
      <c r="Q906">
        <f t="shared" si="88"/>
        <v>1</v>
      </c>
      <c r="R906" t="str">
        <f t="shared" si="89"/>
        <v>Kornek-Teskey-Patat-Pernigo</v>
      </c>
    </row>
    <row r="907" spans="1:18" x14ac:dyDescent="0.25">
      <c r="A907" s="1" t="s">
        <v>215</v>
      </c>
      <c r="B907" s="1">
        <v>27</v>
      </c>
      <c r="C907" s="1" t="s">
        <v>21</v>
      </c>
      <c r="D907" s="1">
        <v>1</v>
      </c>
      <c r="E907" s="1" t="s">
        <v>156</v>
      </c>
      <c r="F907" s="1">
        <v>21</v>
      </c>
      <c r="G907" s="1">
        <v>17</v>
      </c>
      <c r="H907" s="1" t="s">
        <v>155</v>
      </c>
      <c r="I907" s="1" t="s">
        <v>368</v>
      </c>
      <c r="J907" s="1" t="s">
        <v>263</v>
      </c>
      <c r="K907" s="1" t="s">
        <v>216</v>
      </c>
      <c r="L907" s="1" t="s">
        <v>354</v>
      </c>
      <c r="M907" t="str">
        <f t="shared" si="84"/>
        <v>Lehner</v>
      </c>
      <c r="N907" t="str">
        <f t="shared" si="85"/>
        <v>orlandini</v>
      </c>
      <c r="O907" t="str">
        <f t="shared" si="86"/>
        <v>Augello</v>
      </c>
      <c r="P907" t="str">
        <f t="shared" si="87"/>
        <v>Del Pioluogo</v>
      </c>
      <c r="Q907">
        <f t="shared" si="88"/>
        <v>1</v>
      </c>
      <c r="R907" t="str">
        <f t="shared" si="89"/>
        <v>Lehner-orlandini-Augello-Del Pioluogo</v>
      </c>
    </row>
    <row r="908" spans="1:18" x14ac:dyDescent="0.25">
      <c r="A908" s="1" t="s">
        <v>215</v>
      </c>
      <c r="B908" s="1">
        <v>28</v>
      </c>
      <c r="C908" s="1" t="s">
        <v>21</v>
      </c>
      <c r="D908" s="1">
        <v>2</v>
      </c>
      <c r="E908" s="1" t="s">
        <v>156</v>
      </c>
      <c r="F908" s="1">
        <v>21</v>
      </c>
      <c r="G908" s="1">
        <v>15</v>
      </c>
      <c r="H908" s="1" t="s">
        <v>155</v>
      </c>
      <c r="I908" s="1" t="s">
        <v>368</v>
      </c>
      <c r="J908" s="1" t="s">
        <v>263</v>
      </c>
      <c r="K908" s="1" t="s">
        <v>216</v>
      </c>
      <c r="L908" s="1" t="s">
        <v>354</v>
      </c>
      <c r="M908" t="str">
        <f t="shared" si="84"/>
        <v>Lehner</v>
      </c>
      <c r="N908" t="str">
        <f t="shared" si="85"/>
        <v>orlandini</v>
      </c>
      <c r="O908" t="str">
        <f t="shared" si="86"/>
        <v>Augello</v>
      </c>
      <c r="P908" t="str">
        <f t="shared" si="87"/>
        <v>Del Pioluogo</v>
      </c>
      <c r="Q908">
        <f t="shared" si="88"/>
        <v>1</v>
      </c>
      <c r="R908" t="str">
        <f t="shared" si="89"/>
        <v>Lehner-orlandini-Augello-Del Pioluogo</v>
      </c>
    </row>
    <row r="909" spans="1:18" x14ac:dyDescent="0.25">
      <c r="A909" s="1" t="s">
        <v>215</v>
      </c>
      <c r="B909" s="1">
        <v>30</v>
      </c>
      <c r="C909" s="1" t="s">
        <v>24</v>
      </c>
      <c r="D909" s="1">
        <v>1</v>
      </c>
      <c r="E909" s="1" t="s">
        <v>156</v>
      </c>
      <c r="F909" s="1">
        <v>21</v>
      </c>
      <c r="G909" s="1">
        <v>12</v>
      </c>
      <c r="H909" s="1" t="s">
        <v>155</v>
      </c>
      <c r="I909" s="1" t="s">
        <v>366</v>
      </c>
      <c r="J909" s="1" t="s">
        <v>365</v>
      </c>
      <c r="K909" s="1" t="s">
        <v>216</v>
      </c>
      <c r="L909" s="1" t="s">
        <v>354</v>
      </c>
      <c r="M909" t="str">
        <f t="shared" si="84"/>
        <v>A. Bauer</v>
      </c>
      <c r="N909" t="str">
        <f t="shared" si="85"/>
        <v>Sundl</v>
      </c>
      <c r="O909" t="str">
        <f t="shared" si="86"/>
        <v>Biondini</v>
      </c>
      <c r="P909" t="str">
        <f t="shared" si="87"/>
        <v>canu</v>
      </c>
      <c r="Q909">
        <f t="shared" si="88"/>
        <v>1</v>
      </c>
      <c r="R909" t="str">
        <f t="shared" si="89"/>
        <v>A. Bauer-Sundl-Biondini-canu</v>
      </c>
    </row>
    <row r="910" spans="1:18" x14ac:dyDescent="0.25">
      <c r="A910" s="1" t="s">
        <v>215</v>
      </c>
      <c r="B910" s="1">
        <v>31</v>
      </c>
      <c r="C910" s="1" t="s">
        <v>24</v>
      </c>
      <c r="D910" s="1">
        <v>2</v>
      </c>
      <c r="E910" s="1" t="s">
        <v>156</v>
      </c>
      <c r="F910" s="1">
        <v>24</v>
      </c>
      <c r="G910" s="1">
        <v>25</v>
      </c>
      <c r="H910" s="1" t="s">
        <v>155</v>
      </c>
      <c r="I910" s="1" t="s">
        <v>366</v>
      </c>
      <c r="J910" s="1" t="s">
        <v>365</v>
      </c>
      <c r="K910" s="1" t="s">
        <v>216</v>
      </c>
      <c r="L910" s="1" t="s">
        <v>354</v>
      </c>
      <c r="M910" t="str">
        <f t="shared" si="84"/>
        <v>A. Bauer</v>
      </c>
      <c r="N910" t="str">
        <f t="shared" si="85"/>
        <v>Sundl</v>
      </c>
      <c r="O910" t="str">
        <f t="shared" si="86"/>
        <v>Biondini</v>
      </c>
      <c r="P910" t="str">
        <f t="shared" si="87"/>
        <v>canu</v>
      </c>
      <c r="Q910">
        <f t="shared" si="88"/>
        <v>0</v>
      </c>
      <c r="R910" t="str">
        <f t="shared" si="89"/>
        <v>A. Bauer-Sundl-Biondini-canu</v>
      </c>
    </row>
    <row r="911" spans="1:18" x14ac:dyDescent="0.25">
      <c r="A911" s="1" t="s">
        <v>215</v>
      </c>
      <c r="B911" s="1">
        <v>33</v>
      </c>
      <c r="C911" s="1" t="s">
        <v>27</v>
      </c>
      <c r="D911" s="1">
        <v>1</v>
      </c>
      <c r="E911" s="1" t="s">
        <v>156</v>
      </c>
      <c r="F911" s="1">
        <v>21</v>
      </c>
      <c r="G911" s="1">
        <v>12</v>
      </c>
      <c r="H911" s="1" t="s">
        <v>155</v>
      </c>
      <c r="I911" s="1" t="s">
        <v>267</v>
      </c>
      <c r="J911" s="1" t="s">
        <v>268</v>
      </c>
      <c r="K911" s="1" t="s">
        <v>216</v>
      </c>
      <c r="L911" s="1" t="s">
        <v>354</v>
      </c>
      <c r="M911" t="str">
        <f t="shared" si="84"/>
        <v>Mrak</v>
      </c>
      <c r="N911" t="str">
        <f t="shared" si="85"/>
        <v>Seiberl</v>
      </c>
      <c r="O911" t="str">
        <f t="shared" si="86"/>
        <v>Ferragina</v>
      </c>
      <c r="P911" t="str">
        <f t="shared" si="87"/>
        <v>Lucchiari</v>
      </c>
      <c r="Q911">
        <f t="shared" si="88"/>
        <v>1</v>
      </c>
      <c r="R911" t="str">
        <f t="shared" si="89"/>
        <v>Mrak-Seiberl-Ferragina-Lucchiari</v>
      </c>
    </row>
    <row r="912" spans="1:18" x14ac:dyDescent="0.25">
      <c r="A912" s="1" t="s">
        <v>215</v>
      </c>
      <c r="B912" s="1">
        <v>34</v>
      </c>
      <c r="C912" s="1" t="s">
        <v>27</v>
      </c>
      <c r="D912" s="1">
        <v>2</v>
      </c>
      <c r="E912" s="1" t="s">
        <v>156</v>
      </c>
      <c r="F912" s="1">
        <v>21</v>
      </c>
      <c r="G912" s="1">
        <v>13</v>
      </c>
      <c r="H912" s="1" t="s">
        <v>155</v>
      </c>
      <c r="I912" s="1" t="s">
        <v>267</v>
      </c>
      <c r="J912" s="1" t="s">
        <v>268</v>
      </c>
      <c r="K912" s="1" t="s">
        <v>216</v>
      </c>
      <c r="L912" s="1" t="s">
        <v>354</v>
      </c>
      <c r="M912" t="str">
        <f t="shared" si="84"/>
        <v>Mrak</v>
      </c>
      <c r="N912" t="str">
        <f t="shared" si="85"/>
        <v>Seiberl</v>
      </c>
      <c r="O912" t="str">
        <f t="shared" si="86"/>
        <v>Ferragina</v>
      </c>
      <c r="P912" t="str">
        <f t="shared" si="87"/>
        <v>Lucchiari</v>
      </c>
      <c r="Q912">
        <f t="shared" si="88"/>
        <v>1</v>
      </c>
      <c r="R912" t="str">
        <f t="shared" si="89"/>
        <v>Mrak-Seiberl-Ferragina-Lucchiari</v>
      </c>
    </row>
    <row r="913" spans="1:18" x14ac:dyDescent="0.25">
      <c r="A913" s="1" t="s">
        <v>215</v>
      </c>
      <c r="B913" s="1">
        <v>39</v>
      </c>
      <c r="C913" s="1" t="s">
        <v>12</v>
      </c>
      <c r="D913" s="1">
        <v>1</v>
      </c>
      <c r="E913" s="1" t="s">
        <v>194</v>
      </c>
      <c r="F913" s="1">
        <v>0</v>
      </c>
      <c r="G913" s="1">
        <v>1</v>
      </c>
      <c r="H913" s="1" t="s">
        <v>146</v>
      </c>
      <c r="I913" s="1" t="s">
        <v>270</v>
      </c>
      <c r="J913" s="1" t="s">
        <v>234</v>
      </c>
      <c r="K913" s="1" t="s">
        <v>216</v>
      </c>
      <c r="L913" s="1" t="s">
        <v>354</v>
      </c>
      <c r="M913" t="str">
        <f t="shared" si="84"/>
        <v>Aspirot</v>
      </c>
      <c r="N913" t="str">
        <f t="shared" si="85"/>
        <v>Tardy</v>
      </c>
      <c r="O913" t="str">
        <f t="shared" si="86"/>
        <v>Knauf</v>
      </c>
      <c r="P913" t="str">
        <f t="shared" si="87"/>
        <v>Lorenz</v>
      </c>
      <c r="Q913">
        <f t="shared" si="88"/>
        <v>0</v>
      </c>
      <c r="R913" t="str">
        <f t="shared" si="89"/>
        <v>Aspirot-Tardy-Knauf-Lorenz</v>
      </c>
    </row>
    <row r="914" spans="1:18" x14ac:dyDescent="0.25">
      <c r="A914" s="1" t="s">
        <v>215</v>
      </c>
      <c r="B914" s="1">
        <v>40</v>
      </c>
      <c r="C914" s="1" t="s">
        <v>12</v>
      </c>
      <c r="D914" s="1">
        <v>2</v>
      </c>
      <c r="E914" s="1" t="s">
        <v>194</v>
      </c>
      <c r="F914" s="1">
        <v>0</v>
      </c>
      <c r="G914" s="1">
        <v>1</v>
      </c>
      <c r="H914" s="1" t="s">
        <v>146</v>
      </c>
      <c r="I914" s="1" t="s">
        <v>270</v>
      </c>
      <c r="J914" s="1" t="s">
        <v>234</v>
      </c>
      <c r="K914" s="1" t="s">
        <v>216</v>
      </c>
      <c r="L914" s="1" t="s">
        <v>354</v>
      </c>
      <c r="M914" t="str">
        <f t="shared" si="84"/>
        <v>Aspirot</v>
      </c>
      <c r="N914" t="str">
        <f t="shared" si="85"/>
        <v>Tardy</v>
      </c>
      <c r="O914" t="str">
        <f t="shared" si="86"/>
        <v>Knauf</v>
      </c>
      <c r="P914" t="str">
        <f t="shared" si="87"/>
        <v>Lorenz</v>
      </c>
      <c r="Q914">
        <f t="shared" si="88"/>
        <v>0</v>
      </c>
      <c r="R914" t="str">
        <f t="shared" si="89"/>
        <v>Aspirot-Tardy-Knauf-Lorenz</v>
      </c>
    </row>
    <row r="915" spans="1:18" x14ac:dyDescent="0.25">
      <c r="A915" s="1" t="s">
        <v>215</v>
      </c>
      <c r="B915" s="1">
        <v>42</v>
      </c>
      <c r="C915" s="1" t="s">
        <v>18</v>
      </c>
      <c r="D915" s="1">
        <v>1</v>
      </c>
      <c r="E915" s="1" t="s">
        <v>194</v>
      </c>
      <c r="F915" s="1">
        <v>0</v>
      </c>
      <c r="G915" s="1">
        <v>1</v>
      </c>
      <c r="H915" s="1" t="s">
        <v>146</v>
      </c>
      <c r="I915" s="1" t="s">
        <v>393</v>
      </c>
      <c r="J915" s="1" t="s">
        <v>239</v>
      </c>
      <c r="K915" s="1" t="s">
        <v>216</v>
      </c>
      <c r="L915" s="1" t="s">
        <v>354</v>
      </c>
      <c r="M915" t="str">
        <f t="shared" si="84"/>
        <v>Fonseca</v>
      </c>
      <c r="N915" t="str">
        <f t="shared" si="85"/>
        <v>J. Leung</v>
      </c>
      <c r="O915" t="str">
        <f t="shared" si="86"/>
        <v>F. Stadler</v>
      </c>
      <c r="P915" t="str">
        <f t="shared" si="87"/>
        <v>J. Stadler</v>
      </c>
      <c r="Q915">
        <f t="shared" si="88"/>
        <v>0</v>
      </c>
      <c r="R915" t="str">
        <f t="shared" si="89"/>
        <v>Fonseca-J. Leung-F. Stadler-J. Stadler</v>
      </c>
    </row>
    <row r="916" spans="1:18" x14ac:dyDescent="0.25">
      <c r="A916" s="1" t="s">
        <v>215</v>
      </c>
      <c r="B916" s="1">
        <v>43</v>
      </c>
      <c r="C916" s="1" t="s">
        <v>18</v>
      </c>
      <c r="D916" s="1">
        <v>2</v>
      </c>
      <c r="E916" s="1" t="s">
        <v>194</v>
      </c>
      <c r="F916" s="1">
        <v>0</v>
      </c>
      <c r="G916" s="1">
        <v>1</v>
      </c>
      <c r="H916" s="1" t="s">
        <v>146</v>
      </c>
      <c r="I916" s="1" t="s">
        <v>393</v>
      </c>
      <c r="J916" s="1" t="s">
        <v>239</v>
      </c>
      <c r="K916" s="1" t="s">
        <v>216</v>
      </c>
      <c r="L916" s="1" t="s">
        <v>354</v>
      </c>
      <c r="M916" t="str">
        <f t="shared" si="84"/>
        <v>Fonseca</v>
      </c>
      <c r="N916" t="str">
        <f t="shared" si="85"/>
        <v>J. Leung</v>
      </c>
      <c r="O916" t="str">
        <f t="shared" si="86"/>
        <v>F. Stadler</v>
      </c>
      <c r="P916" t="str">
        <f t="shared" si="87"/>
        <v>J. Stadler</v>
      </c>
      <c r="Q916">
        <f t="shared" si="88"/>
        <v>0</v>
      </c>
      <c r="R916" t="str">
        <f t="shared" si="89"/>
        <v>Fonseca-J. Leung-F. Stadler-J. Stadler</v>
      </c>
    </row>
    <row r="917" spans="1:18" x14ac:dyDescent="0.25">
      <c r="A917" s="1" t="s">
        <v>215</v>
      </c>
      <c r="B917" s="1">
        <v>45</v>
      </c>
      <c r="C917" s="1" t="s">
        <v>21</v>
      </c>
      <c r="D917" s="1">
        <v>1</v>
      </c>
      <c r="E917" s="1" t="s">
        <v>194</v>
      </c>
      <c r="F917" s="1">
        <v>0</v>
      </c>
      <c r="G917" s="1">
        <v>1</v>
      </c>
      <c r="H917" s="1" t="s">
        <v>146</v>
      </c>
      <c r="I917" s="1" t="s">
        <v>276</v>
      </c>
      <c r="J917" s="1" t="s">
        <v>244</v>
      </c>
      <c r="K917" s="1" t="s">
        <v>216</v>
      </c>
      <c r="L917" s="1" t="s">
        <v>354</v>
      </c>
      <c r="M917" t="str">
        <f t="shared" si="84"/>
        <v>Vallee</v>
      </c>
      <c r="N917" t="str">
        <f t="shared" si="85"/>
        <v>Couroux</v>
      </c>
      <c r="O917" t="str">
        <f t="shared" si="86"/>
        <v>Gulden</v>
      </c>
      <c r="P917" t="str">
        <f t="shared" si="87"/>
        <v>Haas</v>
      </c>
      <c r="Q917">
        <f t="shared" si="88"/>
        <v>0</v>
      </c>
      <c r="R917" t="str">
        <f t="shared" si="89"/>
        <v>Vallee-Couroux-Gulden-Haas</v>
      </c>
    </row>
    <row r="918" spans="1:18" x14ac:dyDescent="0.25">
      <c r="A918" s="1" t="s">
        <v>215</v>
      </c>
      <c r="B918" s="1">
        <v>46</v>
      </c>
      <c r="C918" s="1" t="s">
        <v>21</v>
      </c>
      <c r="D918" s="1">
        <v>2</v>
      </c>
      <c r="E918" s="1" t="s">
        <v>194</v>
      </c>
      <c r="F918" s="1">
        <v>0</v>
      </c>
      <c r="G918" s="1">
        <v>1</v>
      </c>
      <c r="H918" s="1" t="s">
        <v>146</v>
      </c>
      <c r="I918" s="1" t="s">
        <v>276</v>
      </c>
      <c r="J918" s="1" t="s">
        <v>244</v>
      </c>
      <c r="K918" s="1" t="s">
        <v>216</v>
      </c>
      <c r="L918" s="1" t="s">
        <v>354</v>
      </c>
      <c r="M918" t="str">
        <f t="shared" si="84"/>
        <v>Vallee</v>
      </c>
      <c r="N918" t="str">
        <f t="shared" si="85"/>
        <v>Couroux</v>
      </c>
      <c r="O918" t="str">
        <f t="shared" si="86"/>
        <v>Gulden</v>
      </c>
      <c r="P918" t="str">
        <f t="shared" si="87"/>
        <v>Haas</v>
      </c>
      <c r="Q918">
        <f t="shared" si="88"/>
        <v>0</v>
      </c>
      <c r="R918" t="str">
        <f t="shared" si="89"/>
        <v>Vallee-Couroux-Gulden-Haas</v>
      </c>
    </row>
    <row r="919" spans="1:18" x14ac:dyDescent="0.25">
      <c r="A919" s="1" t="s">
        <v>215</v>
      </c>
      <c r="B919" s="1">
        <v>57</v>
      </c>
      <c r="C919" s="1" t="s">
        <v>12</v>
      </c>
      <c r="D919" s="1">
        <v>1</v>
      </c>
      <c r="E919" s="1" t="s">
        <v>147</v>
      </c>
      <c r="F919" s="1">
        <v>21</v>
      </c>
      <c r="G919" s="1">
        <v>23</v>
      </c>
      <c r="H919" s="1" t="s">
        <v>168</v>
      </c>
      <c r="I919" s="1" t="s">
        <v>272</v>
      </c>
      <c r="J919" s="1" t="s">
        <v>232</v>
      </c>
      <c r="K919" s="1" t="s">
        <v>216</v>
      </c>
      <c r="L919" s="1" t="s">
        <v>354</v>
      </c>
      <c r="M919" t="str">
        <f t="shared" si="84"/>
        <v>Kunzelmann</v>
      </c>
      <c r="N919" t="str">
        <f t="shared" si="85"/>
        <v>Levie</v>
      </c>
      <c r="O919" t="str">
        <f t="shared" si="86"/>
        <v>Alt</v>
      </c>
      <c r="P919" t="str">
        <f t="shared" si="87"/>
        <v>Paysan</v>
      </c>
      <c r="Q919">
        <f t="shared" si="88"/>
        <v>0</v>
      </c>
      <c r="R919" t="str">
        <f t="shared" si="89"/>
        <v>Kunzelmann-Levie-Alt-Paysan</v>
      </c>
    </row>
    <row r="920" spans="1:18" x14ac:dyDescent="0.25">
      <c r="A920" s="1" t="s">
        <v>215</v>
      </c>
      <c r="B920" s="1">
        <v>58</v>
      </c>
      <c r="C920" s="1" t="s">
        <v>12</v>
      </c>
      <c r="D920" s="1">
        <v>2</v>
      </c>
      <c r="E920" s="1" t="s">
        <v>147</v>
      </c>
      <c r="F920" s="1">
        <v>21</v>
      </c>
      <c r="G920" s="1">
        <v>15</v>
      </c>
      <c r="H920" s="1" t="s">
        <v>168</v>
      </c>
      <c r="I920" s="1" t="s">
        <v>272</v>
      </c>
      <c r="J920" s="1" t="s">
        <v>232</v>
      </c>
      <c r="K920" s="1" t="s">
        <v>216</v>
      </c>
      <c r="L920" s="1" t="s">
        <v>354</v>
      </c>
      <c r="M920" t="str">
        <f t="shared" si="84"/>
        <v>Kunzelmann</v>
      </c>
      <c r="N920" t="str">
        <f t="shared" si="85"/>
        <v>Levie</v>
      </c>
      <c r="O920" t="str">
        <f t="shared" si="86"/>
        <v>Alt</v>
      </c>
      <c r="P920" t="str">
        <f t="shared" si="87"/>
        <v>Paysan</v>
      </c>
      <c r="Q920">
        <f t="shared" si="88"/>
        <v>1</v>
      </c>
      <c r="R920" t="str">
        <f t="shared" si="89"/>
        <v>Kunzelmann-Levie-Alt-Paysan</v>
      </c>
    </row>
    <row r="921" spans="1:18" x14ac:dyDescent="0.25">
      <c r="A921" s="1" t="s">
        <v>215</v>
      </c>
      <c r="B921" s="1">
        <v>59</v>
      </c>
      <c r="C921" s="1" t="s">
        <v>12</v>
      </c>
      <c r="D921" s="1">
        <v>3</v>
      </c>
      <c r="E921" s="1" t="s">
        <v>147</v>
      </c>
      <c r="F921" s="1">
        <v>21</v>
      </c>
      <c r="G921" s="1">
        <v>16</v>
      </c>
      <c r="H921" s="1" t="s">
        <v>168</v>
      </c>
      <c r="I921" s="1" t="s">
        <v>272</v>
      </c>
      <c r="J921" s="1" t="s">
        <v>232</v>
      </c>
      <c r="K921" s="1" t="s">
        <v>216</v>
      </c>
      <c r="L921" s="1" t="s">
        <v>354</v>
      </c>
      <c r="M921" t="str">
        <f t="shared" si="84"/>
        <v>Kunzelmann</v>
      </c>
      <c r="N921" t="str">
        <f t="shared" si="85"/>
        <v>Levie</v>
      </c>
      <c r="O921" t="str">
        <f t="shared" si="86"/>
        <v>Alt</v>
      </c>
      <c r="P921" t="str">
        <f t="shared" si="87"/>
        <v>Paysan</v>
      </c>
      <c r="Q921">
        <f t="shared" si="88"/>
        <v>1</v>
      </c>
      <c r="R921" t="str">
        <f t="shared" si="89"/>
        <v>Kunzelmann-Levie-Alt-Paysan</v>
      </c>
    </row>
    <row r="922" spans="1:18" x14ac:dyDescent="0.25">
      <c r="A922" s="1" t="s">
        <v>215</v>
      </c>
      <c r="B922" s="1">
        <v>60</v>
      </c>
      <c r="C922" s="1" t="s">
        <v>18</v>
      </c>
      <c r="D922" s="1">
        <v>1</v>
      </c>
      <c r="E922" s="1" t="s">
        <v>147</v>
      </c>
      <c r="F922" s="1">
        <v>17</v>
      </c>
      <c r="G922" s="1">
        <v>21</v>
      </c>
      <c r="H922" s="1" t="s">
        <v>168</v>
      </c>
      <c r="I922" s="1" t="s">
        <v>384</v>
      </c>
      <c r="J922" s="1" t="s">
        <v>237</v>
      </c>
      <c r="K922" s="1" t="s">
        <v>216</v>
      </c>
      <c r="L922" s="1" t="s">
        <v>354</v>
      </c>
      <c r="M922" t="str">
        <f t="shared" si="84"/>
        <v>Gassner</v>
      </c>
      <c r="N922" t="str">
        <f t="shared" si="85"/>
        <v>K. Eigenmann</v>
      </c>
      <c r="O922" t="str">
        <f t="shared" si="86"/>
        <v>Duport</v>
      </c>
      <c r="P922" t="str">
        <f t="shared" si="87"/>
        <v>Liza</v>
      </c>
      <c r="Q922">
        <f t="shared" si="88"/>
        <v>0</v>
      </c>
      <c r="R922" t="str">
        <f t="shared" si="89"/>
        <v>Gassner-K. Eigenmann-Duport-Liza</v>
      </c>
    </row>
    <row r="923" spans="1:18" x14ac:dyDescent="0.25">
      <c r="A923" s="1" t="s">
        <v>215</v>
      </c>
      <c r="B923" s="1">
        <v>61</v>
      </c>
      <c r="C923" s="1" t="s">
        <v>18</v>
      </c>
      <c r="D923" s="1">
        <v>2</v>
      </c>
      <c r="E923" s="1" t="s">
        <v>147</v>
      </c>
      <c r="F923" s="1">
        <v>21</v>
      </c>
      <c r="G923" s="1">
        <v>18</v>
      </c>
      <c r="H923" s="1" t="s">
        <v>168</v>
      </c>
      <c r="I923" s="1" t="s">
        <v>384</v>
      </c>
      <c r="J923" s="1" t="s">
        <v>237</v>
      </c>
      <c r="K923" s="1" t="s">
        <v>216</v>
      </c>
      <c r="L923" s="1" t="s">
        <v>354</v>
      </c>
      <c r="M923" t="str">
        <f t="shared" si="84"/>
        <v>Gassner</v>
      </c>
      <c r="N923" t="str">
        <f t="shared" si="85"/>
        <v>K. Eigenmann</v>
      </c>
      <c r="O923" t="str">
        <f t="shared" si="86"/>
        <v>Duport</v>
      </c>
      <c r="P923" t="str">
        <f t="shared" si="87"/>
        <v>Liza</v>
      </c>
      <c r="Q923">
        <f t="shared" si="88"/>
        <v>1</v>
      </c>
      <c r="R923" t="str">
        <f t="shared" si="89"/>
        <v>Gassner-K. Eigenmann-Duport-Liza</v>
      </c>
    </row>
    <row r="924" spans="1:18" x14ac:dyDescent="0.25">
      <c r="A924" s="1" t="s">
        <v>215</v>
      </c>
      <c r="B924" s="1">
        <v>62</v>
      </c>
      <c r="C924" s="1" t="s">
        <v>18</v>
      </c>
      <c r="D924" s="1">
        <v>3</v>
      </c>
      <c r="E924" s="1" t="s">
        <v>147</v>
      </c>
      <c r="F924" s="1">
        <v>16</v>
      </c>
      <c r="G924" s="1">
        <v>21</v>
      </c>
      <c r="H924" s="1" t="s">
        <v>168</v>
      </c>
      <c r="I924" s="1" t="s">
        <v>384</v>
      </c>
      <c r="J924" s="1" t="s">
        <v>237</v>
      </c>
      <c r="K924" s="1" t="s">
        <v>216</v>
      </c>
      <c r="L924" s="1" t="s">
        <v>354</v>
      </c>
      <c r="M924" t="str">
        <f t="shared" si="84"/>
        <v>Gassner</v>
      </c>
      <c r="N924" t="str">
        <f t="shared" si="85"/>
        <v>K. Eigenmann</v>
      </c>
      <c r="O924" t="str">
        <f t="shared" si="86"/>
        <v>Duport</v>
      </c>
      <c r="P924" t="str">
        <f t="shared" si="87"/>
        <v>Liza</v>
      </c>
      <c r="Q924">
        <f t="shared" si="88"/>
        <v>0</v>
      </c>
      <c r="R924" t="str">
        <f t="shared" si="89"/>
        <v>Gassner-K. Eigenmann-Duport-Liza</v>
      </c>
    </row>
    <row r="925" spans="1:18" x14ac:dyDescent="0.25">
      <c r="A925" s="1" t="s">
        <v>215</v>
      </c>
      <c r="B925" s="1">
        <v>63</v>
      </c>
      <c r="C925" s="1" t="s">
        <v>21</v>
      </c>
      <c r="D925" s="1">
        <v>1</v>
      </c>
      <c r="E925" s="1" t="s">
        <v>147</v>
      </c>
      <c r="F925" s="1">
        <v>21</v>
      </c>
      <c r="G925" s="1">
        <v>19</v>
      </c>
      <c r="H925" s="1" t="s">
        <v>168</v>
      </c>
      <c r="I925" s="1" t="s">
        <v>278</v>
      </c>
      <c r="J925" s="1" t="s">
        <v>395</v>
      </c>
      <c r="K925" s="1" t="s">
        <v>216</v>
      </c>
      <c r="L925" s="1" t="s">
        <v>354</v>
      </c>
      <c r="M925" t="str">
        <f t="shared" si="84"/>
        <v>Kunz</v>
      </c>
      <c r="N925" t="str">
        <f t="shared" si="85"/>
        <v>Nenz</v>
      </c>
      <c r="O925" t="str">
        <f t="shared" si="86"/>
        <v>E. Martinez</v>
      </c>
      <c r="P925" t="str">
        <f t="shared" si="87"/>
        <v>Rouault</v>
      </c>
      <c r="Q925">
        <f t="shared" si="88"/>
        <v>1</v>
      </c>
      <c r="R925" t="str">
        <f t="shared" si="89"/>
        <v>Kunz-Nenz-E. Martinez-Rouault</v>
      </c>
    </row>
    <row r="926" spans="1:18" x14ac:dyDescent="0.25">
      <c r="A926" s="1" t="s">
        <v>215</v>
      </c>
      <c r="B926" s="1">
        <v>64</v>
      </c>
      <c r="C926" s="1" t="s">
        <v>21</v>
      </c>
      <c r="D926" s="1">
        <v>2</v>
      </c>
      <c r="E926" s="1" t="s">
        <v>147</v>
      </c>
      <c r="F926" s="1">
        <v>16</v>
      </c>
      <c r="G926" s="1">
        <v>21</v>
      </c>
      <c r="H926" s="1" t="s">
        <v>168</v>
      </c>
      <c r="I926" s="1" t="s">
        <v>278</v>
      </c>
      <c r="J926" s="1" t="s">
        <v>395</v>
      </c>
      <c r="K926" s="1" t="s">
        <v>216</v>
      </c>
      <c r="L926" s="1" t="s">
        <v>354</v>
      </c>
      <c r="M926" t="str">
        <f t="shared" si="84"/>
        <v>Kunz</v>
      </c>
      <c r="N926" t="str">
        <f t="shared" si="85"/>
        <v>Nenz</v>
      </c>
      <c r="O926" t="str">
        <f t="shared" si="86"/>
        <v>E. Martinez</v>
      </c>
      <c r="P926" t="str">
        <f t="shared" si="87"/>
        <v>Rouault</v>
      </c>
      <c r="Q926">
        <f t="shared" si="88"/>
        <v>0</v>
      </c>
      <c r="R926" t="str">
        <f t="shared" si="89"/>
        <v>Kunz-Nenz-E. Martinez-Rouault</v>
      </c>
    </row>
    <row r="927" spans="1:18" x14ac:dyDescent="0.25">
      <c r="A927" s="1" t="s">
        <v>215</v>
      </c>
      <c r="B927" s="1">
        <v>65</v>
      </c>
      <c r="C927" s="1" t="s">
        <v>21</v>
      </c>
      <c r="D927" s="1">
        <v>3</v>
      </c>
      <c r="E927" s="1" t="s">
        <v>147</v>
      </c>
      <c r="F927" s="1">
        <v>15</v>
      </c>
      <c r="G927" s="1">
        <v>21</v>
      </c>
      <c r="H927" s="1" t="s">
        <v>168</v>
      </c>
      <c r="I927" s="1" t="s">
        <v>278</v>
      </c>
      <c r="J927" s="1" t="s">
        <v>395</v>
      </c>
      <c r="K927" s="1" t="s">
        <v>216</v>
      </c>
      <c r="L927" s="1" t="s">
        <v>354</v>
      </c>
      <c r="M927" t="str">
        <f t="shared" si="84"/>
        <v>Kunz</v>
      </c>
      <c r="N927" t="str">
        <f t="shared" si="85"/>
        <v>Nenz</v>
      </c>
      <c r="O927" t="str">
        <f t="shared" si="86"/>
        <v>E. Martinez</v>
      </c>
      <c r="P927" t="str">
        <f t="shared" si="87"/>
        <v>Rouault</v>
      </c>
      <c r="Q927">
        <f t="shared" si="88"/>
        <v>0</v>
      </c>
      <c r="R927" t="str">
        <f t="shared" si="89"/>
        <v>Kunz-Nenz-E. Martinez-Rouault</v>
      </c>
    </row>
    <row r="928" spans="1:18" x14ac:dyDescent="0.25">
      <c r="A928" s="1" t="s">
        <v>215</v>
      </c>
      <c r="B928" s="1">
        <v>66</v>
      </c>
      <c r="C928" s="1" t="s">
        <v>24</v>
      </c>
      <c r="D928" s="1">
        <v>1</v>
      </c>
      <c r="E928" s="1" t="s">
        <v>147</v>
      </c>
      <c r="F928" s="1">
        <v>11</v>
      </c>
      <c r="G928" s="1">
        <v>21</v>
      </c>
      <c r="H928" s="1" t="s">
        <v>168</v>
      </c>
      <c r="I928" s="1" t="s">
        <v>281</v>
      </c>
      <c r="J928" s="1" t="s">
        <v>247</v>
      </c>
      <c r="K928" s="1" t="s">
        <v>216</v>
      </c>
      <c r="L928" s="1" t="s">
        <v>354</v>
      </c>
      <c r="M928" t="str">
        <f t="shared" si="84"/>
        <v>Wiedmer</v>
      </c>
      <c r="N928" t="str">
        <f t="shared" si="85"/>
        <v>Kunz</v>
      </c>
      <c r="O928" t="str">
        <f t="shared" si="86"/>
        <v>Joly</v>
      </c>
      <c r="P928" t="str">
        <f t="shared" si="87"/>
        <v>Novarese</v>
      </c>
      <c r="Q928">
        <f t="shared" si="88"/>
        <v>0</v>
      </c>
      <c r="R928" t="str">
        <f t="shared" si="89"/>
        <v>Wiedmer-Kunz-Joly-Novarese</v>
      </c>
    </row>
    <row r="929" spans="1:18" x14ac:dyDescent="0.25">
      <c r="A929" s="1" t="s">
        <v>215</v>
      </c>
      <c r="B929" s="1">
        <v>67</v>
      </c>
      <c r="C929" s="1" t="s">
        <v>24</v>
      </c>
      <c r="D929" s="1">
        <v>2</v>
      </c>
      <c r="E929" s="1" t="s">
        <v>147</v>
      </c>
      <c r="F929" s="1">
        <v>18</v>
      </c>
      <c r="G929" s="1">
        <v>21</v>
      </c>
      <c r="H929" s="1" t="s">
        <v>168</v>
      </c>
      <c r="I929" s="1" t="s">
        <v>281</v>
      </c>
      <c r="J929" s="1" t="s">
        <v>247</v>
      </c>
      <c r="K929" s="1" t="s">
        <v>216</v>
      </c>
      <c r="L929" s="1" t="s">
        <v>354</v>
      </c>
      <c r="M929" t="str">
        <f t="shared" si="84"/>
        <v>Wiedmer</v>
      </c>
      <c r="N929" t="str">
        <f t="shared" si="85"/>
        <v>Kunz</v>
      </c>
      <c r="O929" t="str">
        <f t="shared" si="86"/>
        <v>Joly</v>
      </c>
      <c r="P929" t="str">
        <f t="shared" si="87"/>
        <v>Novarese</v>
      </c>
      <c r="Q929">
        <f t="shared" si="88"/>
        <v>0</v>
      </c>
      <c r="R929" t="str">
        <f t="shared" si="89"/>
        <v>Wiedmer-Kunz-Joly-Novarese</v>
      </c>
    </row>
    <row r="930" spans="1:18" x14ac:dyDescent="0.25">
      <c r="A930" s="1" t="s">
        <v>215</v>
      </c>
      <c r="B930" s="1">
        <v>69</v>
      </c>
      <c r="C930" s="1" t="s">
        <v>27</v>
      </c>
      <c r="D930" s="1">
        <v>1</v>
      </c>
      <c r="E930" s="1" t="s">
        <v>147</v>
      </c>
      <c r="F930" s="1">
        <v>23</v>
      </c>
      <c r="G930" s="1">
        <v>25</v>
      </c>
      <c r="H930" s="1" t="s">
        <v>168</v>
      </c>
      <c r="I930" s="1" t="s">
        <v>284</v>
      </c>
      <c r="J930" s="1" t="s">
        <v>252</v>
      </c>
      <c r="K930" s="1" t="s">
        <v>216</v>
      </c>
      <c r="L930" s="1" t="s">
        <v>354</v>
      </c>
      <c r="M930" t="str">
        <f t="shared" si="84"/>
        <v>Schiegg</v>
      </c>
      <c r="N930" t="str">
        <f t="shared" si="85"/>
        <v>Amsler</v>
      </c>
      <c r="O930" t="str">
        <f t="shared" si="86"/>
        <v>Eydoux</v>
      </c>
      <c r="P930" t="str">
        <f t="shared" si="87"/>
        <v>Martin</v>
      </c>
      <c r="Q930">
        <f t="shared" si="88"/>
        <v>0</v>
      </c>
      <c r="R930" t="str">
        <f t="shared" si="89"/>
        <v>Schiegg-Amsler-Eydoux-Martin</v>
      </c>
    </row>
    <row r="931" spans="1:18" x14ac:dyDescent="0.25">
      <c r="A931" s="1" t="s">
        <v>215</v>
      </c>
      <c r="B931" s="1">
        <v>70</v>
      </c>
      <c r="C931" s="1" t="s">
        <v>27</v>
      </c>
      <c r="D931" s="1">
        <v>2</v>
      </c>
      <c r="E931" s="1" t="s">
        <v>147</v>
      </c>
      <c r="F931" s="1">
        <v>15</v>
      </c>
      <c r="G931" s="1">
        <v>21</v>
      </c>
      <c r="H931" s="1" t="s">
        <v>168</v>
      </c>
      <c r="I931" s="1" t="s">
        <v>284</v>
      </c>
      <c r="J931" s="1" t="s">
        <v>252</v>
      </c>
      <c r="K931" s="1" t="s">
        <v>216</v>
      </c>
      <c r="L931" s="1" t="s">
        <v>354</v>
      </c>
      <c r="M931" t="str">
        <f t="shared" si="84"/>
        <v>Schiegg</v>
      </c>
      <c r="N931" t="str">
        <f t="shared" si="85"/>
        <v>Amsler</v>
      </c>
      <c r="O931" t="str">
        <f t="shared" si="86"/>
        <v>Eydoux</v>
      </c>
      <c r="P931" t="str">
        <f t="shared" si="87"/>
        <v>Martin</v>
      </c>
      <c r="Q931">
        <f t="shared" si="88"/>
        <v>0</v>
      </c>
      <c r="R931" t="str">
        <f t="shared" si="89"/>
        <v>Schiegg-Amsler-Eydoux-Martin</v>
      </c>
    </row>
    <row r="932" spans="1:18" x14ac:dyDescent="0.25">
      <c r="A932" s="1" t="s">
        <v>215</v>
      </c>
      <c r="B932" s="1">
        <v>147</v>
      </c>
      <c r="C932" s="1" t="s">
        <v>12</v>
      </c>
      <c r="D932" s="1">
        <v>1</v>
      </c>
      <c r="E932" s="1" t="s">
        <v>82</v>
      </c>
      <c r="F932" s="1">
        <v>18</v>
      </c>
      <c r="G932" s="1">
        <v>21</v>
      </c>
      <c r="H932" s="1" t="s">
        <v>134</v>
      </c>
      <c r="I932" s="1" t="s">
        <v>316</v>
      </c>
      <c r="J932" s="1" t="s">
        <v>389</v>
      </c>
      <c r="K932" s="1" t="s">
        <v>221</v>
      </c>
      <c r="L932" s="1" t="s">
        <v>354</v>
      </c>
      <c r="M932" t="str">
        <f t="shared" si="84"/>
        <v>Bastos</v>
      </c>
      <c r="N932" t="str">
        <f t="shared" si="85"/>
        <v>Bordon</v>
      </c>
      <c r="O932" t="str">
        <f t="shared" si="86"/>
        <v>C. Chan</v>
      </c>
      <c r="P932" t="str">
        <f t="shared" si="87"/>
        <v>Tang</v>
      </c>
      <c r="Q932">
        <f t="shared" si="88"/>
        <v>0</v>
      </c>
      <c r="R932" t="str">
        <f t="shared" si="89"/>
        <v>Bastos-Bordon-C. Chan-Tang</v>
      </c>
    </row>
    <row r="933" spans="1:18" x14ac:dyDescent="0.25">
      <c r="A933" s="1" t="s">
        <v>215</v>
      </c>
      <c r="B933" s="1">
        <v>150</v>
      </c>
      <c r="C933" s="1" t="s">
        <v>18</v>
      </c>
      <c r="D933" s="1">
        <v>1</v>
      </c>
      <c r="E933" s="1" t="s">
        <v>82</v>
      </c>
      <c r="F933" s="1">
        <v>21</v>
      </c>
      <c r="G933" s="1">
        <v>9</v>
      </c>
      <c r="H933" s="1" t="s">
        <v>134</v>
      </c>
      <c r="I933" s="1" t="s">
        <v>321</v>
      </c>
      <c r="J933" s="1" t="s">
        <v>388</v>
      </c>
      <c r="K933" s="1" t="s">
        <v>221</v>
      </c>
      <c r="L933" s="1" t="s">
        <v>354</v>
      </c>
      <c r="M933" t="str">
        <f t="shared" si="84"/>
        <v>Barreto</v>
      </c>
      <c r="N933" t="str">
        <f t="shared" si="85"/>
        <v>Pereira</v>
      </c>
      <c r="O933" t="str">
        <f t="shared" si="86"/>
        <v>R. Chan</v>
      </c>
      <c r="P933" t="str">
        <f t="shared" si="87"/>
        <v>Law</v>
      </c>
      <c r="Q933">
        <f t="shared" si="88"/>
        <v>1</v>
      </c>
      <c r="R933" t="str">
        <f t="shared" si="89"/>
        <v>Barreto-Pereira-R. Chan-Law</v>
      </c>
    </row>
    <row r="934" spans="1:18" x14ac:dyDescent="0.25">
      <c r="A934" s="1" t="s">
        <v>215</v>
      </c>
      <c r="B934" s="1">
        <v>153</v>
      </c>
      <c r="C934" s="1" t="s">
        <v>21</v>
      </c>
      <c r="D934" s="1">
        <v>1</v>
      </c>
      <c r="E934" s="1" t="s">
        <v>82</v>
      </c>
      <c r="F934" s="1">
        <v>21</v>
      </c>
      <c r="G934" s="1">
        <v>23</v>
      </c>
      <c r="H934" s="1" t="s">
        <v>134</v>
      </c>
      <c r="I934" s="1" t="s">
        <v>324</v>
      </c>
      <c r="J934" s="1" t="s">
        <v>390</v>
      </c>
      <c r="K934" s="1" t="s">
        <v>221</v>
      </c>
      <c r="L934" s="1" t="s">
        <v>354</v>
      </c>
      <c r="M934" t="str">
        <f t="shared" si="84"/>
        <v>Aleixo</v>
      </c>
      <c r="N934" t="str">
        <f t="shared" si="85"/>
        <v>Santana</v>
      </c>
      <c r="O934" t="str">
        <f t="shared" si="86"/>
        <v>Zhu</v>
      </c>
      <c r="P934" t="str">
        <f t="shared" si="87"/>
        <v>M. Chan</v>
      </c>
      <c r="Q934">
        <f t="shared" si="88"/>
        <v>0</v>
      </c>
      <c r="R934" t="str">
        <f t="shared" si="89"/>
        <v>Aleixo-Santana-Zhu-M. Chan</v>
      </c>
    </row>
    <row r="935" spans="1:18" x14ac:dyDescent="0.25">
      <c r="A935" s="1" t="s">
        <v>215</v>
      </c>
      <c r="B935" s="1">
        <v>156</v>
      </c>
      <c r="C935" s="1" t="s">
        <v>24</v>
      </c>
      <c r="D935" s="1">
        <v>1</v>
      </c>
      <c r="E935" s="1" t="s">
        <v>82</v>
      </c>
      <c r="F935" s="1">
        <v>21</v>
      </c>
      <c r="G935" s="1">
        <v>6</v>
      </c>
      <c r="H935" s="1" t="s">
        <v>134</v>
      </c>
      <c r="I935" s="1" t="s">
        <v>329</v>
      </c>
      <c r="J935" s="1" t="s">
        <v>391</v>
      </c>
      <c r="K935" s="1" t="s">
        <v>221</v>
      </c>
      <c r="L935" s="1" t="s">
        <v>354</v>
      </c>
      <c r="M935" t="str">
        <f t="shared" si="84"/>
        <v>Vieira</v>
      </c>
      <c r="N935" t="str">
        <f t="shared" si="85"/>
        <v>Serra</v>
      </c>
      <c r="O935" t="str">
        <f t="shared" si="86"/>
        <v>Mak</v>
      </c>
      <c r="P935" t="str">
        <f t="shared" si="87"/>
        <v>H. Chan</v>
      </c>
      <c r="Q935">
        <f t="shared" si="88"/>
        <v>1</v>
      </c>
      <c r="R935" t="str">
        <f t="shared" si="89"/>
        <v>Vieira-Serra-Mak-H. Chan</v>
      </c>
    </row>
    <row r="936" spans="1:18" x14ac:dyDescent="0.25">
      <c r="A936" s="1" t="s">
        <v>215</v>
      </c>
      <c r="B936" s="1">
        <v>165</v>
      </c>
      <c r="C936" s="1" t="s">
        <v>12</v>
      </c>
      <c r="D936" s="1">
        <v>1</v>
      </c>
      <c r="E936" s="1" t="s">
        <v>13</v>
      </c>
      <c r="F936" s="1">
        <v>12</v>
      </c>
      <c r="G936" s="1">
        <v>21</v>
      </c>
      <c r="H936" s="1" t="s">
        <v>83</v>
      </c>
      <c r="I936" s="1" t="s">
        <v>335</v>
      </c>
      <c r="J936" s="1" t="s">
        <v>336</v>
      </c>
      <c r="K936" s="1" t="s">
        <v>221</v>
      </c>
      <c r="L936" s="1" t="s">
        <v>354</v>
      </c>
      <c r="M936" t="str">
        <f t="shared" si="84"/>
        <v>Schaeffer</v>
      </c>
      <c r="N936" t="str">
        <f t="shared" si="85"/>
        <v>Skellern</v>
      </c>
      <c r="O936" t="str">
        <f t="shared" si="86"/>
        <v>Due-Tønnessen</v>
      </c>
      <c r="P936" t="str">
        <f t="shared" si="87"/>
        <v>Espevik</v>
      </c>
      <c r="Q936">
        <f t="shared" si="88"/>
        <v>0</v>
      </c>
      <c r="R936" t="str">
        <f t="shared" si="89"/>
        <v>Schaeffer-Skellern-Due-Tønnessen-Espevik</v>
      </c>
    </row>
    <row r="937" spans="1:18" x14ac:dyDescent="0.25">
      <c r="A937" s="1" t="s">
        <v>215</v>
      </c>
      <c r="B937" s="1">
        <v>168</v>
      </c>
      <c r="C937" s="1" t="s">
        <v>18</v>
      </c>
      <c r="D937" s="1">
        <v>1</v>
      </c>
      <c r="E937" s="1" t="s">
        <v>13</v>
      </c>
      <c r="F937" s="1">
        <v>21</v>
      </c>
      <c r="G937" s="1">
        <v>14</v>
      </c>
      <c r="H937" s="1" t="s">
        <v>83</v>
      </c>
      <c r="I937" s="1" t="s">
        <v>386</v>
      </c>
      <c r="J937" s="1" t="s">
        <v>418</v>
      </c>
      <c r="K937" s="1" t="s">
        <v>221</v>
      </c>
      <c r="L937" s="1" t="s">
        <v>354</v>
      </c>
      <c r="M937" t="str">
        <f t="shared" si="84"/>
        <v>Ab. Capp</v>
      </c>
      <c r="N937" t="str">
        <f t="shared" si="85"/>
        <v>Figg</v>
      </c>
      <c r="O937" t="str">
        <f t="shared" si="86"/>
        <v>Olsen</v>
      </c>
      <c r="P937" t="str">
        <f t="shared" si="87"/>
        <v>S. Modalsli</v>
      </c>
      <c r="Q937">
        <f t="shared" si="88"/>
        <v>1</v>
      </c>
      <c r="R937" t="str">
        <f t="shared" si="89"/>
        <v>Ab. Capp-Figg-Olsen-S. Modalsli</v>
      </c>
    </row>
    <row r="938" spans="1:18" x14ac:dyDescent="0.25">
      <c r="A938" s="1" t="s">
        <v>215</v>
      </c>
      <c r="B938" s="1">
        <v>171</v>
      </c>
      <c r="C938" s="1" t="s">
        <v>21</v>
      </c>
      <c r="D938" s="1">
        <v>1</v>
      </c>
      <c r="E938" s="1" t="s">
        <v>13</v>
      </c>
      <c r="F938" s="1">
        <v>21</v>
      </c>
      <c r="G938" s="1">
        <v>7</v>
      </c>
      <c r="H938" s="1" t="s">
        <v>83</v>
      </c>
      <c r="I938" s="1" t="s">
        <v>339</v>
      </c>
      <c r="J938" s="1" t="s">
        <v>340</v>
      </c>
      <c r="K938" s="1" t="s">
        <v>221</v>
      </c>
      <c r="L938" s="1" t="s">
        <v>354</v>
      </c>
      <c r="M938" t="str">
        <f t="shared" si="84"/>
        <v>Griffiths</v>
      </c>
      <c r="N938" t="str">
        <f t="shared" si="85"/>
        <v>Lynch</v>
      </c>
      <c r="O938" t="str">
        <f t="shared" si="86"/>
        <v>Eilertsen</v>
      </c>
      <c r="P938" t="str">
        <f t="shared" si="87"/>
        <v>Pavall</v>
      </c>
      <c r="Q938">
        <f t="shared" si="88"/>
        <v>1</v>
      </c>
      <c r="R938" t="str">
        <f t="shared" si="89"/>
        <v>Griffiths-Lynch-Eilertsen-Pavall</v>
      </c>
    </row>
    <row r="939" spans="1:18" x14ac:dyDescent="0.25">
      <c r="A939" s="1" t="s">
        <v>215</v>
      </c>
      <c r="B939" s="1">
        <v>174</v>
      </c>
      <c r="C939" s="1" t="s">
        <v>24</v>
      </c>
      <c r="D939" s="1">
        <v>1</v>
      </c>
      <c r="E939" s="1" t="s">
        <v>13</v>
      </c>
      <c r="F939" s="1">
        <v>21</v>
      </c>
      <c r="G939" s="1">
        <v>10</v>
      </c>
      <c r="H939" s="1" t="s">
        <v>83</v>
      </c>
      <c r="I939" s="1" t="s">
        <v>401</v>
      </c>
      <c r="J939" s="1" t="s">
        <v>342</v>
      </c>
      <c r="K939" s="1" t="s">
        <v>221</v>
      </c>
      <c r="L939" s="1" t="s">
        <v>354</v>
      </c>
      <c r="M939" t="str">
        <f t="shared" si="84"/>
        <v>Chu</v>
      </c>
      <c r="N939" t="str">
        <f t="shared" si="85"/>
        <v>T. Fung</v>
      </c>
      <c r="O939" t="str">
        <f t="shared" si="86"/>
        <v>Gudmestad</v>
      </c>
      <c r="P939" t="str">
        <f t="shared" si="87"/>
        <v>Zimmermann</v>
      </c>
      <c r="Q939">
        <f t="shared" si="88"/>
        <v>1</v>
      </c>
      <c r="R939" t="str">
        <f t="shared" si="89"/>
        <v>Chu-T. Fung-Gudmestad-Zimmermann</v>
      </c>
    </row>
    <row r="940" spans="1:18" x14ac:dyDescent="0.25">
      <c r="A940" s="1" t="s">
        <v>215</v>
      </c>
      <c r="B940" s="1">
        <v>177</v>
      </c>
      <c r="C940" s="1" t="s">
        <v>27</v>
      </c>
      <c r="D940" s="1">
        <v>1</v>
      </c>
      <c r="E940" s="1" t="s">
        <v>13</v>
      </c>
      <c r="F940" s="1">
        <v>15</v>
      </c>
      <c r="G940" s="1">
        <v>21</v>
      </c>
      <c r="H940" s="1" t="s">
        <v>83</v>
      </c>
      <c r="I940" s="1" t="s">
        <v>407</v>
      </c>
      <c r="J940" s="1" t="s">
        <v>344</v>
      </c>
      <c r="K940" s="1" t="s">
        <v>221</v>
      </c>
      <c r="L940" s="1" t="s">
        <v>354</v>
      </c>
      <c r="M940" t="str">
        <f t="shared" si="84"/>
        <v>Cliff</v>
      </c>
      <c r="N940" t="str">
        <f t="shared" si="85"/>
        <v>R. Read</v>
      </c>
      <c r="O940" t="str">
        <f t="shared" si="86"/>
        <v>Haughom</v>
      </c>
      <c r="P940" t="str">
        <f t="shared" si="87"/>
        <v>Flaat</v>
      </c>
      <c r="Q940">
        <f t="shared" si="88"/>
        <v>0</v>
      </c>
      <c r="R940" t="str">
        <f t="shared" si="89"/>
        <v>Cliff-R. Read-Haughom-Flaat</v>
      </c>
    </row>
    <row r="941" spans="1:18" x14ac:dyDescent="0.25">
      <c r="A941" s="1" t="s">
        <v>215</v>
      </c>
      <c r="B941" s="1">
        <v>183</v>
      </c>
      <c r="C941" s="1" t="s">
        <v>12</v>
      </c>
      <c r="D941" s="1">
        <v>1</v>
      </c>
      <c r="E941" s="1" t="s">
        <v>44</v>
      </c>
      <c r="F941" s="1">
        <v>1</v>
      </c>
      <c r="G941" s="1">
        <v>0</v>
      </c>
      <c r="H941" s="1" t="s">
        <v>43</v>
      </c>
      <c r="I941" s="1" t="s">
        <v>317</v>
      </c>
      <c r="J941" s="1" t="s">
        <v>345</v>
      </c>
      <c r="K941" s="1" t="s">
        <v>221</v>
      </c>
      <c r="L941" s="1" t="s">
        <v>354</v>
      </c>
      <c r="M941" t="str">
        <f t="shared" si="84"/>
        <v>Wojtczak</v>
      </c>
      <c r="N941" t="str">
        <f t="shared" si="85"/>
        <v>Bonifrowska</v>
      </c>
      <c r="O941" t="str">
        <f t="shared" si="86"/>
        <v>Caltova</v>
      </c>
      <c r="P941" t="str">
        <f t="shared" si="87"/>
        <v>Nyvltova</v>
      </c>
      <c r="Q941">
        <f t="shared" si="88"/>
        <v>1</v>
      </c>
      <c r="R941" t="str">
        <f t="shared" si="89"/>
        <v>Wojtczak-Bonifrowska-Caltova-Nyvltova</v>
      </c>
    </row>
    <row r="942" spans="1:18" x14ac:dyDescent="0.25">
      <c r="A942" s="1" t="s">
        <v>215</v>
      </c>
      <c r="B942" s="1">
        <v>187</v>
      </c>
      <c r="C942" s="1" t="s">
        <v>18</v>
      </c>
      <c r="D942" s="1">
        <v>2</v>
      </c>
      <c r="E942" s="1" t="s">
        <v>44</v>
      </c>
      <c r="F942" s="1">
        <v>1</v>
      </c>
      <c r="G942" s="1">
        <v>0</v>
      </c>
      <c r="H942" s="1" t="s">
        <v>43</v>
      </c>
      <c r="I942" s="1" t="s">
        <v>322</v>
      </c>
      <c r="J942" s="1" t="s">
        <v>347</v>
      </c>
      <c r="K942" s="1" t="s">
        <v>221</v>
      </c>
      <c r="L942" s="1" t="s">
        <v>354</v>
      </c>
      <c r="M942" t="str">
        <f t="shared" si="84"/>
        <v>Dalidonis</v>
      </c>
      <c r="N942" t="str">
        <f t="shared" si="85"/>
        <v>Filipska</v>
      </c>
      <c r="O942" t="str">
        <f t="shared" si="86"/>
        <v>Janku</v>
      </c>
      <c r="P942" t="str">
        <f t="shared" si="87"/>
        <v>Matejkova</v>
      </c>
      <c r="Q942">
        <f t="shared" si="88"/>
        <v>1</v>
      </c>
      <c r="R942" t="str">
        <f t="shared" si="89"/>
        <v>Dalidonis-Filipska-Janku-Matejkova</v>
      </c>
    </row>
    <row r="943" spans="1:18" x14ac:dyDescent="0.25">
      <c r="A943" s="1" t="s">
        <v>215</v>
      </c>
      <c r="B943" s="1">
        <v>189</v>
      </c>
      <c r="C943" s="1" t="s">
        <v>21</v>
      </c>
      <c r="D943" s="1">
        <v>1</v>
      </c>
      <c r="E943" s="1" t="s">
        <v>44</v>
      </c>
      <c r="F943" s="1">
        <v>1</v>
      </c>
      <c r="G943" s="1">
        <v>0</v>
      </c>
      <c r="H943" s="1" t="s">
        <v>43</v>
      </c>
      <c r="I943" s="1" t="s">
        <v>327</v>
      </c>
      <c r="J943" s="1" t="s">
        <v>349</v>
      </c>
      <c r="K943" s="1" t="s">
        <v>221</v>
      </c>
      <c r="L943" s="1" t="s">
        <v>354</v>
      </c>
      <c r="M943" t="str">
        <f t="shared" si="84"/>
        <v>Stawarek</v>
      </c>
      <c r="N943" t="str">
        <f t="shared" si="85"/>
        <v>Wolff</v>
      </c>
      <c r="O943" t="str">
        <f t="shared" si="86"/>
        <v>Bedrnova</v>
      </c>
      <c r="P943" t="str">
        <f t="shared" si="87"/>
        <v>Kourilova</v>
      </c>
      <c r="Q943">
        <f t="shared" si="88"/>
        <v>1</v>
      </c>
      <c r="R943" t="str">
        <f t="shared" si="89"/>
        <v>Stawarek-Wolff-Bedrnova-Kourilova</v>
      </c>
    </row>
    <row r="944" spans="1:18" x14ac:dyDescent="0.25">
      <c r="A944" s="1" t="s">
        <v>215</v>
      </c>
      <c r="B944" s="1">
        <v>193</v>
      </c>
      <c r="C944" s="1" t="s">
        <v>24</v>
      </c>
      <c r="D944" s="1">
        <v>2</v>
      </c>
      <c r="E944" s="1" t="s">
        <v>44</v>
      </c>
      <c r="F944" s="1">
        <v>1</v>
      </c>
      <c r="G944" s="1">
        <v>0</v>
      </c>
      <c r="H944" s="1" t="s">
        <v>43</v>
      </c>
      <c r="I944" s="1" t="s">
        <v>331</v>
      </c>
      <c r="J944" s="1" t="s">
        <v>351</v>
      </c>
      <c r="K944" s="1" t="s">
        <v>221</v>
      </c>
      <c r="L944" s="1" t="s">
        <v>354</v>
      </c>
      <c r="M944" t="str">
        <f t="shared" si="84"/>
        <v>Pojawis</v>
      </c>
      <c r="N944" t="str">
        <f t="shared" si="85"/>
        <v>Wachowiec</v>
      </c>
      <c r="O944" t="str">
        <f t="shared" si="86"/>
        <v>Dannemann</v>
      </c>
      <c r="P944" t="str">
        <f t="shared" si="87"/>
        <v>Meinhart</v>
      </c>
      <c r="Q944">
        <f t="shared" si="88"/>
        <v>1</v>
      </c>
      <c r="R944" t="str">
        <f t="shared" si="89"/>
        <v>Pojawis-Wachowiec-Dannemann-Meinhart</v>
      </c>
    </row>
    <row r="945" spans="1:18" x14ac:dyDescent="0.25">
      <c r="A945" s="1" t="s">
        <v>215</v>
      </c>
      <c r="B945" s="1">
        <v>201</v>
      </c>
      <c r="C945" s="1" t="s">
        <v>12</v>
      </c>
      <c r="D945" s="1">
        <v>1</v>
      </c>
      <c r="E945" s="1" t="s">
        <v>109</v>
      </c>
      <c r="F945" s="1">
        <v>0</v>
      </c>
      <c r="G945" s="1">
        <v>1</v>
      </c>
      <c r="H945" s="1" t="s">
        <v>56</v>
      </c>
      <c r="I945" s="1" t="s">
        <v>346</v>
      </c>
      <c r="J945" s="1" t="s">
        <v>319</v>
      </c>
      <c r="K945" s="1" t="s">
        <v>221</v>
      </c>
      <c r="L945" s="1" t="s">
        <v>354</v>
      </c>
      <c r="M945" t="str">
        <f t="shared" si="84"/>
        <v>Häkkinen</v>
      </c>
      <c r="N945" t="str">
        <f t="shared" si="85"/>
        <v>Salmensaari</v>
      </c>
      <c r="O945" t="str">
        <f t="shared" si="86"/>
        <v>Fukuda</v>
      </c>
      <c r="P945" t="str">
        <f t="shared" si="87"/>
        <v>Takeno</v>
      </c>
      <c r="Q945">
        <f t="shared" si="88"/>
        <v>0</v>
      </c>
      <c r="R945" t="str">
        <f t="shared" si="89"/>
        <v>Häkkinen-Salmensaari-Fukuda-Takeno</v>
      </c>
    </row>
    <row r="946" spans="1:18" x14ac:dyDescent="0.25">
      <c r="A946" s="1" t="s">
        <v>215</v>
      </c>
      <c r="B946" s="1">
        <v>205</v>
      </c>
      <c r="C946" s="1" t="s">
        <v>18</v>
      </c>
      <c r="D946" s="1">
        <v>2</v>
      </c>
      <c r="E946" s="1" t="s">
        <v>109</v>
      </c>
      <c r="F946" s="1">
        <v>0</v>
      </c>
      <c r="G946" s="1">
        <v>1</v>
      </c>
      <c r="H946" s="1" t="s">
        <v>56</v>
      </c>
      <c r="I946" s="1" t="s">
        <v>348</v>
      </c>
      <c r="J946" s="1" t="s">
        <v>417</v>
      </c>
      <c r="K946" s="1" t="s">
        <v>221</v>
      </c>
      <c r="L946" s="1" t="s">
        <v>354</v>
      </c>
      <c r="M946" t="str">
        <f t="shared" si="84"/>
        <v>Kosonen</v>
      </c>
      <c r="N946" t="str">
        <f t="shared" si="85"/>
        <v>Leppänen</v>
      </c>
      <c r="O946" t="str">
        <f t="shared" si="86"/>
        <v>Matsumoto</v>
      </c>
      <c r="P946" t="str">
        <f t="shared" si="87"/>
        <v>R. Imamura</v>
      </c>
      <c r="Q946">
        <f t="shared" si="88"/>
        <v>0</v>
      </c>
      <c r="R946" t="str">
        <f t="shared" si="89"/>
        <v>Kosonen-Leppänen-Matsumoto-R. Imamura</v>
      </c>
    </row>
    <row r="947" spans="1:18" x14ac:dyDescent="0.25">
      <c r="A947" s="1" t="s">
        <v>215</v>
      </c>
      <c r="B947" s="1">
        <v>207</v>
      </c>
      <c r="C947" s="1" t="s">
        <v>21</v>
      </c>
      <c r="D947" s="1">
        <v>1</v>
      </c>
      <c r="E947" s="1" t="s">
        <v>109</v>
      </c>
      <c r="F947" s="1">
        <v>0</v>
      </c>
      <c r="G947" s="1">
        <v>1</v>
      </c>
      <c r="H947" s="1" t="s">
        <v>56</v>
      </c>
      <c r="I947" s="1" t="s">
        <v>350</v>
      </c>
      <c r="J947" s="1" t="s">
        <v>325</v>
      </c>
      <c r="K947" s="1" t="s">
        <v>221</v>
      </c>
      <c r="L947" s="1" t="s">
        <v>354</v>
      </c>
      <c r="M947" t="str">
        <f t="shared" si="84"/>
        <v>Piesanen</v>
      </c>
      <c r="N947" t="str">
        <f t="shared" si="85"/>
        <v>Kuorelahti</v>
      </c>
      <c r="O947" t="str">
        <f t="shared" si="86"/>
        <v>Ito</v>
      </c>
      <c r="P947" t="str">
        <f t="shared" si="87"/>
        <v>Hoshi</v>
      </c>
      <c r="Q947">
        <f t="shared" si="88"/>
        <v>0</v>
      </c>
      <c r="R947" t="str">
        <f t="shared" si="89"/>
        <v>Piesanen-Kuorelahti-Ito-Hoshi</v>
      </c>
    </row>
    <row r="948" spans="1:18" x14ac:dyDescent="0.25">
      <c r="A948" s="1" t="s">
        <v>215</v>
      </c>
      <c r="B948" s="1">
        <v>211</v>
      </c>
      <c r="C948" s="1" t="s">
        <v>24</v>
      </c>
      <c r="D948" s="1">
        <v>2</v>
      </c>
      <c r="E948" s="1" t="s">
        <v>109</v>
      </c>
      <c r="F948" s="1">
        <v>0</v>
      </c>
      <c r="G948" s="1">
        <v>1</v>
      </c>
      <c r="H948" s="1" t="s">
        <v>56</v>
      </c>
      <c r="I948" s="1" t="s">
        <v>352</v>
      </c>
      <c r="J948" s="1" t="s">
        <v>330</v>
      </c>
      <c r="K948" s="1" t="s">
        <v>221</v>
      </c>
      <c r="L948" s="1" t="s">
        <v>354</v>
      </c>
      <c r="M948" t="str">
        <f t="shared" si="84"/>
        <v>Kinnunen</v>
      </c>
      <c r="N948" t="str">
        <f t="shared" si="85"/>
        <v>Lemettinen</v>
      </c>
      <c r="O948" t="str">
        <f t="shared" si="86"/>
        <v>Kawasaki</v>
      </c>
      <c r="P948" t="str">
        <f t="shared" si="87"/>
        <v>Ogaki</v>
      </c>
      <c r="Q948">
        <f t="shared" si="88"/>
        <v>0</v>
      </c>
      <c r="R948" t="str">
        <f t="shared" si="89"/>
        <v>Kinnunen-Lemettinen-Kawasaki-Ogaki</v>
      </c>
    </row>
    <row r="949" spans="1:18" x14ac:dyDescent="0.25">
      <c r="A949" s="1" t="s">
        <v>215</v>
      </c>
      <c r="B949" s="1">
        <v>213</v>
      </c>
      <c r="C949" s="1" t="s">
        <v>27</v>
      </c>
      <c r="D949" s="1">
        <v>1</v>
      </c>
      <c r="E949" s="1" t="s">
        <v>109</v>
      </c>
      <c r="F949" s="1">
        <v>1</v>
      </c>
      <c r="G949" s="1">
        <v>0</v>
      </c>
      <c r="H949" s="1" t="s">
        <v>56</v>
      </c>
      <c r="I949" s="1" t="s">
        <v>353</v>
      </c>
      <c r="J949" s="1" t="s">
        <v>333</v>
      </c>
      <c r="K949" s="1" t="s">
        <v>221</v>
      </c>
      <c r="L949" s="1" t="s">
        <v>354</v>
      </c>
      <c r="M949" t="str">
        <f t="shared" si="84"/>
        <v>Tauriainen</v>
      </c>
      <c r="N949" t="str">
        <f t="shared" si="85"/>
        <v>Kuhanen</v>
      </c>
      <c r="O949" t="str">
        <f t="shared" si="86"/>
        <v>Kihara</v>
      </c>
      <c r="P949" t="str">
        <f t="shared" si="87"/>
        <v>Nakano</v>
      </c>
      <c r="Q949">
        <f t="shared" si="88"/>
        <v>1</v>
      </c>
      <c r="R949" t="str">
        <f t="shared" si="89"/>
        <v>Tauriainen-Kuhanen-Kihara-Nakano</v>
      </c>
    </row>
    <row r="950" spans="1:18" x14ac:dyDescent="0.25">
      <c r="A950" s="1" t="s">
        <v>215</v>
      </c>
      <c r="B950" s="1">
        <v>76</v>
      </c>
      <c r="C950" s="1" t="s">
        <v>12</v>
      </c>
      <c r="D950" s="1">
        <v>2</v>
      </c>
      <c r="E950" s="1" t="s">
        <v>31</v>
      </c>
      <c r="F950" s="1">
        <v>1</v>
      </c>
      <c r="G950" s="1">
        <v>0</v>
      </c>
      <c r="H950" s="1" t="s">
        <v>96</v>
      </c>
      <c r="I950" s="1" t="s">
        <v>421</v>
      </c>
      <c r="J950" s="1" t="s">
        <v>231</v>
      </c>
      <c r="K950" s="1" t="s">
        <v>229</v>
      </c>
      <c r="L950" s="1" t="s">
        <v>354</v>
      </c>
      <c r="M950" t="str">
        <f t="shared" si="84"/>
        <v>A. Chang</v>
      </c>
      <c r="N950" t="str">
        <f t="shared" si="85"/>
        <v>S. Ding</v>
      </c>
      <c r="O950" t="str">
        <f t="shared" si="86"/>
        <v>M. Calderón</v>
      </c>
      <c r="P950" t="str">
        <f t="shared" si="87"/>
        <v>L. Calderón</v>
      </c>
      <c r="Q950">
        <f t="shared" si="88"/>
        <v>1</v>
      </c>
      <c r="R950" t="str">
        <f t="shared" si="89"/>
        <v>A. Chang-S. Ding-M. Calderón-L. Calderón</v>
      </c>
    </row>
    <row r="951" spans="1:18" x14ac:dyDescent="0.25">
      <c r="A951" s="1" t="s">
        <v>215</v>
      </c>
      <c r="B951" s="1">
        <v>78</v>
      </c>
      <c r="C951" s="1" t="s">
        <v>18</v>
      </c>
      <c r="D951" s="1">
        <v>1</v>
      </c>
      <c r="E951" s="1" t="s">
        <v>31</v>
      </c>
      <c r="F951" s="1">
        <v>1</v>
      </c>
      <c r="G951" s="1">
        <v>0</v>
      </c>
      <c r="H951" s="1" t="s">
        <v>96</v>
      </c>
      <c r="I951" s="1" t="s">
        <v>292</v>
      </c>
      <c r="J951" s="1" t="s">
        <v>236</v>
      </c>
      <c r="K951" s="1" t="s">
        <v>229</v>
      </c>
      <c r="L951" s="1" t="s">
        <v>354</v>
      </c>
      <c r="M951" t="str">
        <f t="shared" si="84"/>
        <v>Yang</v>
      </c>
      <c r="N951" t="str">
        <f t="shared" si="85"/>
        <v>T. Ding</v>
      </c>
      <c r="O951" t="str">
        <f t="shared" si="86"/>
        <v>Ripoll</v>
      </c>
      <c r="P951" t="str">
        <f t="shared" si="87"/>
        <v>Mussiett</v>
      </c>
      <c r="Q951">
        <f t="shared" si="88"/>
        <v>1</v>
      </c>
      <c r="R951" t="str">
        <f t="shared" si="89"/>
        <v>Yang-T. Ding-Ripoll-Mussiett</v>
      </c>
    </row>
    <row r="952" spans="1:18" x14ac:dyDescent="0.25">
      <c r="A952" s="1" t="s">
        <v>215</v>
      </c>
      <c r="B952" s="1">
        <v>82</v>
      </c>
      <c r="C952" s="1" t="s">
        <v>21</v>
      </c>
      <c r="D952" s="1">
        <v>2</v>
      </c>
      <c r="E952" s="1" t="s">
        <v>31</v>
      </c>
      <c r="F952" s="1">
        <v>1</v>
      </c>
      <c r="G952" s="1">
        <v>0</v>
      </c>
      <c r="H952" s="1" t="s">
        <v>96</v>
      </c>
      <c r="I952" s="1" t="s">
        <v>406</v>
      </c>
      <c r="J952" s="1" t="s">
        <v>241</v>
      </c>
      <c r="K952" s="1" t="s">
        <v>229</v>
      </c>
      <c r="L952" s="1" t="s">
        <v>354</v>
      </c>
      <c r="M952" t="str">
        <f t="shared" si="84"/>
        <v>Lu</v>
      </c>
      <c r="N952" t="str">
        <f t="shared" si="85"/>
        <v>Jer. Lee</v>
      </c>
      <c r="O952" t="str">
        <f t="shared" si="86"/>
        <v>L. Moreno</v>
      </c>
      <c r="P952" t="str">
        <f t="shared" si="87"/>
        <v>R. Moreno</v>
      </c>
      <c r="Q952">
        <f t="shared" si="88"/>
        <v>1</v>
      </c>
      <c r="R952" t="str">
        <f t="shared" si="89"/>
        <v>Lu-Jer. Lee-L. Moreno-R. Moreno</v>
      </c>
    </row>
    <row r="953" spans="1:18" x14ac:dyDescent="0.25">
      <c r="A953" s="1" t="s">
        <v>215</v>
      </c>
      <c r="B953" s="1">
        <v>84</v>
      </c>
      <c r="C953" s="1" t="s">
        <v>24</v>
      </c>
      <c r="D953" s="1">
        <v>1</v>
      </c>
      <c r="E953" s="1" t="s">
        <v>31</v>
      </c>
      <c r="F953" s="1">
        <v>1</v>
      </c>
      <c r="G953" s="1">
        <v>0</v>
      </c>
      <c r="H953" s="1" t="s">
        <v>96</v>
      </c>
      <c r="I953" s="1" t="s">
        <v>414</v>
      </c>
      <c r="J953" s="1" t="s">
        <v>246</v>
      </c>
      <c r="K953" s="1" t="s">
        <v>229</v>
      </c>
      <c r="L953" s="1" t="s">
        <v>354</v>
      </c>
      <c r="M953" t="str">
        <f t="shared" si="84"/>
        <v>P. Kuo</v>
      </c>
      <c r="N953" t="str">
        <f t="shared" si="85"/>
        <v>Mic. Chen</v>
      </c>
      <c r="O953" t="str">
        <f t="shared" si="86"/>
        <v>Pezoa</v>
      </c>
      <c r="P953" t="str">
        <f t="shared" si="87"/>
        <v>Lobos</v>
      </c>
      <c r="Q953">
        <f t="shared" si="88"/>
        <v>1</v>
      </c>
      <c r="R953" t="str">
        <f t="shared" si="89"/>
        <v>P. Kuo-Mic. Chen-Pezoa-Lobos</v>
      </c>
    </row>
    <row r="954" spans="1:18" x14ac:dyDescent="0.25">
      <c r="A954" s="1" t="s">
        <v>215</v>
      </c>
      <c r="B954" s="1">
        <v>88</v>
      </c>
      <c r="C954" s="1" t="s">
        <v>27</v>
      </c>
      <c r="D954" s="1">
        <v>2</v>
      </c>
      <c r="E954" s="1" t="s">
        <v>31</v>
      </c>
      <c r="F954" s="1">
        <v>0</v>
      </c>
      <c r="G954" s="1">
        <v>1</v>
      </c>
      <c r="H954" s="1" t="s">
        <v>96</v>
      </c>
      <c r="I954" s="1" t="s">
        <v>298</v>
      </c>
      <c r="J954" s="1" t="s">
        <v>251</v>
      </c>
      <c r="K954" s="1" t="s">
        <v>229</v>
      </c>
      <c r="L954" s="1" t="s">
        <v>354</v>
      </c>
      <c r="M954" t="str">
        <f t="shared" si="84"/>
        <v>Lin</v>
      </c>
      <c r="N954" t="str">
        <f t="shared" si="85"/>
        <v>Cheng</v>
      </c>
      <c r="O954" t="str">
        <f t="shared" si="86"/>
        <v>Pinto</v>
      </c>
      <c r="P954" t="str">
        <f t="shared" si="87"/>
        <v>Vera</v>
      </c>
      <c r="Q954">
        <f t="shared" si="88"/>
        <v>0</v>
      </c>
      <c r="R954" t="str">
        <f t="shared" si="89"/>
        <v>Lin-Cheng-Pinto-Vera</v>
      </c>
    </row>
    <row r="955" spans="1:18" x14ac:dyDescent="0.25">
      <c r="A955" s="1" t="s">
        <v>215</v>
      </c>
      <c r="B955" s="1">
        <v>93</v>
      </c>
      <c r="C955" s="1" t="s">
        <v>12</v>
      </c>
      <c r="D955" s="1">
        <v>1</v>
      </c>
      <c r="E955" s="1" t="s">
        <v>57</v>
      </c>
      <c r="F955" s="1">
        <v>14</v>
      </c>
      <c r="G955" s="1">
        <v>21</v>
      </c>
      <c r="H955" s="1" t="s">
        <v>169</v>
      </c>
      <c r="I955" s="1" t="s">
        <v>301</v>
      </c>
      <c r="J955" s="1" t="s">
        <v>256</v>
      </c>
      <c r="K955" s="1" t="s">
        <v>229</v>
      </c>
      <c r="L955" s="1" t="s">
        <v>354</v>
      </c>
      <c r="M955" t="str">
        <f t="shared" si="84"/>
        <v>Labonc</v>
      </c>
      <c r="N955" t="str">
        <f t="shared" si="85"/>
        <v>Sencovici</v>
      </c>
      <c r="O955" t="str">
        <f t="shared" si="86"/>
        <v>Mollberg</v>
      </c>
      <c r="P955" t="str">
        <f t="shared" si="87"/>
        <v>Westerland</v>
      </c>
      <c r="Q955">
        <f t="shared" si="88"/>
        <v>0</v>
      </c>
      <c r="R955" t="str">
        <f t="shared" si="89"/>
        <v>Labonc-Sencovici-Mollberg-Westerland</v>
      </c>
    </row>
    <row r="956" spans="1:18" x14ac:dyDescent="0.25">
      <c r="A956" s="1" t="s">
        <v>215</v>
      </c>
      <c r="B956" s="1">
        <v>96</v>
      </c>
      <c r="C956" s="1" t="s">
        <v>18</v>
      </c>
      <c r="D956" s="1">
        <v>1</v>
      </c>
      <c r="E956" s="1" t="s">
        <v>57</v>
      </c>
      <c r="F956" s="1">
        <v>23</v>
      </c>
      <c r="G956" s="1">
        <v>21</v>
      </c>
      <c r="H956" s="1" t="s">
        <v>169</v>
      </c>
      <c r="I956" s="1" t="s">
        <v>303</v>
      </c>
      <c r="J956" s="1" t="s">
        <v>259</v>
      </c>
      <c r="K956" s="1" t="s">
        <v>229</v>
      </c>
      <c r="L956" s="1" t="s">
        <v>354</v>
      </c>
      <c r="M956" t="str">
        <f t="shared" si="84"/>
        <v>Pîrlea</v>
      </c>
      <c r="N956" t="str">
        <f t="shared" si="85"/>
        <v>Tărășilă</v>
      </c>
      <c r="O956" t="str">
        <f t="shared" si="86"/>
        <v>Elmblad</v>
      </c>
      <c r="P956" t="str">
        <f t="shared" si="87"/>
        <v>Hedman</v>
      </c>
      <c r="Q956">
        <f t="shared" si="88"/>
        <v>1</v>
      </c>
      <c r="R956" t="str">
        <f t="shared" si="89"/>
        <v>Pîrlea-Tărășilă-Elmblad-Hedman</v>
      </c>
    </row>
    <row r="957" spans="1:18" x14ac:dyDescent="0.25">
      <c r="A957" s="1" t="s">
        <v>215</v>
      </c>
      <c r="B957" s="1">
        <v>99</v>
      </c>
      <c r="C957" s="1" t="s">
        <v>21</v>
      </c>
      <c r="D957" s="1">
        <v>1</v>
      </c>
      <c r="E957" s="1" t="s">
        <v>57</v>
      </c>
      <c r="F957" s="1">
        <v>24</v>
      </c>
      <c r="G957" s="1">
        <v>25</v>
      </c>
      <c r="H957" s="1" t="s">
        <v>169</v>
      </c>
      <c r="I957" s="1" t="s">
        <v>305</v>
      </c>
      <c r="J957" s="1" t="s">
        <v>262</v>
      </c>
      <c r="K957" s="1" t="s">
        <v>229</v>
      </c>
      <c r="L957" s="1" t="s">
        <v>354</v>
      </c>
      <c r="M957" t="str">
        <f t="shared" si="84"/>
        <v>Cîmpian</v>
      </c>
      <c r="N957" t="str">
        <f t="shared" si="85"/>
        <v>Măriuța</v>
      </c>
      <c r="O957" t="str">
        <f t="shared" si="86"/>
        <v>Dahlquist</v>
      </c>
      <c r="P957" t="str">
        <f t="shared" si="87"/>
        <v>Gustavsson</v>
      </c>
      <c r="Q957">
        <f t="shared" si="88"/>
        <v>0</v>
      </c>
      <c r="R957" t="str">
        <f t="shared" si="89"/>
        <v>Cîmpian-Măriuța-Dahlquist-Gustavsson</v>
      </c>
    </row>
    <row r="958" spans="1:18" x14ac:dyDescent="0.25">
      <c r="A958" s="1" t="s">
        <v>215</v>
      </c>
      <c r="B958" s="1">
        <v>102</v>
      </c>
      <c r="C958" s="1" t="s">
        <v>24</v>
      </c>
      <c r="D958" s="1">
        <v>1</v>
      </c>
      <c r="E958" s="1" t="s">
        <v>57</v>
      </c>
      <c r="F958" s="1">
        <v>21</v>
      </c>
      <c r="G958" s="1">
        <v>17</v>
      </c>
      <c r="H958" s="1" t="s">
        <v>169</v>
      </c>
      <c r="I958" s="1" t="s">
        <v>307</v>
      </c>
      <c r="J958" s="1" t="s">
        <v>265</v>
      </c>
      <c r="K958" s="1" t="s">
        <v>229</v>
      </c>
      <c r="L958" s="1" t="s">
        <v>354</v>
      </c>
      <c r="M958" t="str">
        <f t="shared" si="84"/>
        <v>Bob</v>
      </c>
      <c r="N958" t="str">
        <f t="shared" si="85"/>
        <v>Toporaș</v>
      </c>
      <c r="O958" t="str">
        <f t="shared" si="86"/>
        <v>Häggqvist</v>
      </c>
      <c r="P958" t="str">
        <f t="shared" si="87"/>
        <v>Hugosson</v>
      </c>
      <c r="Q958">
        <f t="shared" si="88"/>
        <v>1</v>
      </c>
      <c r="R958" t="str">
        <f t="shared" si="89"/>
        <v>Bob-Toporaș-Häggqvist-Hugosson</v>
      </c>
    </row>
    <row r="959" spans="1:18" x14ac:dyDescent="0.25">
      <c r="A959" s="1" t="s">
        <v>215</v>
      </c>
      <c r="B959" s="1">
        <v>105</v>
      </c>
      <c r="C959" s="1" t="s">
        <v>27</v>
      </c>
      <c r="D959" s="1">
        <v>1</v>
      </c>
      <c r="E959" s="1" t="s">
        <v>57</v>
      </c>
      <c r="F959" s="1">
        <v>15</v>
      </c>
      <c r="G959" s="1">
        <v>21</v>
      </c>
      <c r="H959" s="1" t="s">
        <v>169</v>
      </c>
      <c r="I959" s="1" t="s">
        <v>309</v>
      </c>
      <c r="J959" s="1" t="s">
        <v>269</v>
      </c>
      <c r="K959" s="1" t="s">
        <v>229</v>
      </c>
      <c r="L959" s="1" t="s">
        <v>354</v>
      </c>
      <c r="M959" t="str">
        <f t="shared" si="84"/>
        <v>Ilie</v>
      </c>
      <c r="N959" t="str">
        <f t="shared" si="85"/>
        <v>Niță</v>
      </c>
      <c r="O959" t="str">
        <f t="shared" si="86"/>
        <v>Almgren</v>
      </c>
      <c r="P959" t="str">
        <f t="shared" si="87"/>
        <v>Fransson</v>
      </c>
      <c r="Q959">
        <f t="shared" si="88"/>
        <v>0</v>
      </c>
      <c r="R959" t="str">
        <f t="shared" si="89"/>
        <v>Ilie-Niță-Almgren-Fransson</v>
      </c>
    </row>
    <row r="960" spans="1:18" x14ac:dyDescent="0.25">
      <c r="A960" s="1" t="s">
        <v>215</v>
      </c>
      <c r="B960" s="1">
        <v>111</v>
      </c>
      <c r="C960" s="1" t="s">
        <v>12</v>
      </c>
      <c r="D960" s="1">
        <v>1</v>
      </c>
      <c r="E960" s="1" t="s">
        <v>14</v>
      </c>
      <c r="F960" s="1">
        <v>21</v>
      </c>
      <c r="G960" s="1">
        <v>16</v>
      </c>
      <c r="H960" s="1" t="s">
        <v>182</v>
      </c>
      <c r="I960" s="1" t="s">
        <v>300</v>
      </c>
      <c r="J960" s="1" t="s">
        <v>271</v>
      </c>
      <c r="K960" s="1" t="s">
        <v>229</v>
      </c>
      <c r="L960" s="1" t="s">
        <v>354</v>
      </c>
      <c r="M960" t="str">
        <f t="shared" si="84"/>
        <v>Fatt</v>
      </c>
      <c r="N960" t="str">
        <f t="shared" si="85"/>
        <v>Quibell</v>
      </c>
      <c r="O960" t="str">
        <f t="shared" si="86"/>
        <v>Molina</v>
      </c>
      <c r="P960" t="str">
        <f t="shared" si="87"/>
        <v>Gebel</v>
      </c>
      <c r="Q960">
        <f t="shared" si="88"/>
        <v>1</v>
      </c>
      <c r="R960" t="str">
        <f t="shared" si="89"/>
        <v>Fatt-Quibell-Molina-Gebel</v>
      </c>
    </row>
    <row r="961" spans="1:18" x14ac:dyDescent="0.25">
      <c r="A961" s="1" t="s">
        <v>215</v>
      </c>
      <c r="B961" s="1">
        <v>114</v>
      </c>
      <c r="C961" s="1" t="s">
        <v>18</v>
      </c>
      <c r="D961" s="1">
        <v>1</v>
      </c>
      <c r="E961" s="1" t="s">
        <v>14</v>
      </c>
      <c r="F961" s="1">
        <v>21</v>
      </c>
      <c r="G961" s="1">
        <v>13</v>
      </c>
      <c r="H961" s="1" t="s">
        <v>182</v>
      </c>
      <c r="I961" s="1" t="s">
        <v>302</v>
      </c>
      <c r="J961" s="1" t="s">
        <v>394</v>
      </c>
      <c r="K961" s="1" t="s">
        <v>229</v>
      </c>
      <c r="L961" s="1" t="s">
        <v>354</v>
      </c>
      <c r="M961" t="str">
        <f t="shared" si="84"/>
        <v>Troughton</v>
      </c>
      <c r="N961" t="str">
        <f t="shared" si="85"/>
        <v>Cooke</v>
      </c>
      <c r="O961" t="str">
        <f t="shared" si="86"/>
        <v>R. Martin</v>
      </c>
      <c r="P961" t="str">
        <f t="shared" si="87"/>
        <v>Villamariz</v>
      </c>
      <c r="Q961">
        <f t="shared" si="88"/>
        <v>1</v>
      </c>
      <c r="R961" t="str">
        <f t="shared" si="89"/>
        <v>Troughton-Cooke-R. Martin-Villamariz</v>
      </c>
    </row>
    <row r="962" spans="1:18" x14ac:dyDescent="0.25">
      <c r="A962" s="1" t="s">
        <v>215</v>
      </c>
      <c r="B962" s="1">
        <v>117</v>
      </c>
      <c r="C962" s="1" t="s">
        <v>21</v>
      </c>
      <c r="D962" s="1">
        <v>1</v>
      </c>
      <c r="E962" s="1" t="s">
        <v>14</v>
      </c>
      <c r="F962" s="1">
        <v>16</v>
      </c>
      <c r="G962" s="1">
        <v>21</v>
      </c>
      <c r="H962" s="1" t="s">
        <v>182</v>
      </c>
      <c r="I962" s="1" t="s">
        <v>402</v>
      </c>
      <c r="J962" s="1" t="s">
        <v>277</v>
      </c>
      <c r="K962" s="1" t="s">
        <v>229</v>
      </c>
      <c r="L962" s="1" t="s">
        <v>354</v>
      </c>
      <c r="M962" t="str">
        <f t="shared" ref="M962:M1025" si="90">_xlfn.TEXTBEFORE(I962,"/")</f>
        <v>Hill-Smith</v>
      </c>
      <c r="N962" t="str">
        <f t="shared" ref="N962:N1025" si="91">_xlfn.TEXTAFTER(I962,"/ ")</f>
        <v>Ja. Cheung</v>
      </c>
      <c r="O962" t="str">
        <f t="shared" ref="O962:O1025" si="92">_xlfn.TEXTBEFORE(J962,"/")</f>
        <v>Thieren</v>
      </c>
      <c r="P962" t="str">
        <f t="shared" ref="P962:P1025" si="93">_xlfn.TEXTAFTER(J962,"/ ")</f>
        <v>Hernández</v>
      </c>
      <c r="Q962">
        <f t="shared" ref="Q962:Q1025" si="94">IF(F962&gt;G962,1,0)</f>
        <v>0</v>
      </c>
      <c r="R962" t="str">
        <f t="shared" ref="R962:R1025" si="95">_xlfn.TEXTJOIN("-",TRUE,M962,N962,O962,P962)</f>
        <v>Hill-Smith-Ja. Cheung-Thieren-Hernández</v>
      </c>
    </row>
    <row r="963" spans="1:18" x14ac:dyDescent="0.25">
      <c r="A963" s="1" t="s">
        <v>215</v>
      </c>
      <c r="B963" s="1">
        <v>120</v>
      </c>
      <c r="C963" s="1" t="s">
        <v>24</v>
      </c>
      <c r="D963" s="1">
        <v>1</v>
      </c>
      <c r="E963" s="1" t="s">
        <v>14</v>
      </c>
      <c r="F963" s="1">
        <v>12</v>
      </c>
      <c r="G963" s="1">
        <v>21</v>
      </c>
      <c r="H963" s="1" t="s">
        <v>182</v>
      </c>
      <c r="I963" s="1" t="s">
        <v>405</v>
      </c>
      <c r="J963" s="1" t="s">
        <v>280</v>
      </c>
      <c r="K963" s="1" t="s">
        <v>229</v>
      </c>
      <c r="L963" s="1" t="s">
        <v>354</v>
      </c>
      <c r="M963" t="str">
        <f t="shared" si="90"/>
        <v>Smith</v>
      </c>
      <c r="N963" t="str">
        <f t="shared" si="91"/>
        <v>Jem. Lee</v>
      </c>
      <c r="O963" t="str">
        <f t="shared" si="92"/>
        <v>Andreu</v>
      </c>
      <c r="P963" t="str">
        <f t="shared" si="93"/>
        <v>Valiente</v>
      </c>
      <c r="Q963">
        <f t="shared" si="94"/>
        <v>0</v>
      </c>
      <c r="R963" t="str">
        <f t="shared" si="95"/>
        <v>Smith-Jem. Lee-Andreu-Valiente</v>
      </c>
    </row>
    <row r="964" spans="1:18" x14ac:dyDescent="0.25">
      <c r="A964" s="1" t="s">
        <v>215</v>
      </c>
      <c r="B964" s="1">
        <v>123</v>
      </c>
      <c r="C964" s="1" t="s">
        <v>27</v>
      </c>
      <c r="D964" s="1">
        <v>1</v>
      </c>
      <c r="E964" s="1" t="s">
        <v>14</v>
      </c>
      <c r="F964" s="1">
        <v>19</v>
      </c>
      <c r="G964" s="1">
        <v>21</v>
      </c>
      <c r="H964" s="1" t="s">
        <v>182</v>
      </c>
      <c r="I964" s="1" t="s">
        <v>308</v>
      </c>
      <c r="J964" s="1" t="s">
        <v>283</v>
      </c>
      <c r="K964" s="1" t="s">
        <v>229</v>
      </c>
      <c r="L964" s="1" t="s">
        <v>354</v>
      </c>
      <c r="M964" t="str">
        <f t="shared" si="90"/>
        <v>Field</v>
      </c>
      <c r="N964" t="str">
        <f t="shared" si="91"/>
        <v>Ognjenovic</v>
      </c>
      <c r="O964" t="str">
        <f t="shared" si="92"/>
        <v>Roca</v>
      </c>
      <c r="P964" t="str">
        <f t="shared" si="93"/>
        <v>Jiménez</v>
      </c>
      <c r="Q964">
        <f t="shared" si="94"/>
        <v>0</v>
      </c>
      <c r="R964" t="str">
        <f t="shared" si="95"/>
        <v>Field-Ognjenovic-Roca-Jiménez</v>
      </c>
    </row>
    <row r="965" spans="1:18" x14ac:dyDescent="0.25">
      <c r="A965" s="1" t="s">
        <v>215</v>
      </c>
      <c r="B965" s="1">
        <v>129</v>
      </c>
      <c r="C965" s="1" t="s">
        <v>12</v>
      </c>
      <c r="D965" s="1">
        <v>1</v>
      </c>
      <c r="E965" s="1" t="s">
        <v>181</v>
      </c>
      <c r="F965" s="1">
        <v>25</v>
      </c>
      <c r="G965" s="1">
        <v>24</v>
      </c>
      <c r="H965" s="1" t="s">
        <v>95</v>
      </c>
      <c r="I965" s="1" t="s">
        <v>291</v>
      </c>
      <c r="J965" s="1" t="s">
        <v>285</v>
      </c>
      <c r="K965" s="1" t="s">
        <v>229</v>
      </c>
      <c r="L965" s="1" t="s">
        <v>354</v>
      </c>
      <c r="M965" t="str">
        <f t="shared" si="90"/>
        <v>Bak</v>
      </c>
      <c r="N965" t="str">
        <f t="shared" si="91"/>
        <v>Bloch</v>
      </c>
      <c r="O965" t="str">
        <f t="shared" si="92"/>
        <v>Bouma</v>
      </c>
      <c r="P965" t="str">
        <f t="shared" si="93"/>
        <v>Meijer</v>
      </c>
      <c r="Q965">
        <f t="shared" si="94"/>
        <v>1</v>
      </c>
      <c r="R965" t="str">
        <f t="shared" si="95"/>
        <v>Bak-Bloch-Bouma-Meijer</v>
      </c>
    </row>
    <row r="966" spans="1:18" x14ac:dyDescent="0.25">
      <c r="A966" s="1" t="s">
        <v>215</v>
      </c>
      <c r="B966" s="1">
        <v>132</v>
      </c>
      <c r="C966" s="1" t="s">
        <v>18</v>
      </c>
      <c r="D966" s="1">
        <v>1</v>
      </c>
      <c r="E966" s="1" t="s">
        <v>181</v>
      </c>
      <c r="F966" s="1">
        <v>13</v>
      </c>
      <c r="G966" s="1">
        <v>21</v>
      </c>
      <c r="H966" s="1" t="s">
        <v>95</v>
      </c>
      <c r="I966" s="1" t="s">
        <v>293</v>
      </c>
      <c r="J966" s="1" t="s">
        <v>286</v>
      </c>
      <c r="K966" s="1" t="s">
        <v>229</v>
      </c>
      <c r="L966" s="1" t="s">
        <v>354</v>
      </c>
      <c r="M966" t="str">
        <f t="shared" si="90"/>
        <v>Flensted</v>
      </c>
      <c r="N966" t="str">
        <f t="shared" si="91"/>
        <v>Hillebro</v>
      </c>
      <c r="O966" t="str">
        <f t="shared" si="92"/>
        <v>Shannon Dieltjes</v>
      </c>
      <c r="P966" t="str">
        <f t="shared" si="93"/>
        <v>Shauny Dieltjes</v>
      </c>
      <c r="Q966">
        <f t="shared" si="94"/>
        <v>0</v>
      </c>
      <c r="R966" t="str">
        <f t="shared" si="95"/>
        <v>Flensted-Hillebro-Shannon Dieltjes-Shauny Dieltjes</v>
      </c>
    </row>
    <row r="967" spans="1:18" x14ac:dyDescent="0.25">
      <c r="A967" s="1" t="s">
        <v>215</v>
      </c>
      <c r="B967" s="1">
        <v>135</v>
      </c>
      <c r="C967" s="1" t="s">
        <v>21</v>
      </c>
      <c r="D967" s="1">
        <v>1</v>
      </c>
      <c r="E967" s="1" t="s">
        <v>181</v>
      </c>
      <c r="F967" s="1">
        <v>21</v>
      </c>
      <c r="G967" s="1">
        <v>13</v>
      </c>
      <c r="H967" s="1" t="s">
        <v>95</v>
      </c>
      <c r="I967" s="1" t="s">
        <v>295</v>
      </c>
      <c r="J967" s="1" t="s">
        <v>287</v>
      </c>
      <c r="K967" s="1" t="s">
        <v>229</v>
      </c>
      <c r="L967" s="1" t="s">
        <v>354</v>
      </c>
      <c r="M967" t="str">
        <f t="shared" si="90"/>
        <v>Enevoldsen</v>
      </c>
      <c r="N967" t="str">
        <f t="shared" si="91"/>
        <v>Sepstrup</v>
      </c>
      <c r="O967" t="str">
        <f t="shared" si="92"/>
        <v>Smit</v>
      </c>
      <c r="P967" t="str">
        <f t="shared" si="93"/>
        <v>Van der Wielen</v>
      </c>
      <c r="Q967">
        <f t="shared" si="94"/>
        <v>1</v>
      </c>
      <c r="R967" t="str">
        <f t="shared" si="95"/>
        <v>Enevoldsen-Sepstrup-Smit-Van der Wielen</v>
      </c>
    </row>
    <row r="968" spans="1:18" x14ac:dyDescent="0.25">
      <c r="A968" s="1" t="s">
        <v>215</v>
      </c>
      <c r="B968" s="1">
        <v>138</v>
      </c>
      <c r="C968" s="1" t="s">
        <v>24</v>
      </c>
      <c r="D968" s="1">
        <v>1</v>
      </c>
      <c r="E968" s="1" t="s">
        <v>181</v>
      </c>
      <c r="F968" s="1">
        <v>19</v>
      </c>
      <c r="G968" s="1">
        <v>21</v>
      </c>
      <c r="H968" s="1" t="s">
        <v>95</v>
      </c>
      <c r="I968" s="1" t="s">
        <v>297</v>
      </c>
      <c r="J968" s="1" t="s">
        <v>288</v>
      </c>
      <c r="K968" s="1" t="s">
        <v>229</v>
      </c>
      <c r="L968" s="1" t="s">
        <v>354</v>
      </c>
      <c r="M968" t="str">
        <f t="shared" si="90"/>
        <v>Andreassen</v>
      </c>
      <c r="N968" t="str">
        <f t="shared" si="91"/>
        <v>Lund</v>
      </c>
      <c r="O968" t="str">
        <f t="shared" si="92"/>
        <v>Thielen</v>
      </c>
      <c r="P968" t="str">
        <f t="shared" si="93"/>
        <v>Van der Donk</v>
      </c>
      <c r="Q968">
        <f t="shared" si="94"/>
        <v>0</v>
      </c>
      <c r="R968" t="str">
        <f t="shared" si="95"/>
        <v>Andreassen-Lund-Thielen-Van der Donk</v>
      </c>
    </row>
    <row r="969" spans="1:18" x14ac:dyDescent="0.25">
      <c r="A969" s="1" t="s">
        <v>215</v>
      </c>
      <c r="B969" s="1">
        <v>141</v>
      </c>
      <c r="C969" s="1" t="s">
        <v>27</v>
      </c>
      <c r="D969" s="1">
        <v>1</v>
      </c>
      <c r="E969" s="1" t="s">
        <v>181</v>
      </c>
      <c r="F969" s="1">
        <v>21</v>
      </c>
      <c r="G969" s="1">
        <v>18</v>
      </c>
      <c r="H969" s="1" t="s">
        <v>95</v>
      </c>
      <c r="I969" s="1" t="s">
        <v>424</v>
      </c>
      <c r="J969" s="1" t="s">
        <v>289</v>
      </c>
      <c r="K969" s="1" t="s">
        <v>229</v>
      </c>
      <c r="L969" s="1" t="s">
        <v>354</v>
      </c>
      <c r="M969" t="str">
        <f t="shared" si="90"/>
        <v>Gregersen</v>
      </c>
      <c r="N969" t="str">
        <f t="shared" si="91"/>
        <v>MH. Chang</v>
      </c>
      <c r="O969" t="str">
        <f t="shared" si="92"/>
        <v>Schippers</v>
      </c>
      <c r="P969" t="str">
        <f t="shared" si="93"/>
        <v>Berveling</v>
      </c>
      <c r="Q969">
        <f t="shared" si="94"/>
        <v>1</v>
      </c>
      <c r="R969" t="str">
        <f t="shared" si="95"/>
        <v>Gregersen-MH. Chang-Schippers-Berveling</v>
      </c>
    </row>
    <row r="970" spans="1:18" x14ac:dyDescent="0.25">
      <c r="A970" s="1" t="s">
        <v>217</v>
      </c>
      <c r="B970" s="1">
        <v>3</v>
      </c>
      <c r="C970" s="1" t="s">
        <v>12</v>
      </c>
      <c r="D970" s="1">
        <v>1</v>
      </c>
      <c r="E970" s="1" t="s">
        <v>195</v>
      </c>
      <c r="F970" s="1">
        <v>1</v>
      </c>
      <c r="G970" s="1">
        <v>0</v>
      </c>
      <c r="H970" s="1" t="s">
        <v>168</v>
      </c>
      <c r="I970" s="1" t="s">
        <v>230</v>
      </c>
      <c r="J970" s="1" t="s">
        <v>232</v>
      </c>
      <c r="K970" s="1" t="s">
        <v>218</v>
      </c>
      <c r="L970" s="1" t="s">
        <v>354</v>
      </c>
      <c r="M970" t="str">
        <f t="shared" si="90"/>
        <v>Hui</v>
      </c>
      <c r="N970" t="str">
        <f t="shared" si="91"/>
        <v>O. Jenki</v>
      </c>
      <c r="O970" t="str">
        <f t="shared" si="92"/>
        <v>Alt</v>
      </c>
      <c r="P970" t="str">
        <f t="shared" si="93"/>
        <v>Paysan</v>
      </c>
      <c r="Q970">
        <f t="shared" si="94"/>
        <v>1</v>
      </c>
      <c r="R970" t="str">
        <f t="shared" si="95"/>
        <v>Hui-O. Jenki-Alt-Paysan</v>
      </c>
    </row>
    <row r="971" spans="1:18" x14ac:dyDescent="0.25">
      <c r="A971" s="1" t="s">
        <v>217</v>
      </c>
      <c r="B971" s="1">
        <v>4</v>
      </c>
      <c r="C971" s="1" t="s">
        <v>12</v>
      </c>
      <c r="D971" s="1">
        <v>2</v>
      </c>
      <c r="E971" s="1" t="s">
        <v>195</v>
      </c>
      <c r="F971" s="1">
        <v>1</v>
      </c>
      <c r="G971" s="1">
        <v>0</v>
      </c>
      <c r="H971" s="1" t="s">
        <v>168</v>
      </c>
      <c r="I971" s="1" t="s">
        <v>230</v>
      </c>
      <c r="J971" s="1" t="s">
        <v>232</v>
      </c>
      <c r="K971" s="1" t="s">
        <v>218</v>
      </c>
      <c r="L971" s="1" t="s">
        <v>354</v>
      </c>
      <c r="M971" t="str">
        <f t="shared" si="90"/>
        <v>Hui</v>
      </c>
      <c r="N971" t="str">
        <f t="shared" si="91"/>
        <v>O. Jenki</v>
      </c>
      <c r="O971" t="str">
        <f t="shared" si="92"/>
        <v>Alt</v>
      </c>
      <c r="P971" t="str">
        <f t="shared" si="93"/>
        <v>Paysan</v>
      </c>
      <c r="Q971">
        <f t="shared" si="94"/>
        <v>1</v>
      </c>
      <c r="R971" t="str">
        <f t="shared" si="95"/>
        <v>Hui-O. Jenki-Alt-Paysan</v>
      </c>
    </row>
    <row r="972" spans="1:18" x14ac:dyDescent="0.25">
      <c r="A972" s="1" t="s">
        <v>217</v>
      </c>
      <c r="B972" s="1">
        <v>6</v>
      </c>
      <c r="C972" s="1" t="s">
        <v>18</v>
      </c>
      <c r="D972" s="1">
        <v>1</v>
      </c>
      <c r="E972" s="1" t="s">
        <v>195</v>
      </c>
      <c r="F972" s="1">
        <v>1</v>
      </c>
      <c r="G972" s="1">
        <v>0</v>
      </c>
      <c r="H972" s="1" t="s">
        <v>168</v>
      </c>
      <c r="I972" s="1" t="s">
        <v>235</v>
      </c>
      <c r="J972" s="1" t="s">
        <v>237</v>
      </c>
      <c r="K972" s="1" t="s">
        <v>218</v>
      </c>
      <c r="L972" s="1" t="s">
        <v>354</v>
      </c>
      <c r="M972" t="str">
        <f t="shared" si="90"/>
        <v>Washburn</v>
      </c>
      <c r="N972" t="str">
        <f t="shared" si="91"/>
        <v>A. Jenki</v>
      </c>
      <c r="O972" t="str">
        <f t="shared" si="92"/>
        <v>Duport</v>
      </c>
      <c r="P972" t="str">
        <f t="shared" si="93"/>
        <v>Liza</v>
      </c>
      <c r="Q972">
        <f t="shared" si="94"/>
        <v>1</v>
      </c>
      <c r="R972" t="str">
        <f t="shared" si="95"/>
        <v>Washburn-A. Jenki-Duport-Liza</v>
      </c>
    </row>
    <row r="973" spans="1:18" x14ac:dyDescent="0.25">
      <c r="A973" s="1" t="s">
        <v>217</v>
      </c>
      <c r="B973" s="1">
        <v>7</v>
      </c>
      <c r="C973" s="1" t="s">
        <v>18</v>
      </c>
      <c r="D973" s="1">
        <v>2</v>
      </c>
      <c r="E973" s="1" t="s">
        <v>195</v>
      </c>
      <c r="F973" s="1">
        <v>1</v>
      </c>
      <c r="G973" s="1">
        <v>0</v>
      </c>
      <c r="H973" s="1" t="s">
        <v>168</v>
      </c>
      <c r="I973" s="1" t="s">
        <v>235</v>
      </c>
      <c r="J973" s="1" t="s">
        <v>237</v>
      </c>
      <c r="K973" s="1" t="s">
        <v>218</v>
      </c>
      <c r="L973" s="1" t="s">
        <v>354</v>
      </c>
      <c r="M973" t="str">
        <f t="shared" si="90"/>
        <v>Washburn</v>
      </c>
      <c r="N973" t="str">
        <f t="shared" si="91"/>
        <v>A. Jenki</v>
      </c>
      <c r="O973" t="str">
        <f t="shared" si="92"/>
        <v>Duport</v>
      </c>
      <c r="P973" t="str">
        <f t="shared" si="93"/>
        <v>Liza</v>
      </c>
      <c r="Q973">
        <f t="shared" si="94"/>
        <v>1</v>
      </c>
      <c r="R973" t="str">
        <f t="shared" si="95"/>
        <v>Washburn-A. Jenki-Duport-Liza</v>
      </c>
    </row>
    <row r="974" spans="1:18" x14ac:dyDescent="0.25">
      <c r="A974" s="1" t="s">
        <v>217</v>
      </c>
      <c r="B974" s="1">
        <v>9</v>
      </c>
      <c r="C974" s="1" t="s">
        <v>21</v>
      </c>
      <c r="D974" s="1">
        <v>1</v>
      </c>
      <c r="E974" s="1" t="s">
        <v>195</v>
      </c>
      <c r="F974" s="1">
        <v>1</v>
      </c>
      <c r="G974" s="1">
        <v>0</v>
      </c>
      <c r="H974" s="1" t="s">
        <v>168</v>
      </c>
      <c r="I974" s="1" t="s">
        <v>240</v>
      </c>
      <c r="J974" s="1" t="s">
        <v>395</v>
      </c>
      <c r="K974" s="1" t="s">
        <v>218</v>
      </c>
      <c r="L974" s="1" t="s">
        <v>354</v>
      </c>
      <c r="M974" t="str">
        <f t="shared" si="90"/>
        <v>Morgan</v>
      </c>
      <c r="N974" t="str">
        <f t="shared" si="91"/>
        <v>Fleming</v>
      </c>
      <c r="O974" t="str">
        <f t="shared" si="92"/>
        <v>E. Martinez</v>
      </c>
      <c r="P974" t="str">
        <f t="shared" si="93"/>
        <v>Rouault</v>
      </c>
      <c r="Q974">
        <f t="shared" si="94"/>
        <v>1</v>
      </c>
      <c r="R974" t="str">
        <f t="shared" si="95"/>
        <v>Morgan-Fleming-E. Martinez-Rouault</v>
      </c>
    </row>
    <row r="975" spans="1:18" x14ac:dyDescent="0.25">
      <c r="A975" s="1" t="s">
        <v>217</v>
      </c>
      <c r="B975" s="1">
        <v>10</v>
      </c>
      <c r="C975" s="1" t="s">
        <v>21</v>
      </c>
      <c r="D975" s="1">
        <v>2</v>
      </c>
      <c r="E975" s="1" t="s">
        <v>195</v>
      </c>
      <c r="F975" s="1">
        <v>0</v>
      </c>
      <c r="G975" s="1">
        <v>1</v>
      </c>
      <c r="H975" s="1" t="s">
        <v>168</v>
      </c>
      <c r="I975" s="1" t="s">
        <v>240</v>
      </c>
      <c r="J975" s="1" t="s">
        <v>395</v>
      </c>
      <c r="K975" s="1" t="s">
        <v>218</v>
      </c>
      <c r="L975" s="1" t="s">
        <v>354</v>
      </c>
      <c r="M975" t="str">
        <f t="shared" si="90"/>
        <v>Morgan</v>
      </c>
      <c r="N975" t="str">
        <f t="shared" si="91"/>
        <v>Fleming</v>
      </c>
      <c r="O975" t="str">
        <f t="shared" si="92"/>
        <v>E. Martinez</v>
      </c>
      <c r="P975" t="str">
        <f t="shared" si="93"/>
        <v>Rouault</v>
      </c>
      <c r="Q975">
        <f t="shared" si="94"/>
        <v>0</v>
      </c>
      <c r="R975" t="str">
        <f t="shared" si="95"/>
        <v>Morgan-Fleming-E. Martinez-Rouault</v>
      </c>
    </row>
    <row r="976" spans="1:18" x14ac:dyDescent="0.25">
      <c r="A976" s="1" t="s">
        <v>217</v>
      </c>
      <c r="B976" s="1">
        <v>12</v>
      </c>
      <c r="C976" s="1" t="s">
        <v>24</v>
      </c>
      <c r="D976" s="1">
        <v>1</v>
      </c>
      <c r="E976" s="1" t="s">
        <v>195</v>
      </c>
      <c r="F976" s="1">
        <v>1</v>
      </c>
      <c r="G976" s="1">
        <v>0</v>
      </c>
      <c r="H976" s="1" t="s">
        <v>168</v>
      </c>
      <c r="I976" s="1" t="s">
        <v>245</v>
      </c>
      <c r="J976" s="1" t="s">
        <v>247</v>
      </c>
      <c r="K976" s="1" t="s">
        <v>218</v>
      </c>
      <c r="L976" s="1" t="s">
        <v>354</v>
      </c>
      <c r="M976" t="str">
        <f t="shared" si="90"/>
        <v>Pierson</v>
      </c>
      <c r="N976" t="str">
        <f t="shared" si="91"/>
        <v>Phan</v>
      </c>
      <c r="O976" t="str">
        <f t="shared" si="92"/>
        <v>Joly</v>
      </c>
      <c r="P976" t="str">
        <f t="shared" si="93"/>
        <v>Novarese</v>
      </c>
      <c r="Q976">
        <f t="shared" si="94"/>
        <v>1</v>
      </c>
      <c r="R976" t="str">
        <f t="shared" si="95"/>
        <v>Pierson-Phan-Joly-Novarese</v>
      </c>
    </row>
    <row r="977" spans="1:18" x14ac:dyDescent="0.25">
      <c r="A977" s="1" t="s">
        <v>217</v>
      </c>
      <c r="B977" s="1">
        <v>13</v>
      </c>
      <c r="C977" s="1" t="s">
        <v>24</v>
      </c>
      <c r="D977" s="1">
        <v>2</v>
      </c>
      <c r="E977" s="1" t="s">
        <v>195</v>
      </c>
      <c r="F977" s="1">
        <v>1</v>
      </c>
      <c r="G977" s="1">
        <v>0</v>
      </c>
      <c r="H977" s="1" t="s">
        <v>168</v>
      </c>
      <c r="I977" s="1" t="s">
        <v>245</v>
      </c>
      <c r="J977" s="1" t="s">
        <v>247</v>
      </c>
      <c r="K977" s="1" t="s">
        <v>218</v>
      </c>
      <c r="L977" s="1" t="s">
        <v>354</v>
      </c>
      <c r="M977" t="str">
        <f t="shared" si="90"/>
        <v>Pierson</v>
      </c>
      <c r="N977" t="str">
        <f t="shared" si="91"/>
        <v>Phan</v>
      </c>
      <c r="O977" t="str">
        <f t="shared" si="92"/>
        <v>Joly</v>
      </c>
      <c r="P977" t="str">
        <f t="shared" si="93"/>
        <v>Novarese</v>
      </c>
      <c r="Q977">
        <f t="shared" si="94"/>
        <v>1</v>
      </c>
      <c r="R977" t="str">
        <f t="shared" si="95"/>
        <v>Pierson-Phan-Joly-Novarese</v>
      </c>
    </row>
    <row r="978" spans="1:18" x14ac:dyDescent="0.25">
      <c r="A978" s="1" t="s">
        <v>217</v>
      </c>
      <c r="B978" s="1">
        <v>15</v>
      </c>
      <c r="C978" s="1" t="s">
        <v>27</v>
      </c>
      <c r="D978" s="1">
        <v>1</v>
      </c>
      <c r="E978" s="1" t="s">
        <v>195</v>
      </c>
      <c r="F978" s="1">
        <v>1</v>
      </c>
      <c r="G978" s="1">
        <v>0</v>
      </c>
      <c r="H978" s="1" t="s">
        <v>168</v>
      </c>
      <c r="I978" s="1" t="s">
        <v>250</v>
      </c>
      <c r="J978" s="1" t="s">
        <v>252</v>
      </c>
      <c r="K978" s="1" t="s">
        <v>218</v>
      </c>
      <c r="L978" s="1" t="s">
        <v>354</v>
      </c>
      <c r="M978" t="str">
        <f t="shared" si="90"/>
        <v>Timan</v>
      </c>
      <c r="N978" t="str">
        <f t="shared" si="91"/>
        <v>Allen</v>
      </c>
      <c r="O978" t="str">
        <f t="shared" si="92"/>
        <v>Eydoux</v>
      </c>
      <c r="P978" t="str">
        <f t="shared" si="93"/>
        <v>Martin</v>
      </c>
      <c r="Q978">
        <f t="shared" si="94"/>
        <v>1</v>
      </c>
      <c r="R978" t="str">
        <f t="shared" si="95"/>
        <v>Timan-Allen-Eydoux-Martin</v>
      </c>
    </row>
    <row r="979" spans="1:18" x14ac:dyDescent="0.25">
      <c r="A979" s="1" t="s">
        <v>217</v>
      </c>
      <c r="B979" s="1">
        <v>16</v>
      </c>
      <c r="C979" s="1" t="s">
        <v>27</v>
      </c>
      <c r="D979" s="1">
        <v>2</v>
      </c>
      <c r="E979" s="1" t="s">
        <v>195</v>
      </c>
      <c r="F979" s="1">
        <v>1</v>
      </c>
      <c r="G979" s="1">
        <v>0</v>
      </c>
      <c r="H979" s="1" t="s">
        <v>168</v>
      </c>
      <c r="I979" s="1" t="s">
        <v>250</v>
      </c>
      <c r="J979" s="1" t="s">
        <v>252</v>
      </c>
      <c r="K979" s="1" t="s">
        <v>218</v>
      </c>
      <c r="L979" s="1" t="s">
        <v>354</v>
      </c>
      <c r="M979" t="str">
        <f t="shared" si="90"/>
        <v>Timan</v>
      </c>
      <c r="N979" t="str">
        <f t="shared" si="91"/>
        <v>Allen</v>
      </c>
      <c r="O979" t="str">
        <f t="shared" si="92"/>
        <v>Eydoux</v>
      </c>
      <c r="P979" t="str">
        <f t="shared" si="93"/>
        <v>Martin</v>
      </c>
      <c r="Q979">
        <f t="shared" si="94"/>
        <v>1</v>
      </c>
      <c r="R979" t="str">
        <f t="shared" si="95"/>
        <v>Timan-Allen-Eydoux-Martin</v>
      </c>
    </row>
    <row r="980" spans="1:18" x14ac:dyDescent="0.25">
      <c r="A980" s="1" t="s">
        <v>217</v>
      </c>
      <c r="B980" s="1">
        <v>21</v>
      </c>
      <c r="C980" s="1" t="s">
        <v>12</v>
      </c>
      <c r="D980" s="1">
        <v>1</v>
      </c>
      <c r="E980" s="1" t="s">
        <v>156</v>
      </c>
      <c r="F980" s="1">
        <v>33</v>
      </c>
      <c r="G980" s="1">
        <v>31</v>
      </c>
      <c r="H980" s="1" t="s">
        <v>146</v>
      </c>
      <c r="I980" s="1" t="s">
        <v>255</v>
      </c>
      <c r="J980" s="1" t="s">
        <v>234</v>
      </c>
      <c r="K980" s="1" t="s">
        <v>218</v>
      </c>
      <c r="L980" s="1" t="s">
        <v>354</v>
      </c>
      <c r="M980" t="str">
        <f t="shared" si="90"/>
        <v>Leybourne</v>
      </c>
      <c r="N980" t="str">
        <f t="shared" si="91"/>
        <v>Kadlec</v>
      </c>
      <c r="O980" t="str">
        <f t="shared" si="92"/>
        <v>Knauf</v>
      </c>
      <c r="P980" t="str">
        <f t="shared" si="93"/>
        <v>Lorenz</v>
      </c>
      <c r="Q980">
        <f t="shared" si="94"/>
        <v>1</v>
      </c>
      <c r="R980" t="str">
        <f t="shared" si="95"/>
        <v>Leybourne-Kadlec-Knauf-Lorenz</v>
      </c>
    </row>
    <row r="981" spans="1:18" x14ac:dyDescent="0.25">
      <c r="A981" s="1" t="s">
        <v>217</v>
      </c>
      <c r="B981" s="1">
        <v>24</v>
      </c>
      <c r="C981" s="1" t="s">
        <v>18</v>
      </c>
      <c r="D981" s="1">
        <v>1</v>
      </c>
      <c r="E981" s="1" t="s">
        <v>156</v>
      </c>
      <c r="F981" s="1">
        <v>20</v>
      </c>
      <c r="G981" s="1">
        <v>22</v>
      </c>
      <c r="H981" s="1" t="s">
        <v>146</v>
      </c>
      <c r="I981" s="1" t="s">
        <v>258</v>
      </c>
      <c r="J981" s="1" t="s">
        <v>239</v>
      </c>
      <c r="K981" s="1" t="s">
        <v>218</v>
      </c>
      <c r="L981" s="1" t="s">
        <v>354</v>
      </c>
      <c r="M981" t="str">
        <f t="shared" si="90"/>
        <v>Kornek</v>
      </c>
      <c r="N981" t="str">
        <f t="shared" si="91"/>
        <v>Teskey</v>
      </c>
      <c r="O981" t="str">
        <f t="shared" si="92"/>
        <v>F. Stadler</v>
      </c>
      <c r="P981" t="str">
        <f t="shared" si="93"/>
        <v>J. Stadler</v>
      </c>
      <c r="Q981">
        <f t="shared" si="94"/>
        <v>0</v>
      </c>
      <c r="R981" t="str">
        <f t="shared" si="95"/>
        <v>Kornek-Teskey-F. Stadler-J. Stadler</v>
      </c>
    </row>
    <row r="982" spans="1:18" x14ac:dyDescent="0.25">
      <c r="A982" s="1" t="s">
        <v>217</v>
      </c>
      <c r="B982" s="1">
        <v>25</v>
      </c>
      <c r="C982" s="1" t="s">
        <v>18</v>
      </c>
      <c r="D982" s="1">
        <v>2</v>
      </c>
      <c r="E982" s="1" t="s">
        <v>156</v>
      </c>
      <c r="F982" s="1">
        <v>18</v>
      </c>
      <c r="G982" s="1">
        <v>21</v>
      </c>
      <c r="H982" s="1" t="s">
        <v>146</v>
      </c>
      <c r="I982" s="1" t="s">
        <v>258</v>
      </c>
      <c r="J982" s="1" t="s">
        <v>239</v>
      </c>
      <c r="K982" s="1" t="s">
        <v>218</v>
      </c>
      <c r="L982" s="1" t="s">
        <v>354</v>
      </c>
      <c r="M982" t="str">
        <f t="shared" si="90"/>
        <v>Kornek</v>
      </c>
      <c r="N982" t="str">
        <f t="shared" si="91"/>
        <v>Teskey</v>
      </c>
      <c r="O982" t="str">
        <f t="shared" si="92"/>
        <v>F. Stadler</v>
      </c>
      <c r="P982" t="str">
        <f t="shared" si="93"/>
        <v>J. Stadler</v>
      </c>
      <c r="Q982">
        <f t="shared" si="94"/>
        <v>0</v>
      </c>
      <c r="R982" t="str">
        <f t="shared" si="95"/>
        <v>Kornek-Teskey-F. Stadler-J. Stadler</v>
      </c>
    </row>
    <row r="983" spans="1:18" x14ac:dyDescent="0.25">
      <c r="A983" s="1" t="s">
        <v>217</v>
      </c>
      <c r="B983" s="1">
        <v>27</v>
      </c>
      <c r="C983" s="1" t="s">
        <v>21</v>
      </c>
      <c r="D983" s="1">
        <v>1</v>
      </c>
      <c r="E983" s="1" t="s">
        <v>156</v>
      </c>
      <c r="F983" s="1">
        <v>17</v>
      </c>
      <c r="G983" s="1">
        <v>21</v>
      </c>
      <c r="H983" s="1" t="s">
        <v>146</v>
      </c>
      <c r="I983" s="1" t="s">
        <v>368</v>
      </c>
      <c r="J983" s="1" t="s">
        <v>244</v>
      </c>
      <c r="K983" s="1" t="s">
        <v>218</v>
      </c>
      <c r="L983" s="1" t="s">
        <v>354</v>
      </c>
      <c r="M983" t="str">
        <f t="shared" si="90"/>
        <v>Lehner</v>
      </c>
      <c r="N983" t="str">
        <f t="shared" si="91"/>
        <v>orlandini</v>
      </c>
      <c r="O983" t="str">
        <f t="shared" si="92"/>
        <v>Gulden</v>
      </c>
      <c r="P983" t="str">
        <f t="shared" si="93"/>
        <v>Haas</v>
      </c>
      <c r="Q983">
        <f t="shared" si="94"/>
        <v>0</v>
      </c>
      <c r="R983" t="str">
        <f t="shared" si="95"/>
        <v>Lehner-orlandini-Gulden-Haas</v>
      </c>
    </row>
    <row r="984" spans="1:18" x14ac:dyDescent="0.25">
      <c r="A984" s="1" t="s">
        <v>217</v>
      </c>
      <c r="B984" s="1">
        <v>28</v>
      </c>
      <c r="C984" s="1" t="s">
        <v>21</v>
      </c>
      <c r="D984" s="1">
        <v>2</v>
      </c>
      <c r="E984" s="1" t="s">
        <v>156</v>
      </c>
      <c r="F984" s="1">
        <v>17</v>
      </c>
      <c r="G984" s="1">
        <v>20</v>
      </c>
      <c r="H984" s="1" t="s">
        <v>146</v>
      </c>
      <c r="I984" s="1" t="s">
        <v>368</v>
      </c>
      <c r="J984" s="1" t="s">
        <v>244</v>
      </c>
      <c r="K984" s="1" t="s">
        <v>218</v>
      </c>
      <c r="L984" s="1" t="s">
        <v>354</v>
      </c>
      <c r="M984" t="str">
        <f t="shared" si="90"/>
        <v>Lehner</v>
      </c>
      <c r="N984" t="str">
        <f t="shared" si="91"/>
        <v>orlandini</v>
      </c>
      <c r="O984" t="str">
        <f t="shared" si="92"/>
        <v>Gulden</v>
      </c>
      <c r="P984" t="str">
        <f t="shared" si="93"/>
        <v>Haas</v>
      </c>
      <c r="Q984">
        <f t="shared" si="94"/>
        <v>0</v>
      </c>
      <c r="R984" t="str">
        <f t="shared" si="95"/>
        <v>Lehner-orlandini-Gulden-Haas</v>
      </c>
    </row>
    <row r="985" spans="1:18" x14ac:dyDescent="0.25">
      <c r="A985" s="1" t="s">
        <v>217</v>
      </c>
      <c r="B985" s="1">
        <v>30</v>
      </c>
      <c r="C985" s="1" t="s">
        <v>24</v>
      </c>
      <c r="D985" s="1">
        <v>1</v>
      </c>
      <c r="E985" s="1" t="s">
        <v>156</v>
      </c>
      <c r="F985" s="1">
        <v>22</v>
      </c>
      <c r="G985" s="1">
        <v>24</v>
      </c>
      <c r="H985" s="1" t="s">
        <v>146</v>
      </c>
      <c r="I985" s="1" t="s">
        <v>366</v>
      </c>
      <c r="J985" s="1" t="s">
        <v>249</v>
      </c>
      <c r="K985" s="1" t="s">
        <v>218</v>
      </c>
      <c r="L985" s="1" t="s">
        <v>354</v>
      </c>
      <c r="M985" t="str">
        <f t="shared" si="90"/>
        <v>A. Bauer</v>
      </c>
      <c r="N985" t="str">
        <f t="shared" si="91"/>
        <v>Sundl</v>
      </c>
      <c r="O985" t="str">
        <f t="shared" si="92"/>
        <v>Grob</v>
      </c>
      <c r="P985" t="str">
        <f t="shared" si="93"/>
        <v>Peusch</v>
      </c>
      <c r="Q985">
        <f t="shared" si="94"/>
        <v>0</v>
      </c>
      <c r="R985" t="str">
        <f t="shared" si="95"/>
        <v>A. Bauer-Sundl-Grob-Peusch</v>
      </c>
    </row>
    <row r="986" spans="1:18" x14ac:dyDescent="0.25">
      <c r="A986" s="1" t="s">
        <v>217</v>
      </c>
      <c r="B986" s="1">
        <v>31</v>
      </c>
      <c r="C986" s="1" t="s">
        <v>24</v>
      </c>
      <c r="D986" s="1">
        <v>2</v>
      </c>
      <c r="E986" s="1" t="s">
        <v>156</v>
      </c>
      <c r="F986" s="1">
        <v>15</v>
      </c>
      <c r="G986" s="1">
        <v>21</v>
      </c>
      <c r="H986" s="1" t="s">
        <v>146</v>
      </c>
      <c r="I986" s="1" t="s">
        <v>366</v>
      </c>
      <c r="J986" s="1" t="s">
        <v>249</v>
      </c>
      <c r="K986" s="1" t="s">
        <v>218</v>
      </c>
      <c r="L986" s="1" t="s">
        <v>354</v>
      </c>
      <c r="M986" t="str">
        <f t="shared" si="90"/>
        <v>A. Bauer</v>
      </c>
      <c r="N986" t="str">
        <f t="shared" si="91"/>
        <v>Sundl</v>
      </c>
      <c r="O986" t="str">
        <f t="shared" si="92"/>
        <v>Grob</v>
      </c>
      <c r="P986" t="str">
        <f t="shared" si="93"/>
        <v>Peusch</v>
      </c>
      <c r="Q986">
        <f t="shared" si="94"/>
        <v>0</v>
      </c>
      <c r="R986" t="str">
        <f t="shared" si="95"/>
        <v>A. Bauer-Sundl-Grob-Peusch</v>
      </c>
    </row>
    <row r="987" spans="1:18" x14ac:dyDescent="0.25">
      <c r="A987" s="1" t="s">
        <v>217</v>
      </c>
      <c r="B987" s="1">
        <v>33</v>
      </c>
      <c r="C987" s="1" t="s">
        <v>27</v>
      </c>
      <c r="D987" s="1">
        <v>1</v>
      </c>
      <c r="E987" s="1" t="s">
        <v>156</v>
      </c>
      <c r="F987" s="1">
        <v>17</v>
      </c>
      <c r="G987" s="1">
        <v>21</v>
      </c>
      <c r="H987" s="1" t="s">
        <v>146</v>
      </c>
      <c r="I987" s="1" t="s">
        <v>267</v>
      </c>
      <c r="J987" s="1" t="s">
        <v>367</v>
      </c>
      <c r="K987" s="1" t="s">
        <v>218</v>
      </c>
      <c r="L987" s="1" t="s">
        <v>354</v>
      </c>
      <c r="M987" t="str">
        <f t="shared" si="90"/>
        <v>Mrak</v>
      </c>
      <c r="N987" t="str">
        <f t="shared" si="91"/>
        <v>Seiberl</v>
      </c>
      <c r="O987" t="str">
        <f t="shared" si="92"/>
        <v>K. Bauer</v>
      </c>
      <c r="P987" t="str">
        <f t="shared" si="93"/>
        <v>Walter</v>
      </c>
      <c r="Q987">
        <f t="shared" si="94"/>
        <v>0</v>
      </c>
      <c r="R987" t="str">
        <f t="shared" si="95"/>
        <v>Mrak-Seiberl-K. Bauer-Walter</v>
      </c>
    </row>
    <row r="988" spans="1:18" x14ac:dyDescent="0.25">
      <c r="A988" s="1" t="s">
        <v>217</v>
      </c>
      <c r="B988" s="1">
        <v>34</v>
      </c>
      <c r="C988" s="1" t="s">
        <v>27</v>
      </c>
      <c r="D988" s="1">
        <v>2</v>
      </c>
      <c r="E988" s="1" t="s">
        <v>156</v>
      </c>
      <c r="F988" s="1">
        <v>17</v>
      </c>
      <c r="G988" s="1">
        <v>21</v>
      </c>
      <c r="H988" s="1" t="s">
        <v>146</v>
      </c>
      <c r="I988" s="1" t="s">
        <v>267</v>
      </c>
      <c r="J988" s="1" t="s">
        <v>367</v>
      </c>
      <c r="K988" s="1" t="s">
        <v>218</v>
      </c>
      <c r="L988" s="1" t="s">
        <v>354</v>
      </c>
      <c r="M988" t="str">
        <f t="shared" si="90"/>
        <v>Mrak</v>
      </c>
      <c r="N988" t="str">
        <f t="shared" si="91"/>
        <v>Seiberl</v>
      </c>
      <c r="O988" t="str">
        <f t="shared" si="92"/>
        <v>K. Bauer</v>
      </c>
      <c r="P988" t="str">
        <f t="shared" si="93"/>
        <v>Walter</v>
      </c>
      <c r="Q988">
        <f t="shared" si="94"/>
        <v>0</v>
      </c>
      <c r="R988" t="str">
        <f t="shared" si="95"/>
        <v>Mrak-Seiberl-K. Bauer-Walter</v>
      </c>
    </row>
    <row r="989" spans="1:18" x14ac:dyDescent="0.25">
      <c r="A989" s="1" t="s">
        <v>217</v>
      </c>
      <c r="B989" s="1">
        <v>111</v>
      </c>
      <c r="C989" s="1" t="s">
        <v>12</v>
      </c>
      <c r="D989" s="1">
        <v>1</v>
      </c>
      <c r="E989" s="1" t="s">
        <v>95</v>
      </c>
      <c r="F989" s="1">
        <v>21</v>
      </c>
      <c r="G989" s="1">
        <v>14</v>
      </c>
      <c r="H989" s="1" t="s">
        <v>96</v>
      </c>
      <c r="I989" s="1" t="s">
        <v>285</v>
      </c>
      <c r="J989" s="1" t="s">
        <v>231</v>
      </c>
      <c r="K989" s="1" t="s">
        <v>219</v>
      </c>
      <c r="L989" s="1" t="s">
        <v>354</v>
      </c>
      <c r="M989" t="str">
        <f t="shared" si="90"/>
        <v>Bouma</v>
      </c>
      <c r="N989" t="str">
        <f t="shared" si="91"/>
        <v>Meijer</v>
      </c>
      <c r="O989" t="str">
        <f t="shared" si="92"/>
        <v>M. Calderón</v>
      </c>
      <c r="P989" t="str">
        <f t="shared" si="93"/>
        <v>L. Calderón</v>
      </c>
      <c r="Q989">
        <f t="shared" si="94"/>
        <v>1</v>
      </c>
      <c r="R989" t="str">
        <f t="shared" si="95"/>
        <v>Bouma-Meijer-M. Calderón-L. Calderón</v>
      </c>
    </row>
    <row r="990" spans="1:18" x14ac:dyDescent="0.25">
      <c r="A990" s="1" t="s">
        <v>217</v>
      </c>
      <c r="B990" s="1">
        <v>114</v>
      </c>
      <c r="C990" s="1" t="s">
        <v>18</v>
      </c>
      <c r="D990" s="1">
        <v>1</v>
      </c>
      <c r="E990" s="1" t="s">
        <v>95</v>
      </c>
      <c r="F990" s="1">
        <v>18</v>
      </c>
      <c r="G990" s="1">
        <v>21</v>
      </c>
      <c r="H990" s="1" t="s">
        <v>96</v>
      </c>
      <c r="I990" s="1" t="s">
        <v>286</v>
      </c>
      <c r="J990" s="1" t="s">
        <v>236</v>
      </c>
      <c r="K990" s="1" t="s">
        <v>219</v>
      </c>
      <c r="L990" s="1" t="s">
        <v>354</v>
      </c>
      <c r="M990" t="str">
        <f t="shared" si="90"/>
        <v>Shannon Dieltjes</v>
      </c>
      <c r="N990" t="str">
        <f t="shared" si="91"/>
        <v>Shauny Dieltjes</v>
      </c>
      <c r="O990" t="str">
        <f t="shared" si="92"/>
        <v>Ripoll</v>
      </c>
      <c r="P990" t="str">
        <f t="shared" si="93"/>
        <v>Mussiett</v>
      </c>
      <c r="Q990">
        <f t="shared" si="94"/>
        <v>0</v>
      </c>
      <c r="R990" t="str">
        <f t="shared" si="95"/>
        <v>Shannon Dieltjes-Shauny Dieltjes-Ripoll-Mussiett</v>
      </c>
    </row>
    <row r="991" spans="1:18" x14ac:dyDescent="0.25">
      <c r="A991" s="1" t="s">
        <v>217</v>
      </c>
      <c r="B991" s="1">
        <v>117</v>
      </c>
      <c r="C991" s="1" t="s">
        <v>21</v>
      </c>
      <c r="D991" s="1">
        <v>1</v>
      </c>
      <c r="E991" s="1" t="s">
        <v>95</v>
      </c>
      <c r="F991" s="1">
        <v>21</v>
      </c>
      <c r="G991" s="1">
        <v>14</v>
      </c>
      <c r="H991" s="1" t="s">
        <v>96</v>
      </c>
      <c r="I991" s="1" t="s">
        <v>287</v>
      </c>
      <c r="J991" s="1" t="s">
        <v>241</v>
      </c>
      <c r="K991" s="1" t="s">
        <v>219</v>
      </c>
      <c r="L991" s="1" t="s">
        <v>354</v>
      </c>
      <c r="M991" t="str">
        <f t="shared" si="90"/>
        <v>Smit</v>
      </c>
      <c r="N991" t="str">
        <f t="shared" si="91"/>
        <v>Van der Wielen</v>
      </c>
      <c r="O991" t="str">
        <f t="shared" si="92"/>
        <v>L. Moreno</v>
      </c>
      <c r="P991" t="str">
        <f t="shared" si="93"/>
        <v>R. Moreno</v>
      </c>
      <c r="Q991">
        <f t="shared" si="94"/>
        <v>1</v>
      </c>
      <c r="R991" t="str">
        <f t="shared" si="95"/>
        <v>Smit-Van der Wielen-L. Moreno-R. Moreno</v>
      </c>
    </row>
    <row r="992" spans="1:18" x14ac:dyDescent="0.25">
      <c r="A992" s="1" t="s">
        <v>217</v>
      </c>
      <c r="B992" s="1">
        <v>120</v>
      </c>
      <c r="C992" s="1" t="s">
        <v>24</v>
      </c>
      <c r="D992" s="1">
        <v>1</v>
      </c>
      <c r="E992" s="1" t="s">
        <v>95</v>
      </c>
      <c r="F992" s="1">
        <v>21</v>
      </c>
      <c r="G992" s="1">
        <v>18</v>
      </c>
      <c r="H992" s="1" t="s">
        <v>96</v>
      </c>
      <c r="I992" s="1" t="s">
        <v>288</v>
      </c>
      <c r="J992" s="1" t="s">
        <v>246</v>
      </c>
      <c r="K992" s="1" t="s">
        <v>219</v>
      </c>
      <c r="L992" s="1" t="s">
        <v>354</v>
      </c>
      <c r="M992" t="str">
        <f t="shared" si="90"/>
        <v>Thielen</v>
      </c>
      <c r="N992" t="str">
        <f t="shared" si="91"/>
        <v>Van der Donk</v>
      </c>
      <c r="O992" t="str">
        <f t="shared" si="92"/>
        <v>Pezoa</v>
      </c>
      <c r="P992" t="str">
        <f t="shared" si="93"/>
        <v>Lobos</v>
      </c>
      <c r="Q992">
        <f t="shared" si="94"/>
        <v>1</v>
      </c>
      <c r="R992" t="str">
        <f t="shared" si="95"/>
        <v>Thielen-Van der Donk-Pezoa-Lobos</v>
      </c>
    </row>
    <row r="993" spans="1:18" x14ac:dyDescent="0.25">
      <c r="A993" s="1" t="s">
        <v>217</v>
      </c>
      <c r="B993" s="1">
        <v>123</v>
      </c>
      <c r="C993" s="1" t="s">
        <v>27</v>
      </c>
      <c r="D993" s="1">
        <v>1</v>
      </c>
      <c r="E993" s="1" t="s">
        <v>95</v>
      </c>
      <c r="F993" s="1">
        <v>21</v>
      </c>
      <c r="G993" s="1">
        <v>13</v>
      </c>
      <c r="H993" s="1" t="s">
        <v>96</v>
      </c>
      <c r="I993" s="1" t="s">
        <v>289</v>
      </c>
      <c r="J993" s="1" t="s">
        <v>251</v>
      </c>
      <c r="K993" s="1" t="s">
        <v>219</v>
      </c>
      <c r="L993" s="1" t="s">
        <v>354</v>
      </c>
      <c r="M993" t="str">
        <f t="shared" si="90"/>
        <v>Schippers</v>
      </c>
      <c r="N993" t="str">
        <f t="shared" si="91"/>
        <v>Berveling</v>
      </c>
      <c r="O993" t="str">
        <f t="shared" si="92"/>
        <v>Pinto</v>
      </c>
      <c r="P993" t="str">
        <f t="shared" si="93"/>
        <v>Vera</v>
      </c>
      <c r="Q993">
        <f t="shared" si="94"/>
        <v>1</v>
      </c>
      <c r="R993" t="str">
        <f t="shared" si="95"/>
        <v>Schippers-Berveling-Pinto-Vera</v>
      </c>
    </row>
    <row r="994" spans="1:18" x14ac:dyDescent="0.25">
      <c r="A994" s="1" t="s">
        <v>217</v>
      </c>
      <c r="B994" s="1">
        <v>147</v>
      </c>
      <c r="C994" s="1" t="s">
        <v>12</v>
      </c>
      <c r="D994" s="1">
        <v>1</v>
      </c>
      <c r="E994" s="1" t="s">
        <v>82</v>
      </c>
      <c r="F994" s="1">
        <v>21</v>
      </c>
      <c r="G994" s="1">
        <v>16</v>
      </c>
      <c r="H994" s="1" t="s">
        <v>56</v>
      </c>
      <c r="I994" s="1" t="s">
        <v>316</v>
      </c>
      <c r="J994" s="1" t="s">
        <v>319</v>
      </c>
      <c r="K994" s="1" t="s">
        <v>220</v>
      </c>
      <c r="L994" s="1" t="s">
        <v>354</v>
      </c>
      <c r="M994" t="str">
        <f t="shared" si="90"/>
        <v>Bastos</v>
      </c>
      <c r="N994" t="str">
        <f t="shared" si="91"/>
        <v>Bordon</v>
      </c>
      <c r="O994" t="str">
        <f t="shared" si="92"/>
        <v>Fukuda</v>
      </c>
      <c r="P994" t="str">
        <f t="shared" si="93"/>
        <v>Takeno</v>
      </c>
      <c r="Q994">
        <f t="shared" si="94"/>
        <v>1</v>
      </c>
      <c r="R994" t="str">
        <f t="shared" si="95"/>
        <v>Bastos-Bordon-Fukuda-Takeno</v>
      </c>
    </row>
    <row r="995" spans="1:18" x14ac:dyDescent="0.25">
      <c r="A995" s="1" t="s">
        <v>217</v>
      </c>
      <c r="B995" s="1">
        <v>150</v>
      </c>
      <c r="C995" s="1" t="s">
        <v>18</v>
      </c>
      <c r="D995" s="1">
        <v>1</v>
      </c>
      <c r="E995" s="1" t="s">
        <v>82</v>
      </c>
      <c r="F995" s="1">
        <v>15</v>
      </c>
      <c r="G995" s="1">
        <v>21</v>
      </c>
      <c r="H995" s="1" t="s">
        <v>56</v>
      </c>
      <c r="I995" s="1" t="s">
        <v>321</v>
      </c>
      <c r="J995" s="1" t="s">
        <v>417</v>
      </c>
      <c r="K995" s="1" t="s">
        <v>220</v>
      </c>
      <c r="L995" s="1" t="s">
        <v>354</v>
      </c>
      <c r="M995" t="str">
        <f t="shared" si="90"/>
        <v>Barreto</v>
      </c>
      <c r="N995" t="str">
        <f t="shared" si="91"/>
        <v>Pereira</v>
      </c>
      <c r="O995" t="str">
        <f t="shared" si="92"/>
        <v>Matsumoto</v>
      </c>
      <c r="P995" t="str">
        <f t="shared" si="93"/>
        <v>R. Imamura</v>
      </c>
      <c r="Q995">
        <f t="shared" si="94"/>
        <v>0</v>
      </c>
      <c r="R995" t="str">
        <f t="shared" si="95"/>
        <v>Barreto-Pereira-Matsumoto-R. Imamura</v>
      </c>
    </row>
    <row r="996" spans="1:18" x14ac:dyDescent="0.25">
      <c r="A996" s="1" t="s">
        <v>217</v>
      </c>
      <c r="B996" s="1">
        <v>153</v>
      </c>
      <c r="C996" s="1" t="s">
        <v>21</v>
      </c>
      <c r="D996" s="1">
        <v>1</v>
      </c>
      <c r="E996" s="1" t="s">
        <v>82</v>
      </c>
      <c r="F996" s="1">
        <v>21</v>
      </c>
      <c r="G996" s="1">
        <v>9</v>
      </c>
      <c r="H996" s="1" t="s">
        <v>56</v>
      </c>
      <c r="I996" s="1" t="s">
        <v>324</v>
      </c>
      <c r="J996" s="1" t="s">
        <v>325</v>
      </c>
      <c r="K996" s="1" t="s">
        <v>220</v>
      </c>
      <c r="L996" s="1" t="s">
        <v>354</v>
      </c>
      <c r="M996" t="str">
        <f t="shared" si="90"/>
        <v>Aleixo</v>
      </c>
      <c r="N996" t="str">
        <f t="shared" si="91"/>
        <v>Santana</v>
      </c>
      <c r="O996" t="str">
        <f t="shared" si="92"/>
        <v>Ito</v>
      </c>
      <c r="P996" t="str">
        <f t="shared" si="93"/>
        <v>Hoshi</v>
      </c>
      <c r="Q996">
        <f t="shared" si="94"/>
        <v>1</v>
      </c>
      <c r="R996" t="str">
        <f t="shared" si="95"/>
        <v>Aleixo-Santana-Ito-Hoshi</v>
      </c>
    </row>
    <row r="997" spans="1:18" x14ac:dyDescent="0.25">
      <c r="A997" s="1" t="s">
        <v>217</v>
      </c>
      <c r="B997" s="1">
        <v>156</v>
      </c>
      <c r="C997" s="1" t="s">
        <v>24</v>
      </c>
      <c r="D997" s="1">
        <v>1</v>
      </c>
      <c r="E997" s="1" t="s">
        <v>82</v>
      </c>
      <c r="F997" s="1">
        <v>21</v>
      </c>
      <c r="G997" s="1">
        <v>14</v>
      </c>
      <c r="H997" s="1" t="s">
        <v>56</v>
      </c>
      <c r="I997" s="1" t="s">
        <v>329</v>
      </c>
      <c r="J997" s="1" t="s">
        <v>330</v>
      </c>
      <c r="K997" s="1" t="s">
        <v>220</v>
      </c>
      <c r="L997" s="1" t="s">
        <v>354</v>
      </c>
      <c r="M997" t="str">
        <f t="shared" si="90"/>
        <v>Vieira</v>
      </c>
      <c r="N997" t="str">
        <f t="shared" si="91"/>
        <v>Serra</v>
      </c>
      <c r="O997" t="str">
        <f t="shared" si="92"/>
        <v>Kawasaki</v>
      </c>
      <c r="P997" t="str">
        <f t="shared" si="93"/>
        <v>Ogaki</v>
      </c>
      <c r="Q997">
        <f t="shared" si="94"/>
        <v>1</v>
      </c>
      <c r="R997" t="str">
        <f t="shared" si="95"/>
        <v>Vieira-Serra-Kawasaki-Ogaki</v>
      </c>
    </row>
    <row r="998" spans="1:18" x14ac:dyDescent="0.25">
      <c r="A998" s="1" t="s">
        <v>217</v>
      </c>
      <c r="B998" s="1">
        <v>159</v>
      </c>
      <c r="C998" s="1" t="s">
        <v>27</v>
      </c>
      <c r="D998" s="1">
        <v>1</v>
      </c>
      <c r="E998" s="1" t="s">
        <v>82</v>
      </c>
      <c r="F998" s="1">
        <v>21</v>
      </c>
      <c r="G998" s="1">
        <v>14</v>
      </c>
      <c r="H998" s="1" t="s">
        <v>56</v>
      </c>
      <c r="I998" s="1" t="s">
        <v>423</v>
      </c>
      <c r="J998" s="1" t="s">
        <v>333</v>
      </c>
      <c r="K998" s="1" t="s">
        <v>220</v>
      </c>
      <c r="L998" s="1" t="s">
        <v>354</v>
      </c>
      <c r="M998" t="str">
        <f t="shared" si="90"/>
        <v>Kolonko</v>
      </c>
      <c r="N998" t="str">
        <f t="shared" si="91"/>
        <v xml:space="preserve"> Ma. Thomé</v>
      </c>
      <c r="O998" t="str">
        <f t="shared" si="92"/>
        <v>Kihara</v>
      </c>
      <c r="P998" t="str">
        <f t="shared" si="93"/>
        <v>Nakano</v>
      </c>
      <c r="Q998">
        <f t="shared" si="94"/>
        <v>1</v>
      </c>
      <c r="R998" t="str">
        <f t="shared" si="95"/>
        <v>Kolonko- Ma. Thomé-Kihara-Nakano</v>
      </c>
    </row>
    <row r="999" spans="1:18" x14ac:dyDescent="0.25">
      <c r="A999" s="1" t="s">
        <v>217</v>
      </c>
      <c r="B999" s="1">
        <v>165</v>
      </c>
      <c r="C999" s="1" t="s">
        <v>12</v>
      </c>
      <c r="D999" s="1">
        <v>1</v>
      </c>
      <c r="E999" s="1" t="s">
        <v>13</v>
      </c>
      <c r="F999" s="1">
        <v>12</v>
      </c>
      <c r="G999" s="1">
        <v>21</v>
      </c>
      <c r="H999" s="1" t="s">
        <v>44</v>
      </c>
      <c r="I999" s="1" t="s">
        <v>335</v>
      </c>
      <c r="J999" s="1" t="s">
        <v>317</v>
      </c>
      <c r="K999" s="1" t="s">
        <v>220</v>
      </c>
      <c r="L999" s="1" t="s">
        <v>354</v>
      </c>
      <c r="M999" t="str">
        <f t="shared" si="90"/>
        <v>Schaeffer</v>
      </c>
      <c r="N999" t="str">
        <f t="shared" si="91"/>
        <v>Skellern</v>
      </c>
      <c r="O999" t="str">
        <f t="shared" si="92"/>
        <v>Wojtczak</v>
      </c>
      <c r="P999" t="str">
        <f t="shared" si="93"/>
        <v>Bonifrowska</v>
      </c>
      <c r="Q999">
        <f t="shared" si="94"/>
        <v>0</v>
      </c>
      <c r="R999" t="str">
        <f t="shared" si="95"/>
        <v>Schaeffer-Skellern-Wojtczak-Bonifrowska</v>
      </c>
    </row>
    <row r="1000" spans="1:18" x14ac:dyDescent="0.25">
      <c r="A1000" s="1" t="s">
        <v>217</v>
      </c>
      <c r="B1000" s="1">
        <v>168</v>
      </c>
      <c r="C1000" s="1" t="s">
        <v>18</v>
      </c>
      <c r="D1000" s="1">
        <v>1</v>
      </c>
      <c r="E1000" s="1" t="s">
        <v>13</v>
      </c>
      <c r="F1000" s="1">
        <v>21</v>
      </c>
      <c r="G1000" s="1">
        <v>23</v>
      </c>
      <c r="H1000" s="1" t="s">
        <v>44</v>
      </c>
      <c r="I1000" s="1" t="s">
        <v>386</v>
      </c>
      <c r="J1000" s="1" t="s">
        <v>322</v>
      </c>
      <c r="K1000" s="1" t="s">
        <v>220</v>
      </c>
      <c r="L1000" s="1" t="s">
        <v>354</v>
      </c>
      <c r="M1000" t="str">
        <f t="shared" si="90"/>
        <v>Ab. Capp</v>
      </c>
      <c r="N1000" t="str">
        <f t="shared" si="91"/>
        <v>Figg</v>
      </c>
      <c r="O1000" t="str">
        <f t="shared" si="92"/>
        <v>Dalidonis</v>
      </c>
      <c r="P1000" t="str">
        <f t="shared" si="93"/>
        <v>Filipska</v>
      </c>
      <c r="Q1000">
        <f t="shared" si="94"/>
        <v>0</v>
      </c>
      <c r="R1000" t="str">
        <f t="shared" si="95"/>
        <v>Ab. Capp-Figg-Dalidonis-Filipska</v>
      </c>
    </row>
    <row r="1001" spans="1:18" x14ac:dyDescent="0.25">
      <c r="A1001" s="1" t="s">
        <v>217</v>
      </c>
      <c r="B1001" s="1">
        <v>171</v>
      </c>
      <c r="C1001" s="1" t="s">
        <v>21</v>
      </c>
      <c r="D1001" s="1">
        <v>1</v>
      </c>
      <c r="E1001" s="1" t="s">
        <v>13</v>
      </c>
      <c r="F1001" s="1">
        <v>19</v>
      </c>
      <c r="G1001" s="1">
        <v>21</v>
      </c>
      <c r="H1001" s="1" t="s">
        <v>44</v>
      </c>
      <c r="I1001" s="1" t="s">
        <v>339</v>
      </c>
      <c r="J1001" s="1" t="s">
        <v>327</v>
      </c>
      <c r="K1001" s="1" t="s">
        <v>220</v>
      </c>
      <c r="L1001" s="1" t="s">
        <v>354</v>
      </c>
      <c r="M1001" t="str">
        <f t="shared" si="90"/>
        <v>Griffiths</v>
      </c>
      <c r="N1001" t="str">
        <f t="shared" si="91"/>
        <v>Lynch</v>
      </c>
      <c r="O1001" t="str">
        <f t="shared" si="92"/>
        <v>Stawarek</v>
      </c>
      <c r="P1001" t="str">
        <f t="shared" si="93"/>
        <v>Wolff</v>
      </c>
      <c r="Q1001">
        <f t="shared" si="94"/>
        <v>0</v>
      </c>
      <c r="R1001" t="str">
        <f t="shared" si="95"/>
        <v>Griffiths-Lynch-Stawarek-Wolff</v>
      </c>
    </row>
    <row r="1002" spans="1:18" x14ac:dyDescent="0.25">
      <c r="A1002" s="1" t="s">
        <v>217</v>
      </c>
      <c r="B1002" s="1">
        <v>174</v>
      </c>
      <c r="C1002" s="1" t="s">
        <v>24</v>
      </c>
      <c r="D1002" s="1">
        <v>1</v>
      </c>
      <c r="E1002" s="1" t="s">
        <v>13</v>
      </c>
      <c r="F1002" s="1">
        <v>18</v>
      </c>
      <c r="G1002" s="1">
        <v>21</v>
      </c>
      <c r="H1002" s="1" t="s">
        <v>44</v>
      </c>
      <c r="I1002" s="1" t="s">
        <v>401</v>
      </c>
      <c r="J1002" s="1" t="s">
        <v>331</v>
      </c>
      <c r="K1002" s="1" t="s">
        <v>220</v>
      </c>
      <c r="L1002" s="1" t="s">
        <v>354</v>
      </c>
      <c r="M1002" t="str">
        <f t="shared" si="90"/>
        <v>Chu</v>
      </c>
      <c r="N1002" t="str">
        <f t="shared" si="91"/>
        <v>T. Fung</v>
      </c>
      <c r="O1002" t="str">
        <f t="shared" si="92"/>
        <v>Pojawis</v>
      </c>
      <c r="P1002" t="str">
        <f t="shared" si="93"/>
        <v>Wachowiec</v>
      </c>
      <c r="Q1002">
        <f t="shared" si="94"/>
        <v>0</v>
      </c>
      <c r="R1002" t="str">
        <f t="shared" si="95"/>
        <v>Chu-T. Fung-Pojawis-Wachowiec</v>
      </c>
    </row>
    <row r="1003" spans="1:18" x14ac:dyDescent="0.25">
      <c r="A1003" s="1" t="s">
        <v>217</v>
      </c>
      <c r="B1003" s="1">
        <v>177</v>
      </c>
      <c r="C1003" s="1" t="s">
        <v>27</v>
      </c>
      <c r="D1003" s="1">
        <v>1</v>
      </c>
      <c r="E1003" s="1" t="s">
        <v>13</v>
      </c>
      <c r="F1003" s="1">
        <v>21</v>
      </c>
      <c r="G1003" s="1">
        <v>9</v>
      </c>
      <c r="H1003" s="1" t="s">
        <v>44</v>
      </c>
      <c r="I1003" s="1" t="s">
        <v>407</v>
      </c>
      <c r="J1003" s="1" t="s">
        <v>334</v>
      </c>
      <c r="K1003" s="1" t="s">
        <v>220</v>
      </c>
      <c r="L1003" s="1" t="s">
        <v>354</v>
      </c>
      <c r="M1003" t="str">
        <f t="shared" si="90"/>
        <v>Cliff</v>
      </c>
      <c r="N1003" t="str">
        <f t="shared" si="91"/>
        <v>R. Read</v>
      </c>
      <c r="O1003" t="str">
        <f t="shared" si="92"/>
        <v>Kuta</v>
      </c>
      <c r="P1003" t="str">
        <f t="shared" si="93"/>
        <v>Mierzwa</v>
      </c>
      <c r="Q1003">
        <f t="shared" si="94"/>
        <v>1</v>
      </c>
      <c r="R1003" t="str">
        <f t="shared" si="95"/>
        <v>Cliff-R. Read-Kuta-Mierzwa</v>
      </c>
    </row>
    <row r="1004" spans="1:18" x14ac:dyDescent="0.25">
      <c r="A1004" s="1" t="s">
        <v>217</v>
      </c>
      <c r="B1004" s="1">
        <v>183</v>
      </c>
      <c r="C1004" s="1" t="s">
        <v>12</v>
      </c>
      <c r="D1004" s="1">
        <v>1</v>
      </c>
      <c r="E1004" s="1" t="s">
        <v>109</v>
      </c>
      <c r="F1004" s="1">
        <v>21</v>
      </c>
      <c r="G1004" s="1">
        <v>16</v>
      </c>
      <c r="H1004" s="1" t="s">
        <v>134</v>
      </c>
      <c r="I1004" s="1" t="s">
        <v>346</v>
      </c>
      <c r="J1004" s="1" t="s">
        <v>389</v>
      </c>
      <c r="K1004" s="1" t="s">
        <v>223</v>
      </c>
      <c r="L1004" s="1" t="s">
        <v>354</v>
      </c>
      <c r="M1004" t="str">
        <f t="shared" si="90"/>
        <v>Häkkinen</v>
      </c>
      <c r="N1004" t="str">
        <f t="shared" si="91"/>
        <v>Salmensaari</v>
      </c>
      <c r="O1004" t="str">
        <f t="shared" si="92"/>
        <v>C. Chan</v>
      </c>
      <c r="P1004" t="str">
        <f t="shared" si="93"/>
        <v>Tang</v>
      </c>
      <c r="Q1004">
        <f t="shared" si="94"/>
        <v>1</v>
      </c>
      <c r="R1004" t="str">
        <f t="shared" si="95"/>
        <v>Häkkinen-Salmensaari-C. Chan-Tang</v>
      </c>
    </row>
    <row r="1005" spans="1:18" x14ac:dyDescent="0.25">
      <c r="A1005" s="1" t="s">
        <v>217</v>
      </c>
      <c r="B1005" s="1">
        <v>186</v>
      </c>
      <c r="C1005" s="1" t="s">
        <v>18</v>
      </c>
      <c r="D1005" s="1">
        <v>1</v>
      </c>
      <c r="E1005" s="1" t="s">
        <v>109</v>
      </c>
      <c r="F1005" s="1">
        <v>23</v>
      </c>
      <c r="G1005" s="1">
        <v>25</v>
      </c>
      <c r="H1005" s="1" t="s">
        <v>134</v>
      </c>
      <c r="I1005" s="1" t="s">
        <v>348</v>
      </c>
      <c r="J1005" s="1" t="s">
        <v>388</v>
      </c>
      <c r="K1005" s="1" t="s">
        <v>223</v>
      </c>
      <c r="L1005" s="1" t="s">
        <v>354</v>
      </c>
      <c r="M1005" t="str">
        <f t="shared" si="90"/>
        <v>Kosonen</v>
      </c>
      <c r="N1005" t="str">
        <f t="shared" si="91"/>
        <v>Leppänen</v>
      </c>
      <c r="O1005" t="str">
        <f t="shared" si="92"/>
        <v>R. Chan</v>
      </c>
      <c r="P1005" t="str">
        <f t="shared" si="93"/>
        <v>Law</v>
      </c>
      <c r="Q1005">
        <f t="shared" si="94"/>
        <v>0</v>
      </c>
      <c r="R1005" t="str">
        <f t="shared" si="95"/>
        <v>Kosonen-Leppänen-R. Chan-Law</v>
      </c>
    </row>
    <row r="1006" spans="1:18" x14ac:dyDescent="0.25">
      <c r="A1006" s="1" t="s">
        <v>217</v>
      </c>
      <c r="B1006" s="1">
        <v>189</v>
      </c>
      <c r="C1006" s="1" t="s">
        <v>21</v>
      </c>
      <c r="D1006" s="1">
        <v>1</v>
      </c>
      <c r="E1006" s="1" t="s">
        <v>109</v>
      </c>
      <c r="F1006" s="1">
        <v>21</v>
      </c>
      <c r="G1006" s="1">
        <v>11</v>
      </c>
      <c r="H1006" s="1" t="s">
        <v>134</v>
      </c>
      <c r="I1006" s="1" t="s">
        <v>350</v>
      </c>
      <c r="J1006" s="1" t="s">
        <v>390</v>
      </c>
      <c r="K1006" s="1" t="s">
        <v>223</v>
      </c>
      <c r="L1006" s="1" t="s">
        <v>354</v>
      </c>
      <c r="M1006" t="str">
        <f t="shared" si="90"/>
        <v>Piesanen</v>
      </c>
      <c r="N1006" t="str">
        <f t="shared" si="91"/>
        <v>Kuorelahti</v>
      </c>
      <c r="O1006" t="str">
        <f t="shared" si="92"/>
        <v>Zhu</v>
      </c>
      <c r="P1006" t="str">
        <f t="shared" si="93"/>
        <v>M. Chan</v>
      </c>
      <c r="Q1006">
        <f t="shared" si="94"/>
        <v>1</v>
      </c>
      <c r="R1006" t="str">
        <f t="shared" si="95"/>
        <v>Piesanen-Kuorelahti-Zhu-M. Chan</v>
      </c>
    </row>
    <row r="1007" spans="1:18" x14ac:dyDescent="0.25">
      <c r="A1007" s="1" t="s">
        <v>217</v>
      </c>
      <c r="B1007" s="1">
        <v>192</v>
      </c>
      <c r="C1007" s="1" t="s">
        <v>24</v>
      </c>
      <c r="D1007" s="1">
        <v>1</v>
      </c>
      <c r="E1007" s="1" t="s">
        <v>109</v>
      </c>
      <c r="F1007" s="1">
        <v>21</v>
      </c>
      <c r="G1007" s="1">
        <v>4</v>
      </c>
      <c r="H1007" s="1" t="s">
        <v>134</v>
      </c>
      <c r="I1007" s="1" t="s">
        <v>352</v>
      </c>
      <c r="J1007" s="1" t="s">
        <v>391</v>
      </c>
      <c r="K1007" s="1" t="s">
        <v>223</v>
      </c>
      <c r="L1007" s="1" t="s">
        <v>354</v>
      </c>
      <c r="M1007" t="str">
        <f t="shared" si="90"/>
        <v>Kinnunen</v>
      </c>
      <c r="N1007" t="str">
        <f t="shared" si="91"/>
        <v>Lemettinen</v>
      </c>
      <c r="O1007" t="str">
        <f t="shared" si="92"/>
        <v>Mak</v>
      </c>
      <c r="P1007" t="str">
        <f t="shared" si="93"/>
        <v>H. Chan</v>
      </c>
      <c r="Q1007">
        <f t="shared" si="94"/>
        <v>1</v>
      </c>
      <c r="R1007" t="str">
        <f t="shared" si="95"/>
        <v>Kinnunen-Lemettinen-Mak-H. Chan</v>
      </c>
    </row>
    <row r="1008" spans="1:18" x14ac:dyDescent="0.25">
      <c r="A1008" s="1" t="s">
        <v>217</v>
      </c>
      <c r="B1008" s="1">
        <v>201</v>
      </c>
      <c r="C1008" s="1" t="s">
        <v>12</v>
      </c>
      <c r="D1008" s="1">
        <v>1</v>
      </c>
      <c r="E1008" s="1" t="s">
        <v>43</v>
      </c>
      <c r="F1008" s="1">
        <v>21</v>
      </c>
      <c r="G1008" s="1">
        <v>19</v>
      </c>
      <c r="H1008" s="1" t="s">
        <v>83</v>
      </c>
      <c r="I1008" s="1" t="s">
        <v>345</v>
      </c>
      <c r="J1008" s="1" t="s">
        <v>336</v>
      </c>
      <c r="K1008" s="1" t="s">
        <v>223</v>
      </c>
      <c r="L1008" s="1" t="s">
        <v>354</v>
      </c>
      <c r="M1008" t="str">
        <f t="shared" si="90"/>
        <v>Caltova</v>
      </c>
      <c r="N1008" t="str">
        <f t="shared" si="91"/>
        <v>Nyvltova</v>
      </c>
      <c r="O1008" t="str">
        <f t="shared" si="92"/>
        <v>Due-Tønnessen</v>
      </c>
      <c r="P1008" t="str">
        <f t="shared" si="93"/>
        <v>Espevik</v>
      </c>
      <c r="Q1008">
        <f t="shared" si="94"/>
        <v>1</v>
      </c>
      <c r="R1008" t="str">
        <f t="shared" si="95"/>
        <v>Caltova-Nyvltova-Due-Tønnessen-Espevik</v>
      </c>
    </row>
    <row r="1009" spans="1:18" x14ac:dyDescent="0.25">
      <c r="A1009" s="1" t="s">
        <v>217</v>
      </c>
      <c r="B1009" s="1">
        <v>204</v>
      </c>
      <c r="C1009" s="1" t="s">
        <v>18</v>
      </c>
      <c r="D1009" s="1">
        <v>1</v>
      </c>
      <c r="E1009" s="1" t="s">
        <v>43</v>
      </c>
      <c r="F1009" s="1">
        <v>25</v>
      </c>
      <c r="G1009" s="1">
        <v>23</v>
      </c>
      <c r="H1009" s="1" t="s">
        <v>83</v>
      </c>
      <c r="I1009" s="1" t="s">
        <v>347</v>
      </c>
      <c r="J1009" s="1" t="s">
        <v>418</v>
      </c>
      <c r="K1009" s="1" t="s">
        <v>223</v>
      </c>
      <c r="L1009" s="1" t="s">
        <v>354</v>
      </c>
      <c r="M1009" t="str">
        <f t="shared" si="90"/>
        <v>Janku</v>
      </c>
      <c r="N1009" t="str">
        <f t="shared" si="91"/>
        <v>Matejkova</v>
      </c>
      <c r="O1009" t="str">
        <f t="shared" si="92"/>
        <v>Olsen</v>
      </c>
      <c r="P1009" t="str">
        <f t="shared" si="93"/>
        <v>S. Modalsli</v>
      </c>
      <c r="Q1009">
        <f t="shared" si="94"/>
        <v>1</v>
      </c>
      <c r="R1009" t="str">
        <f t="shared" si="95"/>
        <v>Janku-Matejkova-Olsen-S. Modalsli</v>
      </c>
    </row>
    <row r="1010" spans="1:18" x14ac:dyDescent="0.25">
      <c r="A1010" s="1" t="s">
        <v>217</v>
      </c>
      <c r="B1010" s="1">
        <v>207</v>
      </c>
      <c r="C1010" s="1" t="s">
        <v>21</v>
      </c>
      <c r="D1010" s="1">
        <v>1</v>
      </c>
      <c r="E1010" s="1" t="s">
        <v>43</v>
      </c>
      <c r="F1010" s="1">
        <v>21</v>
      </c>
      <c r="G1010" s="1">
        <v>10</v>
      </c>
      <c r="H1010" s="1" t="s">
        <v>83</v>
      </c>
      <c r="I1010" s="1" t="s">
        <v>349</v>
      </c>
      <c r="J1010" s="1" t="s">
        <v>340</v>
      </c>
      <c r="K1010" s="1" t="s">
        <v>223</v>
      </c>
      <c r="L1010" s="1" t="s">
        <v>354</v>
      </c>
      <c r="M1010" t="str">
        <f t="shared" si="90"/>
        <v>Bedrnova</v>
      </c>
      <c r="N1010" t="str">
        <f t="shared" si="91"/>
        <v>Kourilova</v>
      </c>
      <c r="O1010" t="str">
        <f t="shared" si="92"/>
        <v>Eilertsen</v>
      </c>
      <c r="P1010" t="str">
        <f t="shared" si="93"/>
        <v>Pavall</v>
      </c>
      <c r="Q1010">
        <f t="shared" si="94"/>
        <v>1</v>
      </c>
      <c r="R1010" t="str">
        <f t="shared" si="95"/>
        <v>Bedrnova-Kourilova-Eilertsen-Pavall</v>
      </c>
    </row>
    <row r="1011" spans="1:18" x14ac:dyDescent="0.25">
      <c r="A1011" s="1" t="s">
        <v>217</v>
      </c>
      <c r="B1011" s="1">
        <v>210</v>
      </c>
      <c r="C1011" s="1" t="s">
        <v>24</v>
      </c>
      <c r="D1011" s="1">
        <v>1</v>
      </c>
      <c r="E1011" s="1" t="s">
        <v>43</v>
      </c>
      <c r="F1011" s="1">
        <v>21</v>
      </c>
      <c r="G1011" s="1">
        <v>6</v>
      </c>
      <c r="H1011" s="1" t="s">
        <v>83</v>
      </c>
      <c r="I1011" s="1" t="s">
        <v>351</v>
      </c>
      <c r="J1011" s="1" t="s">
        <v>342</v>
      </c>
      <c r="K1011" s="1" t="s">
        <v>223</v>
      </c>
      <c r="L1011" s="1" t="s">
        <v>354</v>
      </c>
      <c r="M1011" t="str">
        <f t="shared" si="90"/>
        <v>Dannemann</v>
      </c>
      <c r="N1011" t="str">
        <f t="shared" si="91"/>
        <v>Meinhart</v>
      </c>
      <c r="O1011" t="str">
        <f t="shared" si="92"/>
        <v>Gudmestad</v>
      </c>
      <c r="P1011" t="str">
        <f t="shared" si="93"/>
        <v>Zimmermann</v>
      </c>
      <c r="Q1011">
        <f t="shared" si="94"/>
        <v>1</v>
      </c>
      <c r="R1011" t="str">
        <f t="shared" si="95"/>
        <v>Dannemann-Meinhart-Gudmestad-Zimmermann</v>
      </c>
    </row>
    <row r="1012" spans="1:18" x14ac:dyDescent="0.25">
      <c r="A1012" s="1" t="s">
        <v>217</v>
      </c>
      <c r="B1012" s="1">
        <v>39</v>
      </c>
      <c r="C1012" s="1" t="s">
        <v>12</v>
      </c>
      <c r="D1012" s="1">
        <v>1</v>
      </c>
      <c r="E1012" s="1" t="s">
        <v>147</v>
      </c>
      <c r="F1012" s="1">
        <v>21</v>
      </c>
      <c r="G1012" s="1">
        <v>14</v>
      </c>
      <c r="H1012" s="1" t="s">
        <v>30</v>
      </c>
      <c r="I1012" s="1" t="s">
        <v>272</v>
      </c>
      <c r="J1012" s="1" t="s">
        <v>233</v>
      </c>
      <c r="K1012" s="1" t="s">
        <v>227</v>
      </c>
      <c r="L1012" s="1" t="s">
        <v>354</v>
      </c>
      <c r="M1012" t="str">
        <f t="shared" si="90"/>
        <v>Kunzelmann</v>
      </c>
      <c r="N1012" t="str">
        <f t="shared" si="91"/>
        <v>Levie</v>
      </c>
      <c r="O1012" t="str">
        <f t="shared" si="92"/>
        <v>Vandersype</v>
      </c>
      <c r="P1012" t="str">
        <f t="shared" si="93"/>
        <v>D'hoore</v>
      </c>
      <c r="Q1012">
        <f t="shared" si="94"/>
        <v>1</v>
      </c>
      <c r="R1012" t="str">
        <f t="shared" si="95"/>
        <v>Kunzelmann-Levie-Vandersype-D'hoore</v>
      </c>
    </row>
    <row r="1013" spans="1:18" x14ac:dyDescent="0.25">
      <c r="A1013" s="1" t="s">
        <v>217</v>
      </c>
      <c r="B1013" s="1">
        <v>42</v>
      </c>
      <c r="C1013" s="1" t="s">
        <v>18</v>
      </c>
      <c r="D1013" s="1">
        <v>1</v>
      </c>
      <c r="E1013" s="1" t="s">
        <v>147</v>
      </c>
      <c r="F1013" s="1">
        <v>19</v>
      </c>
      <c r="G1013" s="1">
        <v>21</v>
      </c>
      <c r="H1013" s="1" t="s">
        <v>30</v>
      </c>
      <c r="I1013" s="1" t="s">
        <v>384</v>
      </c>
      <c r="J1013" s="1" t="s">
        <v>238</v>
      </c>
      <c r="K1013" s="1" t="s">
        <v>227</v>
      </c>
      <c r="L1013" s="1" t="s">
        <v>354</v>
      </c>
      <c r="M1013" t="str">
        <f t="shared" si="90"/>
        <v>Gassner</v>
      </c>
      <c r="N1013" t="str">
        <f t="shared" si="91"/>
        <v>K. Eigenmann</v>
      </c>
      <c r="O1013" t="str">
        <f t="shared" si="92"/>
        <v>Vankemenade</v>
      </c>
      <c r="P1013" t="str">
        <f t="shared" si="93"/>
        <v>Teisseyre</v>
      </c>
      <c r="Q1013">
        <f t="shared" si="94"/>
        <v>0</v>
      </c>
      <c r="R1013" t="str">
        <f t="shared" si="95"/>
        <v>Gassner-K. Eigenmann-Vankemenade-Teisseyre</v>
      </c>
    </row>
    <row r="1014" spans="1:18" x14ac:dyDescent="0.25">
      <c r="A1014" s="1" t="s">
        <v>217</v>
      </c>
      <c r="B1014" s="1">
        <v>45</v>
      </c>
      <c r="C1014" s="1" t="s">
        <v>21</v>
      </c>
      <c r="D1014" s="1">
        <v>1</v>
      </c>
      <c r="E1014" s="1" t="s">
        <v>147</v>
      </c>
      <c r="F1014" s="1">
        <v>15</v>
      </c>
      <c r="G1014" s="1">
        <v>21</v>
      </c>
      <c r="H1014" s="1" t="s">
        <v>30</v>
      </c>
      <c r="I1014" s="1" t="s">
        <v>278</v>
      </c>
      <c r="J1014" s="1" t="s">
        <v>243</v>
      </c>
      <c r="K1014" s="1" t="s">
        <v>227</v>
      </c>
      <c r="L1014" s="1" t="s">
        <v>354</v>
      </c>
      <c r="M1014" t="str">
        <f t="shared" si="90"/>
        <v>Kunz</v>
      </c>
      <c r="N1014" t="str">
        <f t="shared" si="91"/>
        <v>Nenz</v>
      </c>
      <c r="O1014" t="str">
        <f t="shared" si="92"/>
        <v>Delbecke</v>
      </c>
      <c r="P1014" t="str">
        <f t="shared" si="93"/>
        <v>Van der Stichelen</v>
      </c>
      <c r="Q1014">
        <f t="shared" si="94"/>
        <v>0</v>
      </c>
      <c r="R1014" t="str">
        <f t="shared" si="95"/>
        <v>Kunz-Nenz-Delbecke-Van der Stichelen</v>
      </c>
    </row>
    <row r="1015" spans="1:18" x14ac:dyDescent="0.25">
      <c r="A1015" s="1" t="s">
        <v>217</v>
      </c>
      <c r="B1015" s="1">
        <v>48</v>
      </c>
      <c r="C1015" s="1" t="s">
        <v>24</v>
      </c>
      <c r="D1015" s="1">
        <v>1</v>
      </c>
      <c r="E1015" s="1" t="s">
        <v>147</v>
      </c>
      <c r="F1015" s="1">
        <v>17</v>
      </c>
      <c r="G1015" s="1">
        <v>21</v>
      </c>
      <c r="H1015" s="1" t="s">
        <v>30</v>
      </c>
      <c r="I1015" s="1" t="s">
        <v>281</v>
      </c>
      <c r="J1015" s="1" t="s">
        <v>248</v>
      </c>
      <c r="K1015" s="1" t="s">
        <v>227</v>
      </c>
      <c r="L1015" s="1" t="s">
        <v>354</v>
      </c>
      <c r="M1015" t="str">
        <f t="shared" si="90"/>
        <v>Wiedmer</v>
      </c>
      <c r="N1015" t="str">
        <f t="shared" si="91"/>
        <v>Kunz</v>
      </c>
      <c r="O1015" t="str">
        <f t="shared" si="92"/>
        <v>Jubault</v>
      </c>
      <c r="P1015" t="str">
        <f t="shared" si="93"/>
        <v>Dumesnil</v>
      </c>
      <c r="Q1015">
        <f t="shared" si="94"/>
        <v>0</v>
      </c>
      <c r="R1015" t="str">
        <f t="shared" si="95"/>
        <v>Wiedmer-Kunz-Jubault-Dumesnil</v>
      </c>
    </row>
    <row r="1016" spans="1:18" x14ac:dyDescent="0.25">
      <c r="A1016" s="1" t="s">
        <v>217</v>
      </c>
      <c r="B1016" s="1">
        <v>51</v>
      </c>
      <c r="C1016" s="1" t="s">
        <v>27</v>
      </c>
      <c r="D1016" s="1">
        <v>1</v>
      </c>
      <c r="E1016" s="1" t="s">
        <v>147</v>
      </c>
      <c r="F1016" s="1">
        <v>21</v>
      </c>
      <c r="G1016" s="1">
        <v>16</v>
      </c>
      <c r="H1016" s="1" t="s">
        <v>30</v>
      </c>
      <c r="I1016" s="1" t="s">
        <v>284</v>
      </c>
      <c r="J1016" s="1" t="s">
        <v>410</v>
      </c>
      <c r="K1016" s="1" t="s">
        <v>227</v>
      </c>
      <c r="L1016" s="1" t="s">
        <v>354</v>
      </c>
      <c r="M1016" t="str">
        <f t="shared" si="90"/>
        <v>Schiegg</v>
      </c>
      <c r="N1016" t="str">
        <f t="shared" si="91"/>
        <v>Amsler</v>
      </c>
      <c r="O1016" t="str">
        <f t="shared" si="92"/>
        <v>Alderweireldt</v>
      </c>
      <c r="P1016" t="str">
        <f t="shared" si="93"/>
        <v>Jon. Neyens</v>
      </c>
      <c r="Q1016">
        <f t="shared" si="94"/>
        <v>1</v>
      </c>
      <c r="R1016" t="str">
        <f t="shared" si="95"/>
        <v>Schiegg-Amsler-Alderweireldt-Jon. Neyens</v>
      </c>
    </row>
    <row r="1017" spans="1:18" x14ac:dyDescent="0.25">
      <c r="A1017" s="1" t="s">
        <v>217</v>
      </c>
      <c r="B1017" s="1">
        <v>57</v>
      </c>
      <c r="C1017" s="1" t="s">
        <v>12</v>
      </c>
      <c r="D1017" s="1">
        <v>1</v>
      </c>
      <c r="E1017" s="1" t="s">
        <v>194</v>
      </c>
      <c r="F1017" s="1">
        <v>25</v>
      </c>
      <c r="G1017" s="1">
        <v>23</v>
      </c>
      <c r="H1017" s="1" t="s">
        <v>155</v>
      </c>
      <c r="I1017" s="1" t="s">
        <v>270</v>
      </c>
      <c r="J1017" s="1" t="s">
        <v>257</v>
      </c>
      <c r="K1017" s="1" t="s">
        <v>227</v>
      </c>
      <c r="L1017" s="1" t="s">
        <v>354</v>
      </c>
      <c r="M1017" t="str">
        <f t="shared" si="90"/>
        <v>Aspirot</v>
      </c>
      <c r="N1017" t="str">
        <f t="shared" si="91"/>
        <v>Tardy</v>
      </c>
      <c r="O1017" t="str">
        <f t="shared" si="92"/>
        <v>Rossetto</v>
      </c>
      <c r="P1017" t="str">
        <f t="shared" si="93"/>
        <v>Zanella</v>
      </c>
      <c r="Q1017">
        <f t="shared" si="94"/>
        <v>1</v>
      </c>
      <c r="R1017" t="str">
        <f t="shared" si="95"/>
        <v>Aspirot-Tardy-Rossetto-Zanella</v>
      </c>
    </row>
    <row r="1018" spans="1:18" x14ac:dyDescent="0.25">
      <c r="A1018" s="1" t="s">
        <v>217</v>
      </c>
      <c r="B1018" s="1">
        <v>60</v>
      </c>
      <c r="C1018" s="1" t="s">
        <v>18</v>
      </c>
      <c r="D1018" s="1">
        <v>1</v>
      </c>
      <c r="E1018" s="1" t="s">
        <v>194</v>
      </c>
      <c r="F1018" s="1">
        <v>21</v>
      </c>
      <c r="G1018" s="1">
        <v>19</v>
      </c>
      <c r="H1018" s="1" t="s">
        <v>155</v>
      </c>
      <c r="I1018" s="1" t="s">
        <v>393</v>
      </c>
      <c r="J1018" s="1" t="s">
        <v>260</v>
      </c>
      <c r="K1018" s="1" t="s">
        <v>227</v>
      </c>
      <c r="L1018" s="1" t="s">
        <v>354</v>
      </c>
      <c r="M1018" t="str">
        <f t="shared" si="90"/>
        <v>Fonseca</v>
      </c>
      <c r="N1018" t="str">
        <f t="shared" si="91"/>
        <v>J. Leung</v>
      </c>
      <c r="O1018" t="str">
        <f t="shared" si="92"/>
        <v>Patat</v>
      </c>
      <c r="P1018" t="str">
        <f t="shared" si="93"/>
        <v>Pernigo</v>
      </c>
      <c r="Q1018">
        <f t="shared" si="94"/>
        <v>1</v>
      </c>
      <c r="R1018" t="str">
        <f t="shared" si="95"/>
        <v>Fonseca-J. Leung-Patat-Pernigo</v>
      </c>
    </row>
    <row r="1019" spans="1:18" x14ac:dyDescent="0.25">
      <c r="A1019" s="1" t="s">
        <v>217</v>
      </c>
      <c r="B1019" s="1">
        <v>63</v>
      </c>
      <c r="C1019" s="1" t="s">
        <v>21</v>
      </c>
      <c r="D1019" s="1">
        <v>1</v>
      </c>
      <c r="E1019" s="1" t="s">
        <v>194</v>
      </c>
      <c r="F1019" s="1">
        <v>21</v>
      </c>
      <c r="G1019" s="1">
        <v>12</v>
      </c>
      <c r="H1019" s="1" t="s">
        <v>155</v>
      </c>
      <c r="I1019" s="1" t="s">
        <v>276</v>
      </c>
      <c r="J1019" s="1" t="s">
        <v>263</v>
      </c>
      <c r="K1019" s="1" t="s">
        <v>227</v>
      </c>
      <c r="L1019" s="1" t="s">
        <v>354</v>
      </c>
      <c r="M1019" t="str">
        <f t="shared" si="90"/>
        <v>Vallee</v>
      </c>
      <c r="N1019" t="str">
        <f t="shared" si="91"/>
        <v>Couroux</v>
      </c>
      <c r="O1019" t="str">
        <f t="shared" si="92"/>
        <v>Augello</v>
      </c>
      <c r="P1019" t="str">
        <f t="shared" si="93"/>
        <v>Del Pioluogo</v>
      </c>
      <c r="Q1019">
        <f t="shared" si="94"/>
        <v>1</v>
      </c>
      <c r="R1019" t="str">
        <f t="shared" si="95"/>
        <v>Vallee-Couroux-Augello-Del Pioluogo</v>
      </c>
    </row>
    <row r="1020" spans="1:18" x14ac:dyDescent="0.25">
      <c r="A1020" s="1" t="s">
        <v>217</v>
      </c>
      <c r="B1020" s="1">
        <v>66</v>
      </c>
      <c r="C1020" s="1" t="s">
        <v>24</v>
      </c>
      <c r="D1020" s="1">
        <v>1</v>
      </c>
      <c r="E1020" s="1" t="s">
        <v>194</v>
      </c>
      <c r="F1020" s="1">
        <v>21</v>
      </c>
      <c r="G1020" s="1">
        <v>18</v>
      </c>
      <c r="H1020" s="1" t="s">
        <v>155</v>
      </c>
      <c r="I1020" s="1" t="s">
        <v>279</v>
      </c>
      <c r="J1020" s="1" t="s">
        <v>365</v>
      </c>
      <c r="K1020" s="1" t="s">
        <v>227</v>
      </c>
      <c r="L1020" s="1" t="s">
        <v>354</v>
      </c>
      <c r="M1020" t="str">
        <f t="shared" si="90"/>
        <v>Boucher-Gratton</v>
      </c>
      <c r="N1020" t="str">
        <f t="shared" si="91"/>
        <v>Cunningham</v>
      </c>
      <c r="O1020" t="str">
        <f t="shared" si="92"/>
        <v>Biondini</v>
      </c>
      <c r="P1020" t="str">
        <f t="shared" si="93"/>
        <v>canu</v>
      </c>
      <c r="Q1020">
        <f t="shared" si="94"/>
        <v>1</v>
      </c>
      <c r="R1020" t="str">
        <f t="shared" si="95"/>
        <v>Boucher-Gratton-Cunningham-Biondini-canu</v>
      </c>
    </row>
    <row r="1021" spans="1:18" x14ac:dyDescent="0.25">
      <c r="A1021" s="1" t="s">
        <v>217</v>
      </c>
      <c r="B1021" s="1">
        <v>69</v>
      </c>
      <c r="C1021" s="1" t="s">
        <v>27</v>
      </c>
      <c r="D1021" s="1">
        <v>1</v>
      </c>
      <c r="E1021" s="1" t="s">
        <v>194</v>
      </c>
      <c r="F1021" s="1">
        <v>21</v>
      </c>
      <c r="G1021" s="1">
        <v>15</v>
      </c>
      <c r="H1021" s="1" t="s">
        <v>155</v>
      </c>
      <c r="I1021" s="1" t="s">
        <v>282</v>
      </c>
      <c r="J1021" s="1" t="s">
        <v>268</v>
      </c>
      <c r="K1021" s="1" t="s">
        <v>227</v>
      </c>
      <c r="L1021" s="1" t="s">
        <v>354</v>
      </c>
      <c r="M1021" t="str">
        <f t="shared" si="90"/>
        <v>Yu</v>
      </c>
      <c r="N1021" t="str">
        <f t="shared" si="91"/>
        <v>Diaz</v>
      </c>
      <c r="O1021" t="str">
        <f t="shared" si="92"/>
        <v>Ferragina</v>
      </c>
      <c r="P1021" t="str">
        <f t="shared" si="93"/>
        <v>Lucchiari</v>
      </c>
      <c r="Q1021">
        <f t="shared" si="94"/>
        <v>1</v>
      </c>
      <c r="R1021" t="str">
        <f t="shared" si="95"/>
        <v>Yu-Diaz-Ferragina-Lucchiari</v>
      </c>
    </row>
    <row r="1022" spans="1:18" x14ac:dyDescent="0.25">
      <c r="A1022" s="1" t="s">
        <v>217</v>
      </c>
      <c r="B1022" s="1">
        <v>75</v>
      </c>
      <c r="C1022" s="1" t="s">
        <v>12</v>
      </c>
      <c r="D1022" s="1">
        <v>1</v>
      </c>
      <c r="E1022" s="1" t="s">
        <v>31</v>
      </c>
      <c r="F1022" s="1">
        <v>0</v>
      </c>
      <c r="G1022" s="1">
        <v>1</v>
      </c>
      <c r="H1022" s="1" t="s">
        <v>181</v>
      </c>
      <c r="I1022" s="1" t="s">
        <v>421</v>
      </c>
      <c r="J1022" s="1" t="s">
        <v>291</v>
      </c>
      <c r="K1022" s="1" t="s">
        <v>228</v>
      </c>
      <c r="L1022" s="1" t="s">
        <v>354</v>
      </c>
      <c r="M1022" t="str">
        <f t="shared" si="90"/>
        <v>A. Chang</v>
      </c>
      <c r="N1022" t="str">
        <f t="shared" si="91"/>
        <v>S. Ding</v>
      </c>
      <c r="O1022" t="str">
        <f t="shared" si="92"/>
        <v>Bak</v>
      </c>
      <c r="P1022" t="str">
        <f t="shared" si="93"/>
        <v>Bloch</v>
      </c>
      <c r="Q1022">
        <f t="shared" si="94"/>
        <v>0</v>
      </c>
      <c r="R1022" t="str">
        <f t="shared" si="95"/>
        <v>A. Chang-S. Ding-Bak-Bloch</v>
      </c>
    </row>
    <row r="1023" spans="1:18" x14ac:dyDescent="0.25">
      <c r="A1023" s="1" t="s">
        <v>217</v>
      </c>
      <c r="B1023" s="1">
        <v>78</v>
      </c>
      <c r="C1023" s="1" t="s">
        <v>18</v>
      </c>
      <c r="D1023" s="1">
        <v>1</v>
      </c>
      <c r="E1023" s="1" t="s">
        <v>31</v>
      </c>
      <c r="F1023" s="1">
        <v>0</v>
      </c>
      <c r="G1023" s="1">
        <v>1</v>
      </c>
      <c r="H1023" s="1" t="s">
        <v>181</v>
      </c>
      <c r="I1023" s="1" t="s">
        <v>292</v>
      </c>
      <c r="J1023" s="1" t="s">
        <v>293</v>
      </c>
      <c r="K1023" s="1" t="s">
        <v>228</v>
      </c>
      <c r="L1023" s="1" t="s">
        <v>354</v>
      </c>
      <c r="M1023" t="str">
        <f t="shared" si="90"/>
        <v>Yang</v>
      </c>
      <c r="N1023" t="str">
        <f t="shared" si="91"/>
        <v>T. Ding</v>
      </c>
      <c r="O1023" t="str">
        <f t="shared" si="92"/>
        <v>Flensted</v>
      </c>
      <c r="P1023" t="str">
        <f t="shared" si="93"/>
        <v>Hillebro</v>
      </c>
      <c r="Q1023">
        <f t="shared" si="94"/>
        <v>0</v>
      </c>
      <c r="R1023" t="str">
        <f t="shared" si="95"/>
        <v>Yang-T. Ding-Flensted-Hillebro</v>
      </c>
    </row>
    <row r="1024" spans="1:18" x14ac:dyDescent="0.25">
      <c r="A1024" s="1" t="s">
        <v>217</v>
      </c>
      <c r="B1024" s="1">
        <v>81</v>
      </c>
      <c r="C1024" s="1" t="s">
        <v>21</v>
      </c>
      <c r="D1024" s="1">
        <v>1</v>
      </c>
      <c r="E1024" s="1" t="s">
        <v>31</v>
      </c>
      <c r="F1024" s="1">
        <v>0</v>
      </c>
      <c r="G1024" s="1">
        <v>1</v>
      </c>
      <c r="H1024" s="1" t="s">
        <v>181</v>
      </c>
      <c r="I1024" s="1" t="s">
        <v>406</v>
      </c>
      <c r="J1024" s="1" t="s">
        <v>295</v>
      </c>
      <c r="K1024" s="1" t="s">
        <v>228</v>
      </c>
      <c r="L1024" s="1" t="s">
        <v>354</v>
      </c>
      <c r="M1024" t="str">
        <f t="shared" si="90"/>
        <v>Lu</v>
      </c>
      <c r="N1024" t="str">
        <f t="shared" si="91"/>
        <v>Jer. Lee</v>
      </c>
      <c r="O1024" t="str">
        <f t="shared" si="92"/>
        <v>Enevoldsen</v>
      </c>
      <c r="P1024" t="str">
        <f t="shared" si="93"/>
        <v>Sepstrup</v>
      </c>
      <c r="Q1024">
        <f t="shared" si="94"/>
        <v>0</v>
      </c>
      <c r="R1024" t="str">
        <f t="shared" si="95"/>
        <v>Lu-Jer. Lee-Enevoldsen-Sepstrup</v>
      </c>
    </row>
    <row r="1025" spans="1:18" x14ac:dyDescent="0.25">
      <c r="A1025" s="1" t="s">
        <v>217</v>
      </c>
      <c r="B1025" s="1">
        <v>84</v>
      </c>
      <c r="C1025" s="1" t="s">
        <v>24</v>
      </c>
      <c r="D1025" s="1">
        <v>1</v>
      </c>
      <c r="E1025" s="1" t="s">
        <v>31</v>
      </c>
      <c r="F1025" s="1">
        <v>1</v>
      </c>
      <c r="G1025" s="1">
        <v>0</v>
      </c>
      <c r="H1025" s="1" t="s">
        <v>181</v>
      </c>
      <c r="I1025" s="1" t="s">
        <v>414</v>
      </c>
      <c r="J1025" s="1" t="s">
        <v>297</v>
      </c>
      <c r="K1025" s="1" t="s">
        <v>228</v>
      </c>
      <c r="L1025" s="1" t="s">
        <v>354</v>
      </c>
      <c r="M1025" t="str">
        <f t="shared" si="90"/>
        <v>P. Kuo</v>
      </c>
      <c r="N1025" t="str">
        <f t="shared" si="91"/>
        <v>Mic. Chen</v>
      </c>
      <c r="O1025" t="str">
        <f t="shared" si="92"/>
        <v>Andreassen</v>
      </c>
      <c r="P1025" t="str">
        <f t="shared" si="93"/>
        <v>Lund</v>
      </c>
      <c r="Q1025">
        <f t="shared" si="94"/>
        <v>1</v>
      </c>
      <c r="R1025" t="str">
        <f t="shared" si="95"/>
        <v>P. Kuo-Mic. Chen-Andreassen-Lund</v>
      </c>
    </row>
    <row r="1026" spans="1:18" x14ac:dyDescent="0.25">
      <c r="A1026" s="1" t="s">
        <v>217</v>
      </c>
      <c r="B1026" s="1">
        <v>87</v>
      </c>
      <c r="C1026" s="1" t="s">
        <v>27</v>
      </c>
      <c r="D1026" s="1">
        <v>1</v>
      </c>
      <c r="E1026" s="1" t="s">
        <v>31</v>
      </c>
      <c r="F1026" s="1">
        <v>1</v>
      </c>
      <c r="G1026" s="1">
        <v>0</v>
      </c>
      <c r="H1026" s="1" t="s">
        <v>181</v>
      </c>
      <c r="I1026" s="1" t="s">
        <v>298</v>
      </c>
      <c r="J1026" s="1" t="s">
        <v>424</v>
      </c>
      <c r="K1026" s="1" t="s">
        <v>228</v>
      </c>
      <c r="L1026" s="1" t="s">
        <v>354</v>
      </c>
      <c r="M1026" t="str">
        <f t="shared" ref="M1026:M1089" si="96">_xlfn.TEXTBEFORE(I1026,"/")</f>
        <v>Lin</v>
      </c>
      <c r="N1026" t="str">
        <f t="shared" ref="N1026:N1089" si="97">_xlfn.TEXTAFTER(I1026,"/ ")</f>
        <v>Cheng</v>
      </c>
      <c r="O1026" t="str">
        <f t="shared" ref="O1026:O1089" si="98">_xlfn.TEXTBEFORE(J1026,"/")</f>
        <v>Gregersen</v>
      </c>
      <c r="P1026" t="str">
        <f t="shared" ref="P1026:P1089" si="99">_xlfn.TEXTAFTER(J1026,"/ ")</f>
        <v>MH. Chang</v>
      </c>
      <c r="Q1026">
        <f t="shared" ref="Q1026:Q1089" si="100">IF(F1026&gt;G1026,1,0)</f>
        <v>1</v>
      </c>
      <c r="R1026" t="str">
        <f t="shared" ref="R1026:R1089" si="101">_xlfn.TEXTJOIN("-",TRUE,M1026,N1026,O1026,P1026)</f>
        <v>Lin-Cheng-Gregersen-MH. Chang</v>
      </c>
    </row>
    <row r="1027" spans="1:18" x14ac:dyDescent="0.25">
      <c r="A1027" s="1" t="s">
        <v>217</v>
      </c>
      <c r="B1027" s="1">
        <v>93</v>
      </c>
      <c r="C1027" s="1" t="s">
        <v>12</v>
      </c>
      <c r="D1027" s="1">
        <v>1</v>
      </c>
      <c r="E1027" s="1" t="s">
        <v>169</v>
      </c>
      <c r="F1027" s="1">
        <v>21</v>
      </c>
      <c r="G1027" s="1">
        <v>11</v>
      </c>
      <c r="H1027" s="1" t="s">
        <v>182</v>
      </c>
      <c r="I1027" s="1" t="s">
        <v>256</v>
      </c>
      <c r="J1027" s="1" t="s">
        <v>271</v>
      </c>
      <c r="K1027" s="1" t="s">
        <v>228</v>
      </c>
      <c r="L1027" s="1" t="s">
        <v>354</v>
      </c>
      <c r="M1027" t="str">
        <f t="shared" si="96"/>
        <v>Mollberg</v>
      </c>
      <c r="N1027" t="str">
        <f t="shared" si="97"/>
        <v>Westerland</v>
      </c>
      <c r="O1027" t="str">
        <f t="shared" si="98"/>
        <v>Molina</v>
      </c>
      <c r="P1027" t="str">
        <f t="shared" si="99"/>
        <v>Gebel</v>
      </c>
      <c r="Q1027">
        <f t="shared" si="100"/>
        <v>1</v>
      </c>
      <c r="R1027" t="str">
        <f t="shared" si="101"/>
        <v>Mollberg-Westerland-Molina-Gebel</v>
      </c>
    </row>
    <row r="1028" spans="1:18" x14ac:dyDescent="0.25">
      <c r="A1028" s="1" t="s">
        <v>217</v>
      </c>
      <c r="B1028" s="1">
        <v>96</v>
      </c>
      <c r="C1028" s="1" t="s">
        <v>18</v>
      </c>
      <c r="D1028" s="1">
        <v>1</v>
      </c>
      <c r="E1028" s="1" t="s">
        <v>169</v>
      </c>
      <c r="F1028" s="1">
        <v>20</v>
      </c>
      <c r="G1028" s="1">
        <v>22</v>
      </c>
      <c r="H1028" s="1" t="s">
        <v>182</v>
      </c>
      <c r="I1028" s="1" t="s">
        <v>259</v>
      </c>
      <c r="J1028" s="1" t="s">
        <v>394</v>
      </c>
      <c r="K1028" s="1" t="s">
        <v>228</v>
      </c>
      <c r="L1028" s="1" t="s">
        <v>354</v>
      </c>
      <c r="M1028" t="str">
        <f t="shared" si="96"/>
        <v>Elmblad</v>
      </c>
      <c r="N1028" t="str">
        <f t="shared" si="97"/>
        <v>Hedman</v>
      </c>
      <c r="O1028" t="str">
        <f t="shared" si="98"/>
        <v>R. Martin</v>
      </c>
      <c r="P1028" t="str">
        <f t="shared" si="99"/>
        <v>Villamariz</v>
      </c>
      <c r="Q1028">
        <f t="shared" si="100"/>
        <v>0</v>
      </c>
      <c r="R1028" t="str">
        <f t="shared" si="101"/>
        <v>Elmblad-Hedman-R. Martin-Villamariz</v>
      </c>
    </row>
    <row r="1029" spans="1:18" x14ac:dyDescent="0.25">
      <c r="A1029" s="1" t="s">
        <v>217</v>
      </c>
      <c r="B1029" s="1">
        <v>99</v>
      </c>
      <c r="C1029" s="1" t="s">
        <v>21</v>
      </c>
      <c r="D1029" s="1">
        <v>1</v>
      </c>
      <c r="E1029" s="1" t="s">
        <v>169</v>
      </c>
      <c r="F1029" s="1">
        <v>12</v>
      </c>
      <c r="G1029" s="1">
        <v>21</v>
      </c>
      <c r="H1029" s="1" t="s">
        <v>182</v>
      </c>
      <c r="I1029" s="1" t="s">
        <v>262</v>
      </c>
      <c r="J1029" s="1" t="s">
        <v>277</v>
      </c>
      <c r="K1029" s="1" t="s">
        <v>228</v>
      </c>
      <c r="L1029" s="1" t="s">
        <v>354</v>
      </c>
      <c r="M1029" t="str">
        <f t="shared" si="96"/>
        <v>Dahlquist</v>
      </c>
      <c r="N1029" t="str">
        <f t="shared" si="97"/>
        <v>Gustavsson</v>
      </c>
      <c r="O1029" t="str">
        <f t="shared" si="98"/>
        <v>Thieren</v>
      </c>
      <c r="P1029" t="str">
        <f t="shared" si="99"/>
        <v>Hernández</v>
      </c>
      <c r="Q1029">
        <f t="shared" si="100"/>
        <v>0</v>
      </c>
      <c r="R1029" t="str">
        <f t="shared" si="101"/>
        <v>Dahlquist-Gustavsson-Thieren-Hernández</v>
      </c>
    </row>
    <row r="1030" spans="1:18" x14ac:dyDescent="0.25">
      <c r="A1030" s="1" t="s">
        <v>217</v>
      </c>
      <c r="B1030" s="1">
        <v>102</v>
      </c>
      <c r="C1030" s="1" t="s">
        <v>24</v>
      </c>
      <c r="D1030" s="1">
        <v>1</v>
      </c>
      <c r="E1030" s="1" t="s">
        <v>169</v>
      </c>
      <c r="F1030" s="1">
        <v>10</v>
      </c>
      <c r="G1030" s="1">
        <v>21</v>
      </c>
      <c r="H1030" s="1" t="s">
        <v>182</v>
      </c>
      <c r="I1030" s="1" t="s">
        <v>265</v>
      </c>
      <c r="J1030" s="1" t="s">
        <v>280</v>
      </c>
      <c r="K1030" s="1" t="s">
        <v>228</v>
      </c>
      <c r="L1030" s="1" t="s">
        <v>354</v>
      </c>
      <c r="M1030" t="str">
        <f t="shared" si="96"/>
        <v>Häggqvist</v>
      </c>
      <c r="N1030" t="str">
        <f t="shared" si="97"/>
        <v>Hugosson</v>
      </c>
      <c r="O1030" t="str">
        <f t="shared" si="98"/>
        <v>Andreu</v>
      </c>
      <c r="P1030" t="str">
        <f t="shared" si="99"/>
        <v>Valiente</v>
      </c>
      <c r="Q1030">
        <f t="shared" si="100"/>
        <v>0</v>
      </c>
      <c r="R1030" t="str">
        <f t="shared" si="101"/>
        <v>Häggqvist-Hugosson-Andreu-Valiente</v>
      </c>
    </row>
    <row r="1031" spans="1:18" x14ac:dyDescent="0.25">
      <c r="A1031" s="1" t="s">
        <v>217</v>
      </c>
      <c r="B1031" s="1">
        <v>105</v>
      </c>
      <c r="C1031" s="1" t="s">
        <v>27</v>
      </c>
      <c r="D1031" s="1">
        <v>1</v>
      </c>
      <c r="E1031" s="1" t="s">
        <v>169</v>
      </c>
      <c r="F1031" s="1">
        <v>17</v>
      </c>
      <c r="G1031" s="1">
        <v>21</v>
      </c>
      <c r="H1031" s="1" t="s">
        <v>182</v>
      </c>
      <c r="I1031" s="1" t="s">
        <v>269</v>
      </c>
      <c r="J1031" s="1" t="s">
        <v>283</v>
      </c>
      <c r="K1031" s="1" t="s">
        <v>228</v>
      </c>
      <c r="L1031" s="1" t="s">
        <v>354</v>
      </c>
      <c r="M1031" t="str">
        <f t="shared" si="96"/>
        <v>Almgren</v>
      </c>
      <c r="N1031" t="str">
        <f t="shared" si="97"/>
        <v>Fransson</v>
      </c>
      <c r="O1031" t="str">
        <f t="shared" si="98"/>
        <v>Roca</v>
      </c>
      <c r="P1031" t="str">
        <f t="shared" si="99"/>
        <v>Jiménez</v>
      </c>
      <c r="Q1031">
        <f t="shared" si="100"/>
        <v>0</v>
      </c>
      <c r="R1031" t="str">
        <f t="shared" si="101"/>
        <v>Almgren-Fransson-Roca-Jiménez</v>
      </c>
    </row>
    <row r="1032" spans="1:18" x14ac:dyDescent="0.25">
      <c r="A1032" s="1" t="s">
        <v>11</v>
      </c>
      <c r="B1032" s="1">
        <v>94</v>
      </c>
      <c r="C1032" s="1" t="s">
        <v>12</v>
      </c>
      <c r="D1032" s="1">
        <v>2</v>
      </c>
      <c r="E1032" s="1" t="s">
        <v>169</v>
      </c>
      <c r="F1032" s="1">
        <v>1</v>
      </c>
      <c r="G1032" s="1">
        <v>0</v>
      </c>
      <c r="H1032" s="1" t="s">
        <v>31</v>
      </c>
      <c r="I1032" s="1" t="s">
        <v>256</v>
      </c>
      <c r="J1032" s="1" t="s">
        <v>421</v>
      </c>
      <c r="K1032" s="1" t="s">
        <v>17</v>
      </c>
      <c r="L1032" s="1" t="s">
        <v>354</v>
      </c>
      <c r="M1032" t="str">
        <f t="shared" si="96"/>
        <v>Mollberg</v>
      </c>
      <c r="N1032" t="str">
        <f t="shared" si="97"/>
        <v>Westerland</v>
      </c>
      <c r="O1032" t="str">
        <f t="shared" si="98"/>
        <v>A. Chang</v>
      </c>
      <c r="P1032" t="str">
        <f t="shared" si="99"/>
        <v>S. Ding</v>
      </c>
      <c r="Q1032">
        <f t="shared" si="100"/>
        <v>1</v>
      </c>
      <c r="R1032" t="str">
        <f t="shared" si="101"/>
        <v>Mollberg-Westerland-A. Chang-S. Ding</v>
      </c>
    </row>
    <row r="1033" spans="1:18" x14ac:dyDescent="0.25">
      <c r="A1033" s="1" t="s">
        <v>11</v>
      </c>
      <c r="B1033" s="1">
        <v>97</v>
      </c>
      <c r="C1033" s="1" t="s">
        <v>18</v>
      </c>
      <c r="D1033" s="1">
        <v>2</v>
      </c>
      <c r="E1033" s="1" t="s">
        <v>169</v>
      </c>
      <c r="F1033" s="1">
        <v>1</v>
      </c>
      <c r="G1033" s="1">
        <v>0</v>
      </c>
      <c r="H1033" s="1" t="s">
        <v>31</v>
      </c>
      <c r="I1033" s="1" t="s">
        <v>259</v>
      </c>
      <c r="J1033" s="1" t="s">
        <v>292</v>
      </c>
      <c r="K1033" s="1" t="s">
        <v>17</v>
      </c>
      <c r="L1033" s="1" t="s">
        <v>354</v>
      </c>
      <c r="M1033" t="str">
        <f t="shared" si="96"/>
        <v>Elmblad</v>
      </c>
      <c r="N1033" t="str">
        <f t="shared" si="97"/>
        <v>Hedman</v>
      </c>
      <c r="O1033" t="str">
        <f t="shared" si="98"/>
        <v>Yang</v>
      </c>
      <c r="P1033" t="str">
        <f t="shared" si="99"/>
        <v>T. Ding</v>
      </c>
      <c r="Q1033">
        <f t="shared" si="100"/>
        <v>1</v>
      </c>
      <c r="R1033" t="str">
        <f t="shared" si="101"/>
        <v>Elmblad-Hedman-Yang-T. Ding</v>
      </c>
    </row>
    <row r="1034" spans="1:18" x14ac:dyDescent="0.25">
      <c r="A1034" s="1" t="s">
        <v>11</v>
      </c>
      <c r="B1034" s="1">
        <v>100</v>
      </c>
      <c r="C1034" s="1" t="s">
        <v>21</v>
      </c>
      <c r="D1034" s="1">
        <v>2</v>
      </c>
      <c r="E1034" s="1" t="s">
        <v>169</v>
      </c>
      <c r="F1034" s="1">
        <v>1</v>
      </c>
      <c r="G1034" s="1">
        <v>0</v>
      </c>
      <c r="H1034" s="1" t="s">
        <v>31</v>
      </c>
      <c r="I1034" s="1" t="s">
        <v>262</v>
      </c>
      <c r="J1034" s="1" t="s">
        <v>406</v>
      </c>
      <c r="K1034" s="1" t="s">
        <v>17</v>
      </c>
      <c r="L1034" s="1" t="s">
        <v>354</v>
      </c>
      <c r="M1034" t="str">
        <f t="shared" si="96"/>
        <v>Dahlquist</v>
      </c>
      <c r="N1034" t="str">
        <f t="shared" si="97"/>
        <v>Gustavsson</v>
      </c>
      <c r="O1034" t="str">
        <f t="shared" si="98"/>
        <v>Lu</v>
      </c>
      <c r="P1034" t="str">
        <f t="shared" si="99"/>
        <v>Jer. Lee</v>
      </c>
      <c r="Q1034">
        <f t="shared" si="100"/>
        <v>1</v>
      </c>
      <c r="R1034" t="str">
        <f t="shared" si="101"/>
        <v>Dahlquist-Gustavsson-Lu-Jer. Lee</v>
      </c>
    </row>
    <row r="1035" spans="1:18" x14ac:dyDescent="0.25">
      <c r="A1035" s="1" t="s">
        <v>11</v>
      </c>
      <c r="B1035" s="1">
        <v>102</v>
      </c>
      <c r="C1035" s="1" t="s">
        <v>24</v>
      </c>
      <c r="D1035" s="1">
        <v>1</v>
      </c>
      <c r="E1035" s="1" t="s">
        <v>169</v>
      </c>
      <c r="F1035" s="1">
        <v>0</v>
      </c>
      <c r="G1035" s="1">
        <v>1</v>
      </c>
      <c r="H1035" s="1" t="s">
        <v>31</v>
      </c>
      <c r="I1035" s="1" t="s">
        <v>265</v>
      </c>
      <c r="J1035" s="1" t="s">
        <v>414</v>
      </c>
      <c r="K1035" s="1" t="s">
        <v>17</v>
      </c>
      <c r="L1035" s="1" t="s">
        <v>354</v>
      </c>
      <c r="M1035" t="str">
        <f t="shared" si="96"/>
        <v>Häggqvist</v>
      </c>
      <c r="N1035" t="str">
        <f t="shared" si="97"/>
        <v>Hugosson</v>
      </c>
      <c r="O1035" t="str">
        <f t="shared" si="98"/>
        <v>P. Kuo</v>
      </c>
      <c r="P1035" t="str">
        <f t="shared" si="99"/>
        <v>Mic. Chen</v>
      </c>
      <c r="Q1035">
        <f t="shared" si="100"/>
        <v>0</v>
      </c>
      <c r="R1035" t="str">
        <f t="shared" si="101"/>
        <v>Häggqvist-Hugosson-P. Kuo-Mic. Chen</v>
      </c>
    </row>
    <row r="1036" spans="1:18" x14ac:dyDescent="0.25">
      <c r="A1036" s="1" t="s">
        <v>11</v>
      </c>
      <c r="B1036" s="1">
        <v>105</v>
      </c>
      <c r="C1036" s="1" t="s">
        <v>27</v>
      </c>
      <c r="D1036" s="1">
        <v>1</v>
      </c>
      <c r="E1036" s="1" t="s">
        <v>169</v>
      </c>
      <c r="F1036" s="1">
        <v>0</v>
      </c>
      <c r="G1036" s="1">
        <v>1</v>
      </c>
      <c r="H1036" s="1" t="s">
        <v>31</v>
      </c>
      <c r="I1036" s="1" t="s">
        <v>269</v>
      </c>
      <c r="J1036" s="1" t="s">
        <v>298</v>
      </c>
      <c r="K1036" s="1" t="s">
        <v>17</v>
      </c>
      <c r="L1036" s="1" t="s">
        <v>354</v>
      </c>
      <c r="M1036" t="str">
        <f t="shared" si="96"/>
        <v>Almgren</v>
      </c>
      <c r="N1036" t="str">
        <f t="shared" si="97"/>
        <v>Fransson</v>
      </c>
      <c r="O1036" t="str">
        <f t="shared" si="98"/>
        <v>Lin</v>
      </c>
      <c r="P1036" t="str">
        <f t="shared" si="99"/>
        <v>Cheng</v>
      </c>
      <c r="Q1036">
        <f t="shared" si="100"/>
        <v>0</v>
      </c>
      <c r="R1036" t="str">
        <f t="shared" si="101"/>
        <v>Almgren-Fransson-Lin-Cheng</v>
      </c>
    </row>
    <row r="1037" spans="1:18" x14ac:dyDescent="0.25">
      <c r="A1037" s="1" t="s">
        <v>11</v>
      </c>
      <c r="B1037" s="1">
        <v>111</v>
      </c>
      <c r="C1037" s="1" t="s">
        <v>12</v>
      </c>
      <c r="D1037" s="1">
        <v>1</v>
      </c>
      <c r="E1037" s="1" t="s">
        <v>95</v>
      </c>
      <c r="F1037" s="1">
        <v>24</v>
      </c>
      <c r="G1037" s="1">
        <v>25</v>
      </c>
      <c r="H1037" s="1" t="s">
        <v>57</v>
      </c>
      <c r="I1037" s="1" t="s">
        <v>285</v>
      </c>
      <c r="J1037" s="1" t="s">
        <v>301</v>
      </c>
      <c r="K1037" s="1" t="s">
        <v>34</v>
      </c>
      <c r="L1037" s="1" t="s">
        <v>354</v>
      </c>
      <c r="M1037" t="str">
        <f t="shared" si="96"/>
        <v>Bouma</v>
      </c>
      <c r="N1037" t="str">
        <f t="shared" si="97"/>
        <v>Meijer</v>
      </c>
      <c r="O1037" t="str">
        <f t="shared" si="98"/>
        <v>Labonc</v>
      </c>
      <c r="P1037" t="str">
        <f t="shared" si="99"/>
        <v>Sencovici</v>
      </c>
      <c r="Q1037">
        <f t="shared" si="100"/>
        <v>0</v>
      </c>
      <c r="R1037" t="str">
        <f t="shared" si="101"/>
        <v>Bouma-Meijer-Labonc-Sencovici</v>
      </c>
    </row>
    <row r="1038" spans="1:18" x14ac:dyDescent="0.25">
      <c r="A1038" s="1" t="s">
        <v>11</v>
      </c>
      <c r="B1038" s="1">
        <v>114</v>
      </c>
      <c r="C1038" s="1" t="s">
        <v>18</v>
      </c>
      <c r="D1038" s="1">
        <v>1</v>
      </c>
      <c r="E1038" s="1" t="s">
        <v>95</v>
      </c>
      <c r="F1038" s="1">
        <v>14</v>
      </c>
      <c r="G1038" s="1">
        <v>21</v>
      </c>
      <c r="H1038" s="1" t="s">
        <v>57</v>
      </c>
      <c r="I1038" s="1" t="s">
        <v>286</v>
      </c>
      <c r="J1038" s="1" t="s">
        <v>303</v>
      </c>
      <c r="K1038" s="1" t="s">
        <v>34</v>
      </c>
      <c r="L1038" s="1" t="s">
        <v>354</v>
      </c>
      <c r="M1038" t="str">
        <f t="shared" si="96"/>
        <v>Shannon Dieltjes</v>
      </c>
      <c r="N1038" t="str">
        <f t="shared" si="97"/>
        <v>Shauny Dieltjes</v>
      </c>
      <c r="O1038" t="str">
        <f t="shared" si="98"/>
        <v>Pîrlea</v>
      </c>
      <c r="P1038" t="str">
        <f t="shared" si="99"/>
        <v>Tărășilă</v>
      </c>
      <c r="Q1038">
        <f t="shared" si="100"/>
        <v>0</v>
      </c>
      <c r="R1038" t="str">
        <f t="shared" si="101"/>
        <v>Shannon Dieltjes-Shauny Dieltjes-Pîrlea-Tărășilă</v>
      </c>
    </row>
    <row r="1039" spans="1:18" x14ac:dyDescent="0.25">
      <c r="A1039" s="1" t="s">
        <v>11</v>
      </c>
      <c r="B1039" s="1">
        <v>117</v>
      </c>
      <c r="C1039" s="1" t="s">
        <v>21</v>
      </c>
      <c r="D1039" s="1">
        <v>1</v>
      </c>
      <c r="E1039" s="1" t="s">
        <v>95</v>
      </c>
      <c r="F1039" s="1">
        <v>18</v>
      </c>
      <c r="G1039" s="1">
        <v>21</v>
      </c>
      <c r="H1039" s="1" t="s">
        <v>57</v>
      </c>
      <c r="I1039" s="1" t="s">
        <v>287</v>
      </c>
      <c r="J1039" s="1" t="s">
        <v>305</v>
      </c>
      <c r="K1039" s="1" t="s">
        <v>34</v>
      </c>
      <c r="L1039" s="1" t="s">
        <v>354</v>
      </c>
      <c r="M1039" t="str">
        <f t="shared" si="96"/>
        <v>Smit</v>
      </c>
      <c r="N1039" t="str">
        <f t="shared" si="97"/>
        <v>Van der Wielen</v>
      </c>
      <c r="O1039" t="str">
        <f t="shared" si="98"/>
        <v>Cîmpian</v>
      </c>
      <c r="P1039" t="str">
        <f t="shared" si="99"/>
        <v>Măriuța</v>
      </c>
      <c r="Q1039">
        <f t="shared" si="100"/>
        <v>0</v>
      </c>
      <c r="R1039" t="str">
        <f t="shared" si="101"/>
        <v>Smit-Van der Wielen-Cîmpian-Măriuța</v>
      </c>
    </row>
    <row r="1040" spans="1:18" x14ac:dyDescent="0.25">
      <c r="A1040" s="1" t="s">
        <v>11</v>
      </c>
      <c r="B1040" s="1">
        <v>120</v>
      </c>
      <c r="C1040" s="1" t="s">
        <v>24</v>
      </c>
      <c r="D1040" s="1">
        <v>1</v>
      </c>
      <c r="E1040" s="1" t="s">
        <v>95</v>
      </c>
      <c r="F1040" s="1">
        <v>18</v>
      </c>
      <c r="G1040" s="1">
        <v>21</v>
      </c>
      <c r="H1040" s="1" t="s">
        <v>57</v>
      </c>
      <c r="I1040" s="1" t="s">
        <v>288</v>
      </c>
      <c r="J1040" s="1" t="s">
        <v>307</v>
      </c>
      <c r="K1040" s="1" t="s">
        <v>34</v>
      </c>
      <c r="L1040" s="1" t="s">
        <v>354</v>
      </c>
      <c r="M1040" t="str">
        <f t="shared" si="96"/>
        <v>Thielen</v>
      </c>
      <c r="N1040" t="str">
        <f t="shared" si="97"/>
        <v>Van der Donk</v>
      </c>
      <c r="O1040" t="str">
        <f t="shared" si="98"/>
        <v>Bob</v>
      </c>
      <c r="P1040" t="str">
        <f t="shared" si="99"/>
        <v>Toporaș</v>
      </c>
      <c r="Q1040">
        <f t="shared" si="100"/>
        <v>0</v>
      </c>
      <c r="R1040" t="str">
        <f t="shared" si="101"/>
        <v>Thielen-Van der Donk-Bob-Toporaș</v>
      </c>
    </row>
    <row r="1041" spans="1:18" x14ac:dyDescent="0.25">
      <c r="A1041" s="1" t="s">
        <v>11</v>
      </c>
      <c r="B1041" s="1">
        <v>123</v>
      </c>
      <c r="C1041" s="1" t="s">
        <v>27</v>
      </c>
      <c r="D1041" s="1">
        <v>1</v>
      </c>
      <c r="E1041" s="1" t="s">
        <v>95</v>
      </c>
      <c r="F1041" s="1">
        <v>22</v>
      </c>
      <c r="G1041" s="1">
        <v>20</v>
      </c>
      <c r="H1041" s="1" t="s">
        <v>57</v>
      </c>
      <c r="I1041" s="1" t="s">
        <v>289</v>
      </c>
      <c r="J1041" s="1" t="s">
        <v>309</v>
      </c>
      <c r="K1041" s="1" t="s">
        <v>34</v>
      </c>
      <c r="L1041" s="1" t="s">
        <v>354</v>
      </c>
      <c r="M1041" t="str">
        <f t="shared" si="96"/>
        <v>Schippers</v>
      </c>
      <c r="N1041" t="str">
        <f t="shared" si="97"/>
        <v>Berveling</v>
      </c>
      <c r="O1041" t="str">
        <f t="shared" si="98"/>
        <v>Ilie</v>
      </c>
      <c r="P1041" t="str">
        <f t="shared" si="99"/>
        <v>Niță</v>
      </c>
      <c r="Q1041">
        <f t="shared" si="100"/>
        <v>1</v>
      </c>
      <c r="R1041" t="str">
        <f t="shared" si="101"/>
        <v>Schippers-Berveling-Ilie-Niță</v>
      </c>
    </row>
    <row r="1042" spans="1:18" x14ac:dyDescent="0.25">
      <c r="A1042" s="1" t="s">
        <v>11</v>
      </c>
      <c r="B1042" s="1">
        <v>147</v>
      </c>
      <c r="C1042" s="1" t="s">
        <v>12</v>
      </c>
      <c r="D1042" s="1">
        <v>1</v>
      </c>
      <c r="E1042" s="1" t="s">
        <v>82</v>
      </c>
      <c r="F1042" s="1">
        <v>0</v>
      </c>
      <c r="G1042" s="1">
        <v>1</v>
      </c>
      <c r="H1042" s="1" t="s">
        <v>44</v>
      </c>
      <c r="I1042" s="1" t="s">
        <v>316</v>
      </c>
      <c r="J1042" s="1" t="s">
        <v>317</v>
      </c>
      <c r="K1042" s="1" t="s">
        <v>60</v>
      </c>
      <c r="L1042" s="1" t="s">
        <v>354</v>
      </c>
      <c r="M1042" t="str">
        <f t="shared" si="96"/>
        <v>Bastos</v>
      </c>
      <c r="N1042" t="str">
        <f t="shared" si="97"/>
        <v>Bordon</v>
      </c>
      <c r="O1042" t="str">
        <f t="shared" si="98"/>
        <v>Wojtczak</v>
      </c>
      <c r="P1042" t="str">
        <f t="shared" si="99"/>
        <v>Bonifrowska</v>
      </c>
      <c r="Q1042">
        <f t="shared" si="100"/>
        <v>0</v>
      </c>
      <c r="R1042" t="str">
        <f t="shared" si="101"/>
        <v>Bastos-Bordon-Wojtczak-Bonifrowska</v>
      </c>
    </row>
    <row r="1043" spans="1:18" x14ac:dyDescent="0.25">
      <c r="A1043" s="1" t="s">
        <v>11</v>
      </c>
      <c r="B1043" s="1">
        <v>150</v>
      </c>
      <c r="C1043" s="1" t="s">
        <v>18</v>
      </c>
      <c r="D1043" s="1">
        <v>1</v>
      </c>
      <c r="E1043" s="1" t="s">
        <v>82</v>
      </c>
      <c r="F1043" s="1">
        <v>22</v>
      </c>
      <c r="G1043" s="1">
        <v>20</v>
      </c>
      <c r="H1043" s="1" t="s">
        <v>44</v>
      </c>
      <c r="I1043" s="1" t="s">
        <v>321</v>
      </c>
      <c r="J1043" s="1" t="s">
        <v>322</v>
      </c>
      <c r="K1043" s="1" t="s">
        <v>60</v>
      </c>
      <c r="L1043" s="1" t="s">
        <v>354</v>
      </c>
      <c r="M1043" t="str">
        <f t="shared" si="96"/>
        <v>Barreto</v>
      </c>
      <c r="N1043" t="str">
        <f t="shared" si="97"/>
        <v>Pereira</v>
      </c>
      <c r="O1043" t="str">
        <f t="shared" si="98"/>
        <v>Dalidonis</v>
      </c>
      <c r="P1043" t="str">
        <f t="shared" si="99"/>
        <v>Filipska</v>
      </c>
      <c r="Q1043">
        <f t="shared" si="100"/>
        <v>1</v>
      </c>
      <c r="R1043" t="str">
        <f t="shared" si="101"/>
        <v>Barreto-Pereira-Dalidonis-Filipska</v>
      </c>
    </row>
    <row r="1044" spans="1:18" x14ac:dyDescent="0.25">
      <c r="A1044" s="1" t="s">
        <v>11</v>
      </c>
      <c r="B1044" s="1">
        <v>153</v>
      </c>
      <c r="C1044" s="1" t="s">
        <v>21</v>
      </c>
      <c r="D1044" s="1">
        <v>1</v>
      </c>
      <c r="E1044" s="1" t="s">
        <v>82</v>
      </c>
      <c r="F1044" s="1">
        <v>21</v>
      </c>
      <c r="G1044" s="1">
        <v>14</v>
      </c>
      <c r="H1044" s="1" t="s">
        <v>44</v>
      </c>
      <c r="I1044" s="1" t="s">
        <v>324</v>
      </c>
      <c r="J1044" s="1" t="s">
        <v>327</v>
      </c>
      <c r="K1044" s="1" t="s">
        <v>60</v>
      </c>
      <c r="L1044" s="1" t="s">
        <v>354</v>
      </c>
      <c r="M1044" t="str">
        <f t="shared" si="96"/>
        <v>Aleixo</v>
      </c>
      <c r="N1044" t="str">
        <f t="shared" si="97"/>
        <v>Santana</v>
      </c>
      <c r="O1044" t="str">
        <f t="shared" si="98"/>
        <v>Stawarek</v>
      </c>
      <c r="P1044" t="str">
        <f t="shared" si="99"/>
        <v>Wolff</v>
      </c>
      <c r="Q1044">
        <f t="shared" si="100"/>
        <v>1</v>
      </c>
      <c r="R1044" t="str">
        <f t="shared" si="101"/>
        <v>Aleixo-Santana-Stawarek-Wolff</v>
      </c>
    </row>
    <row r="1045" spans="1:18" x14ac:dyDescent="0.25">
      <c r="A1045" s="1" t="s">
        <v>11</v>
      </c>
      <c r="B1045" s="1">
        <v>156</v>
      </c>
      <c r="C1045" s="1" t="s">
        <v>24</v>
      </c>
      <c r="D1045" s="1">
        <v>1</v>
      </c>
      <c r="E1045" s="1" t="s">
        <v>82</v>
      </c>
      <c r="F1045" s="1">
        <v>19</v>
      </c>
      <c r="G1045" s="1">
        <v>21</v>
      </c>
      <c r="H1045" s="1" t="s">
        <v>44</v>
      </c>
      <c r="I1045" s="1" t="s">
        <v>329</v>
      </c>
      <c r="J1045" s="1" t="s">
        <v>331</v>
      </c>
      <c r="K1045" s="1" t="s">
        <v>60</v>
      </c>
      <c r="L1045" s="1" t="s">
        <v>354</v>
      </c>
      <c r="M1045" t="str">
        <f t="shared" si="96"/>
        <v>Vieira</v>
      </c>
      <c r="N1045" t="str">
        <f t="shared" si="97"/>
        <v>Serra</v>
      </c>
      <c r="O1045" t="str">
        <f t="shared" si="98"/>
        <v>Pojawis</v>
      </c>
      <c r="P1045" t="str">
        <f t="shared" si="99"/>
        <v>Wachowiec</v>
      </c>
      <c r="Q1045">
        <f t="shared" si="100"/>
        <v>0</v>
      </c>
      <c r="R1045" t="str">
        <f t="shared" si="101"/>
        <v>Vieira-Serra-Pojawis-Wachowiec</v>
      </c>
    </row>
    <row r="1046" spans="1:18" x14ac:dyDescent="0.25">
      <c r="A1046" s="1" t="s">
        <v>11</v>
      </c>
      <c r="B1046" s="1">
        <v>159</v>
      </c>
      <c r="C1046" s="1" t="s">
        <v>27</v>
      </c>
      <c r="D1046" s="1">
        <v>1</v>
      </c>
      <c r="E1046" s="1" t="s">
        <v>82</v>
      </c>
      <c r="F1046" s="1">
        <v>21</v>
      </c>
      <c r="G1046" s="1">
        <v>15</v>
      </c>
      <c r="H1046" s="1" t="s">
        <v>44</v>
      </c>
      <c r="I1046" s="1" t="s">
        <v>423</v>
      </c>
      <c r="J1046" s="1" t="s">
        <v>334</v>
      </c>
      <c r="K1046" s="1" t="s">
        <v>60</v>
      </c>
      <c r="L1046" s="1" t="s">
        <v>354</v>
      </c>
      <c r="M1046" t="str">
        <f t="shared" si="96"/>
        <v>Kolonko</v>
      </c>
      <c r="N1046" t="str">
        <f t="shared" si="97"/>
        <v xml:space="preserve"> Ma. Thomé</v>
      </c>
      <c r="O1046" t="str">
        <f t="shared" si="98"/>
        <v>Kuta</v>
      </c>
      <c r="P1046" t="str">
        <f t="shared" si="99"/>
        <v>Mierzwa</v>
      </c>
      <c r="Q1046">
        <f t="shared" si="100"/>
        <v>1</v>
      </c>
      <c r="R1046" t="str">
        <f t="shared" si="101"/>
        <v>Kolonko- Ma. Thomé-Kuta-Mierzwa</v>
      </c>
    </row>
    <row r="1047" spans="1:18" x14ac:dyDescent="0.25">
      <c r="A1047" s="1" t="s">
        <v>11</v>
      </c>
      <c r="B1047" s="1">
        <v>165</v>
      </c>
      <c r="C1047" s="1" t="s">
        <v>12</v>
      </c>
      <c r="D1047" s="1">
        <v>1</v>
      </c>
      <c r="E1047" s="1" t="s">
        <v>13</v>
      </c>
      <c r="F1047" s="1">
        <v>0</v>
      </c>
      <c r="G1047" s="1">
        <v>1</v>
      </c>
      <c r="H1047" s="1" t="s">
        <v>56</v>
      </c>
      <c r="I1047" s="1" t="s">
        <v>335</v>
      </c>
      <c r="J1047" s="1" t="s">
        <v>319</v>
      </c>
      <c r="K1047" s="1" t="s">
        <v>73</v>
      </c>
      <c r="L1047" s="1" t="s">
        <v>354</v>
      </c>
      <c r="M1047" t="str">
        <f t="shared" si="96"/>
        <v>Schaeffer</v>
      </c>
      <c r="N1047" t="str">
        <f t="shared" si="97"/>
        <v>Skellern</v>
      </c>
      <c r="O1047" t="str">
        <f t="shared" si="98"/>
        <v>Fukuda</v>
      </c>
      <c r="P1047" t="str">
        <f t="shared" si="99"/>
        <v>Takeno</v>
      </c>
      <c r="Q1047">
        <f t="shared" si="100"/>
        <v>0</v>
      </c>
      <c r="R1047" t="str">
        <f t="shared" si="101"/>
        <v>Schaeffer-Skellern-Fukuda-Takeno</v>
      </c>
    </row>
    <row r="1048" spans="1:18" x14ac:dyDescent="0.25">
      <c r="A1048" s="1" t="s">
        <v>11</v>
      </c>
      <c r="B1048" s="1">
        <v>169</v>
      </c>
      <c r="C1048" s="1" t="s">
        <v>18</v>
      </c>
      <c r="D1048" s="1">
        <v>2</v>
      </c>
      <c r="E1048" s="1" t="s">
        <v>13</v>
      </c>
      <c r="F1048" s="1">
        <v>0</v>
      </c>
      <c r="G1048" s="1">
        <v>1</v>
      </c>
      <c r="H1048" s="1" t="s">
        <v>56</v>
      </c>
      <c r="I1048" s="1" t="s">
        <v>386</v>
      </c>
      <c r="J1048" s="1" t="s">
        <v>417</v>
      </c>
      <c r="K1048" s="1" t="s">
        <v>73</v>
      </c>
      <c r="L1048" s="1" t="s">
        <v>354</v>
      </c>
      <c r="M1048" t="str">
        <f t="shared" si="96"/>
        <v>Ab. Capp</v>
      </c>
      <c r="N1048" t="str">
        <f t="shared" si="97"/>
        <v>Figg</v>
      </c>
      <c r="O1048" t="str">
        <f t="shared" si="98"/>
        <v>Matsumoto</v>
      </c>
      <c r="P1048" t="str">
        <f t="shared" si="99"/>
        <v>R. Imamura</v>
      </c>
      <c r="Q1048">
        <f t="shared" si="100"/>
        <v>0</v>
      </c>
      <c r="R1048" t="str">
        <f t="shared" si="101"/>
        <v>Ab. Capp-Figg-Matsumoto-R. Imamura</v>
      </c>
    </row>
    <row r="1049" spans="1:18" x14ac:dyDescent="0.25">
      <c r="A1049" s="1" t="s">
        <v>11</v>
      </c>
      <c r="B1049" s="1">
        <v>171</v>
      </c>
      <c r="C1049" s="1" t="s">
        <v>21</v>
      </c>
      <c r="D1049" s="1">
        <v>1</v>
      </c>
      <c r="E1049" s="1" t="s">
        <v>13</v>
      </c>
      <c r="F1049" s="1">
        <v>0</v>
      </c>
      <c r="G1049" s="1">
        <v>1</v>
      </c>
      <c r="H1049" s="1" t="s">
        <v>56</v>
      </c>
      <c r="I1049" s="1" t="s">
        <v>339</v>
      </c>
      <c r="J1049" s="1" t="s">
        <v>325</v>
      </c>
      <c r="K1049" s="1" t="s">
        <v>73</v>
      </c>
      <c r="L1049" s="1" t="s">
        <v>354</v>
      </c>
      <c r="M1049" t="str">
        <f t="shared" si="96"/>
        <v>Griffiths</v>
      </c>
      <c r="N1049" t="str">
        <f t="shared" si="97"/>
        <v>Lynch</v>
      </c>
      <c r="O1049" t="str">
        <f t="shared" si="98"/>
        <v>Ito</v>
      </c>
      <c r="P1049" t="str">
        <f t="shared" si="99"/>
        <v>Hoshi</v>
      </c>
      <c r="Q1049">
        <f t="shared" si="100"/>
        <v>0</v>
      </c>
      <c r="R1049" t="str">
        <f t="shared" si="101"/>
        <v>Griffiths-Lynch-Ito-Hoshi</v>
      </c>
    </row>
    <row r="1050" spans="1:18" x14ac:dyDescent="0.25">
      <c r="A1050" s="1" t="s">
        <v>11</v>
      </c>
      <c r="B1050" s="1">
        <v>175</v>
      </c>
      <c r="C1050" s="1" t="s">
        <v>24</v>
      </c>
      <c r="D1050" s="1">
        <v>2</v>
      </c>
      <c r="E1050" s="1" t="s">
        <v>13</v>
      </c>
      <c r="F1050" s="1">
        <v>0</v>
      </c>
      <c r="G1050" s="1">
        <v>1</v>
      </c>
      <c r="H1050" s="1" t="s">
        <v>56</v>
      </c>
      <c r="I1050" s="1" t="s">
        <v>401</v>
      </c>
      <c r="J1050" s="1" t="s">
        <v>330</v>
      </c>
      <c r="K1050" s="1" t="s">
        <v>73</v>
      </c>
      <c r="L1050" s="1" t="s">
        <v>354</v>
      </c>
      <c r="M1050" t="str">
        <f t="shared" si="96"/>
        <v>Chu</v>
      </c>
      <c r="N1050" t="str">
        <f t="shared" si="97"/>
        <v>T. Fung</v>
      </c>
      <c r="O1050" t="str">
        <f t="shared" si="98"/>
        <v>Kawasaki</v>
      </c>
      <c r="P1050" t="str">
        <f t="shared" si="99"/>
        <v>Ogaki</v>
      </c>
      <c r="Q1050">
        <f t="shared" si="100"/>
        <v>0</v>
      </c>
      <c r="R1050" t="str">
        <f t="shared" si="101"/>
        <v>Chu-T. Fung-Kawasaki-Ogaki</v>
      </c>
    </row>
    <row r="1051" spans="1:18" x14ac:dyDescent="0.25">
      <c r="A1051" s="1" t="s">
        <v>11</v>
      </c>
      <c r="B1051" s="1">
        <v>178</v>
      </c>
      <c r="C1051" s="1" t="s">
        <v>27</v>
      </c>
      <c r="D1051" s="1">
        <v>2</v>
      </c>
      <c r="E1051" s="1" t="s">
        <v>13</v>
      </c>
      <c r="F1051" s="1">
        <v>1</v>
      </c>
      <c r="G1051" s="1">
        <v>0</v>
      </c>
      <c r="H1051" s="1" t="s">
        <v>56</v>
      </c>
      <c r="I1051" s="1" t="s">
        <v>407</v>
      </c>
      <c r="J1051" s="1" t="s">
        <v>333</v>
      </c>
      <c r="K1051" s="1" t="s">
        <v>73</v>
      </c>
      <c r="L1051" s="1" t="s">
        <v>354</v>
      </c>
      <c r="M1051" t="str">
        <f t="shared" si="96"/>
        <v>Cliff</v>
      </c>
      <c r="N1051" t="str">
        <f t="shared" si="97"/>
        <v>R. Read</v>
      </c>
      <c r="O1051" t="str">
        <f t="shared" si="98"/>
        <v>Kihara</v>
      </c>
      <c r="P1051" t="str">
        <f t="shared" si="99"/>
        <v>Nakano</v>
      </c>
      <c r="Q1051">
        <f t="shared" si="100"/>
        <v>1</v>
      </c>
      <c r="R1051" t="str">
        <f t="shared" si="101"/>
        <v>Cliff-R. Read-Kihara-Nakano</v>
      </c>
    </row>
    <row r="1052" spans="1:18" x14ac:dyDescent="0.25">
      <c r="A1052" s="1" t="s">
        <v>11</v>
      </c>
      <c r="B1052" s="1">
        <v>183</v>
      </c>
      <c r="C1052" s="1" t="s">
        <v>12</v>
      </c>
      <c r="D1052" s="1">
        <v>1</v>
      </c>
      <c r="E1052" s="1" t="s">
        <v>109</v>
      </c>
      <c r="F1052" s="1">
        <v>21</v>
      </c>
      <c r="G1052" s="1">
        <v>17</v>
      </c>
      <c r="H1052" s="1" t="s">
        <v>43</v>
      </c>
      <c r="I1052" s="1" t="s">
        <v>346</v>
      </c>
      <c r="J1052" s="1" t="s">
        <v>345</v>
      </c>
      <c r="K1052" s="1" t="s">
        <v>86</v>
      </c>
      <c r="L1052" s="1" t="s">
        <v>354</v>
      </c>
      <c r="M1052" t="str">
        <f t="shared" si="96"/>
        <v>Häkkinen</v>
      </c>
      <c r="N1052" t="str">
        <f t="shared" si="97"/>
        <v>Salmensaari</v>
      </c>
      <c r="O1052" t="str">
        <f t="shared" si="98"/>
        <v>Caltova</v>
      </c>
      <c r="P1052" t="str">
        <f t="shared" si="99"/>
        <v>Nyvltova</v>
      </c>
      <c r="Q1052">
        <f t="shared" si="100"/>
        <v>1</v>
      </c>
      <c r="R1052" t="str">
        <f t="shared" si="101"/>
        <v>Häkkinen-Salmensaari-Caltova-Nyvltova</v>
      </c>
    </row>
    <row r="1053" spans="1:18" x14ac:dyDescent="0.25">
      <c r="A1053" s="1" t="s">
        <v>11</v>
      </c>
      <c r="B1053" s="1">
        <v>186</v>
      </c>
      <c r="C1053" s="1" t="s">
        <v>18</v>
      </c>
      <c r="D1053" s="1">
        <v>1</v>
      </c>
      <c r="E1053" s="1" t="s">
        <v>109</v>
      </c>
      <c r="F1053" s="1">
        <v>17</v>
      </c>
      <c r="G1053" s="1">
        <v>21</v>
      </c>
      <c r="H1053" s="1" t="s">
        <v>43</v>
      </c>
      <c r="I1053" s="1" t="s">
        <v>348</v>
      </c>
      <c r="J1053" s="1" t="s">
        <v>347</v>
      </c>
      <c r="K1053" s="1" t="s">
        <v>86</v>
      </c>
      <c r="L1053" s="1" t="s">
        <v>354</v>
      </c>
      <c r="M1053" t="str">
        <f t="shared" si="96"/>
        <v>Kosonen</v>
      </c>
      <c r="N1053" t="str">
        <f t="shared" si="97"/>
        <v>Leppänen</v>
      </c>
      <c r="O1053" t="str">
        <f t="shared" si="98"/>
        <v>Janku</v>
      </c>
      <c r="P1053" t="str">
        <f t="shared" si="99"/>
        <v>Matejkova</v>
      </c>
      <c r="Q1053">
        <f t="shared" si="100"/>
        <v>0</v>
      </c>
      <c r="R1053" t="str">
        <f t="shared" si="101"/>
        <v>Kosonen-Leppänen-Janku-Matejkova</v>
      </c>
    </row>
    <row r="1054" spans="1:18" x14ac:dyDescent="0.25">
      <c r="A1054" s="1" t="s">
        <v>11</v>
      </c>
      <c r="B1054" s="1">
        <v>189</v>
      </c>
      <c r="C1054" s="1" t="s">
        <v>21</v>
      </c>
      <c r="D1054" s="1">
        <v>1</v>
      </c>
      <c r="E1054" s="1" t="s">
        <v>109</v>
      </c>
      <c r="F1054" s="1">
        <v>21</v>
      </c>
      <c r="G1054" s="1">
        <v>18</v>
      </c>
      <c r="H1054" s="1" t="s">
        <v>43</v>
      </c>
      <c r="I1054" s="1" t="s">
        <v>350</v>
      </c>
      <c r="J1054" s="1" t="s">
        <v>349</v>
      </c>
      <c r="K1054" s="1" t="s">
        <v>86</v>
      </c>
      <c r="L1054" s="1" t="s">
        <v>354</v>
      </c>
      <c r="M1054" t="str">
        <f t="shared" si="96"/>
        <v>Piesanen</v>
      </c>
      <c r="N1054" t="str">
        <f t="shared" si="97"/>
        <v>Kuorelahti</v>
      </c>
      <c r="O1054" t="str">
        <f t="shared" si="98"/>
        <v>Bedrnova</v>
      </c>
      <c r="P1054" t="str">
        <f t="shared" si="99"/>
        <v>Kourilova</v>
      </c>
      <c r="Q1054">
        <f t="shared" si="100"/>
        <v>1</v>
      </c>
      <c r="R1054" t="str">
        <f t="shared" si="101"/>
        <v>Piesanen-Kuorelahti-Bedrnova-Kourilova</v>
      </c>
    </row>
    <row r="1055" spans="1:18" x14ac:dyDescent="0.25">
      <c r="A1055" s="1" t="s">
        <v>11</v>
      </c>
      <c r="B1055" s="1">
        <v>192</v>
      </c>
      <c r="C1055" s="1" t="s">
        <v>24</v>
      </c>
      <c r="D1055" s="1">
        <v>1</v>
      </c>
      <c r="E1055" s="1" t="s">
        <v>109</v>
      </c>
      <c r="F1055" s="1">
        <v>17</v>
      </c>
      <c r="G1055" s="1">
        <v>21</v>
      </c>
      <c r="H1055" s="1" t="s">
        <v>43</v>
      </c>
      <c r="I1055" s="1" t="s">
        <v>352</v>
      </c>
      <c r="J1055" s="1" t="s">
        <v>351</v>
      </c>
      <c r="K1055" s="1" t="s">
        <v>86</v>
      </c>
      <c r="L1055" s="1" t="s">
        <v>354</v>
      </c>
      <c r="M1055" t="str">
        <f t="shared" si="96"/>
        <v>Kinnunen</v>
      </c>
      <c r="N1055" t="str">
        <f t="shared" si="97"/>
        <v>Lemettinen</v>
      </c>
      <c r="O1055" t="str">
        <f t="shared" si="98"/>
        <v>Dannemann</v>
      </c>
      <c r="P1055" t="str">
        <f t="shared" si="99"/>
        <v>Meinhart</v>
      </c>
      <c r="Q1055">
        <f t="shared" si="100"/>
        <v>0</v>
      </c>
      <c r="R1055" t="str">
        <f t="shared" si="101"/>
        <v>Kinnunen-Lemettinen-Dannemann-Meinhart</v>
      </c>
    </row>
    <row r="1056" spans="1:18" x14ac:dyDescent="0.25">
      <c r="A1056" s="1" t="s">
        <v>11</v>
      </c>
      <c r="B1056" s="1">
        <v>201</v>
      </c>
      <c r="C1056" s="1" t="s">
        <v>12</v>
      </c>
      <c r="D1056" s="1">
        <v>1</v>
      </c>
      <c r="E1056" s="1" t="s">
        <v>83</v>
      </c>
      <c r="F1056" s="1">
        <v>21</v>
      </c>
      <c r="G1056" s="1">
        <v>10</v>
      </c>
      <c r="H1056" s="1" t="s">
        <v>134</v>
      </c>
      <c r="I1056" s="1" t="s">
        <v>336</v>
      </c>
      <c r="J1056" s="1" t="s">
        <v>389</v>
      </c>
      <c r="K1056" s="1" t="s">
        <v>99</v>
      </c>
      <c r="L1056" s="1" t="s">
        <v>354</v>
      </c>
      <c r="M1056" t="str">
        <f t="shared" si="96"/>
        <v>Due-Tønnessen</v>
      </c>
      <c r="N1056" t="str">
        <f t="shared" si="97"/>
        <v>Espevik</v>
      </c>
      <c r="O1056" t="str">
        <f t="shared" si="98"/>
        <v>C. Chan</v>
      </c>
      <c r="P1056" t="str">
        <f t="shared" si="99"/>
        <v>Tang</v>
      </c>
      <c r="Q1056">
        <f t="shared" si="100"/>
        <v>1</v>
      </c>
      <c r="R1056" t="str">
        <f t="shared" si="101"/>
        <v>Due-Tønnessen-Espevik-C. Chan-Tang</v>
      </c>
    </row>
    <row r="1057" spans="1:18" x14ac:dyDescent="0.25">
      <c r="A1057" s="1" t="s">
        <v>11</v>
      </c>
      <c r="B1057" s="1">
        <v>204</v>
      </c>
      <c r="C1057" s="1" t="s">
        <v>18</v>
      </c>
      <c r="D1057" s="1">
        <v>1</v>
      </c>
      <c r="E1057" s="1" t="s">
        <v>83</v>
      </c>
      <c r="F1057" s="1">
        <v>21</v>
      </c>
      <c r="G1057" s="1">
        <v>19</v>
      </c>
      <c r="H1057" s="1" t="s">
        <v>134</v>
      </c>
      <c r="I1057" s="1" t="s">
        <v>418</v>
      </c>
      <c r="J1057" s="1" t="s">
        <v>388</v>
      </c>
      <c r="K1057" s="1" t="s">
        <v>99</v>
      </c>
      <c r="L1057" s="1" t="s">
        <v>354</v>
      </c>
      <c r="M1057" t="str">
        <f t="shared" si="96"/>
        <v>Olsen</v>
      </c>
      <c r="N1057" t="str">
        <f t="shared" si="97"/>
        <v>S. Modalsli</v>
      </c>
      <c r="O1057" t="str">
        <f t="shared" si="98"/>
        <v>R. Chan</v>
      </c>
      <c r="P1057" t="str">
        <f t="shared" si="99"/>
        <v>Law</v>
      </c>
      <c r="Q1057">
        <f t="shared" si="100"/>
        <v>1</v>
      </c>
      <c r="R1057" t="str">
        <f t="shared" si="101"/>
        <v>Olsen-S. Modalsli-R. Chan-Law</v>
      </c>
    </row>
    <row r="1058" spans="1:18" x14ac:dyDescent="0.25">
      <c r="A1058" s="1" t="s">
        <v>11</v>
      </c>
      <c r="B1058" s="1">
        <v>207</v>
      </c>
      <c r="C1058" s="1" t="s">
        <v>21</v>
      </c>
      <c r="D1058" s="1">
        <v>1</v>
      </c>
      <c r="E1058" s="1" t="s">
        <v>83</v>
      </c>
      <c r="F1058" s="1">
        <v>9</v>
      </c>
      <c r="G1058" s="1">
        <v>21</v>
      </c>
      <c r="H1058" s="1" t="s">
        <v>134</v>
      </c>
      <c r="I1058" s="1" t="s">
        <v>340</v>
      </c>
      <c r="J1058" s="1" t="s">
        <v>390</v>
      </c>
      <c r="K1058" s="1" t="s">
        <v>99</v>
      </c>
      <c r="L1058" s="1" t="s">
        <v>354</v>
      </c>
      <c r="M1058" t="str">
        <f t="shared" si="96"/>
        <v>Eilertsen</v>
      </c>
      <c r="N1058" t="str">
        <f t="shared" si="97"/>
        <v>Pavall</v>
      </c>
      <c r="O1058" t="str">
        <f t="shared" si="98"/>
        <v>Zhu</v>
      </c>
      <c r="P1058" t="str">
        <f t="shared" si="99"/>
        <v>M. Chan</v>
      </c>
      <c r="Q1058">
        <f t="shared" si="100"/>
        <v>0</v>
      </c>
      <c r="R1058" t="str">
        <f t="shared" si="101"/>
        <v>Eilertsen-Pavall-Zhu-M. Chan</v>
      </c>
    </row>
    <row r="1059" spans="1:18" x14ac:dyDescent="0.25">
      <c r="A1059" s="1" t="s">
        <v>11</v>
      </c>
      <c r="B1059" s="1">
        <v>210</v>
      </c>
      <c r="C1059" s="1" t="s">
        <v>24</v>
      </c>
      <c r="D1059" s="1">
        <v>1</v>
      </c>
      <c r="E1059" s="1" t="s">
        <v>83</v>
      </c>
      <c r="F1059" s="1">
        <v>21</v>
      </c>
      <c r="G1059" s="1">
        <v>6</v>
      </c>
      <c r="H1059" s="1" t="s">
        <v>134</v>
      </c>
      <c r="I1059" s="1" t="s">
        <v>342</v>
      </c>
      <c r="J1059" s="1" t="s">
        <v>391</v>
      </c>
      <c r="K1059" s="1" t="s">
        <v>99</v>
      </c>
      <c r="L1059" s="1" t="s">
        <v>354</v>
      </c>
      <c r="M1059" t="str">
        <f t="shared" si="96"/>
        <v>Gudmestad</v>
      </c>
      <c r="N1059" t="str">
        <f t="shared" si="97"/>
        <v>Zimmermann</v>
      </c>
      <c r="O1059" t="str">
        <f t="shared" si="98"/>
        <v>Mak</v>
      </c>
      <c r="P1059" t="str">
        <f t="shared" si="99"/>
        <v>H. Chan</v>
      </c>
      <c r="Q1059">
        <f t="shared" si="100"/>
        <v>1</v>
      </c>
      <c r="R1059" t="str">
        <f t="shared" si="101"/>
        <v>Gudmestad-Zimmermann-Mak-H. Chan</v>
      </c>
    </row>
    <row r="1060" spans="1:18" x14ac:dyDescent="0.25">
      <c r="A1060" s="1" t="s">
        <v>11</v>
      </c>
      <c r="B1060" s="1">
        <v>219</v>
      </c>
      <c r="C1060" s="1" t="s">
        <v>12</v>
      </c>
      <c r="D1060" s="1">
        <v>1</v>
      </c>
      <c r="E1060" s="1" t="s">
        <v>108</v>
      </c>
      <c r="F1060" s="1">
        <v>0</v>
      </c>
      <c r="G1060" s="1">
        <v>1</v>
      </c>
      <c r="H1060" s="1" t="s">
        <v>69</v>
      </c>
      <c r="I1060" s="1" t="s">
        <v>313</v>
      </c>
      <c r="J1060" s="1" t="s">
        <v>310</v>
      </c>
      <c r="K1060" s="1" t="s">
        <v>112</v>
      </c>
      <c r="L1060" s="1" t="s">
        <v>354</v>
      </c>
      <c r="M1060" t="str">
        <f t="shared" si="96"/>
        <v>Figueroa</v>
      </c>
      <c r="N1060" t="str">
        <f t="shared" si="97"/>
        <v>Vega</v>
      </c>
      <c r="O1060" t="str">
        <f t="shared" si="98"/>
        <v>Ernestsone</v>
      </c>
      <c r="P1060" t="str">
        <f t="shared" si="99"/>
        <v>Naumane</v>
      </c>
      <c r="Q1060">
        <f t="shared" si="100"/>
        <v>0</v>
      </c>
      <c r="R1060" t="str">
        <f t="shared" si="101"/>
        <v>Figueroa-Vega-Ernestsone-Naumane</v>
      </c>
    </row>
    <row r="1061" spans="1:18" x14ac:dyDescent="0.25">
      <c r="A1061" s="1" t="s">
        <v>11</v>
      </c>
      <c r="B1061" s="1">
        <v>223</v>
      </c>
      <c r="C1061" s="1" t="s">
        <v>18</v>
      </c>
      <c r="D1061" s="1">
        <v>2</v>
      </c>
      <c r="E1061" s="1" t="s">
        <v>108</v>
      </c>
      <c r="F1061" s="1">
        <v>0</v>
      </c>
      <c r="G1061" s="1">
        <v>1</v>
      </c>
      <c r="H1061" s="1" t="s">
        <v>69</v>
      </c>
      <c r="I1061" s="1" t="s">
        <v>314</v>
      </c>
      <c r="J1061" s="1" t="s">
        <v>311</v>
      </c>
      <c r="K1061" s="1" t="s">
        <v>112</v>
      </c>
      <c r="L1061" s="1" t="s">
        <v>354</v>
      </c>
      <c r="M1061" t="str">
        <f t="shared" si="96"/>
        <v>García</v>
      </c>
      <c r="N1061" t="str">
        <f t="shared" si="97"/>
        <v>Eberhardt</v>
      </c>
      <c r="O1061" t="str">
        <f t="shared" si="98"/>
        <v>Jansone</v>
      </c>
      <c r="P1061" t="str">
        <f t="shared" si="99"/>
        <v>Smilga</v>
      </c>
      <c r="Q1061">
        <f t="shared" si="100"/>
        <v>0</v>
      </c>
      <c r="R1061" t="str">
        <f t="shared" si="101"/>
        <v>García-Eberhardt-Jansone-Smilga</v>
      </c>
    </row>
    <row r="1062" spans="1:18" x14ac:dyDescent="0.25">
      <c r="A1062" s="1" t="s">
        <v>11</v>
      </c>
      <c r="B1062" s="1">
        <v>225</v>
      </c>
      <c r="C1062" s="1" t="s">
        <v>21</v>
      </c>
      <c r="D1062" s="1">
        <v>1</v>
      </c>
      <c r="E1062" s="1" t="s">
        <v>108</v>
      </c>
      <c r="F1062" s="1">
        <v>1</v>
      </c>
      <c r="G1062" s="1">
        <v>0</v>
      </c>
      <c r="H1062" s="1" t="s">
        <v>69</v>
      </c>
      <c r="I1062" s="1" t="s">
        <v>315</v>
      </c>
      <c r="J1062" s="1" t="s">
        <v>312</v>
      </c>
      <c r="K1062" s="1" t="s">
        <v>112</v>
      </c>
      <c r="L1062" s="1" t="s">
        <v>354</v>
      </c>
      <c r="M1062" t="str">
        <f t="shared" si="96"/>
        <v>Regalado</v>
      </c>
      <c r="N1062" t="str">
        <f t="shared" si="97"/>
        <v>Lara</v>
      </c>
      <c r="O1062" t="str">
        <f t="shared" si="98"/>
        <v>Brauna</v>
      </c>
      <c r="P1062" t="str">
        <f t="shared" si="99"/>
        <v>Ivanova</v>
      </c>
      <c r="Q1062">
        <f t="shared" si="100"/>
        <v>1</v>
      </c>
      <c r="R1062" t="str">
        <f t="shared" si="101"/>
        <v>Regalado-Lara-Brauna-Ivanova</v>
      </c>
    </row>
    <row r="1063" spans="1:18" x14ac:dyDescent="0.25">
      <c r="A1063" s="1" t="s">
        <v>11</v>
      </c>
      <c r="B1063" s="1">
        <v>39</v>
      </c>
      <c r="C1063" s="1" t="s">
        <v>12</v>
      </c>
      <c r="D1063" s="1">
        <v>1</v>
      </c>
      <c r="E1063" s="1" t="s">
        <v>30</v>
      </c>
      <c r="F1063" s="1">
        <v>21</v>
      </c>
      <c r="G1063" s="1">
        <v>16</v>
      </c>
      <c r="H1063" s="1" t="s">
        <v>194</v>
      </c>
      <c r="I1063" s="1" t="s">
        <v>233</v>
      </c>
      <c r="J1063" s="1" t="s">
        <v>270</v>
      </c>
      <c r="K1063" s="1" t="s">
        <v>159</v>
      </c>
      <c r="L1063" s="1" t="s">
        <v>354</v>
      </c>
      <c r="M1063" t="str">
        <f t="shared" si="96"/>
        <v>Vandersype</v>
      </c>
      <c r="N1063" t="str">
        <f t="shared" si="97"/>
        <v>D'hoore</v>
      </c>
      <c r="O1063" t="str">
        <f t="shared" si="98"/>
        <v>Aspirot</v>
      </c>
      <c r="P1063" t="str">
        <f t="shared" si="99"/>
        <v>Tardy</v>
      </c>
      <c r="Q1063">
        <f t="shared" si="100"/>
        <v>1</v>
      </c>
      <c r="R1063" t="str">
        <f t="shared" si="101"/>
        <v>Vandersype-D'hoore-Aspirot-Tardy</v>
      </c>
    </row>
    <row r="1064" spans="1:18" x14ac:dyDescent="0.25">
      <c r="A1064" s="1" t="s">
        <v>11</v>
      </c>
      <c r="B1064" s="1">
        <v>42</v>
      </c>
      <c r="C1064" s="1" t="s">
        <v>18</v>
      </c>
      <c r="D1064" s="1">
        <v>1</v>
      </c>
      <c r="E1064" s="1" t="s">
        <v>30</v>
      </c>
      <c r="F1064" s="1">
        <v>16</v>
      </c>
      <c r="G1064" s="1">
        <v>21</v>
      </c>
      <c r="H1064" s="1" t="s">
        <v>194</v>
      </c>
      <c r="I1064" s="1" t="s">
        <v>238</v>
      </c>
      <c r="J1064" s="1" t="s">
        <v>393</v>
      </c>
      <c r="K1064" s="1" t="s">
        <v>159</v>
      </c>
      <c r="L1064" s="1" t="s">
        <v>354</v>
      </c>
      <c r="M1064" t="str">
        <f t="shared" si="96"/>
        <v>Vankemenade</v>
      </c>
      <c r="N1064" t="str">
        <f t="shared" si="97"/>
        <v>Teisseyre</v>
      </c>
      <c r="O1064" t="str">
        <f t="shared" si="98"/>
        <v>Fonseca</v>
      </c>
      <c r="P1064" t="str">
        <f t="shared" si="99"/>
        <v>J. Leung</v>
      </c>
      <c r="Q1064">
        <f t="shared" si="100"/>
        <v>0</v>
      </c>
      <c r="R1064" t="str">
        <f t="shared" si="101"/>
        <v>Vankemenade-Teisseyre-Fonseca-J. Leung</v>
      </c>
    </row>
    <row r="1065" spans="1:18" x14ac:dyDescent="0.25">
      <c r="A1065" s="1" t="s">
        <v>11</v>
      </c>
      <c r="B1065" s="1">
        <v>45</v>
      </c>
      <c r="C1065" s="1" t="s">
        <v>21</v>
      </c>
      <c r="D1065" s="1">
        <v>1</v>
      </c>
      <c r="E1065" s="1" t="s">
        <v>30</v>
      </c>
      <c r="F1065" s="1">
        <v>15</v>
      </c>
      <c r="G1065" s="1">
        <v>21</v>
      </c>
      <c r="H1065" s="1" t="s">
        <v>194</v>
      </c>
      <c r="I1065" s="1" t="s">
        <v>243</v>
      </c>
      <c r="J1065" s="1" t="s">
        <v>276</v>
      </c>
      <c r="K1065" s="1" t="s">
        <v>159</v>
      </c>
      <c r="L1065" s="1" t="s">
        <v>354</v>
      </c>
      <c r="M1065" t="str">
        <f t="shared" si="96"/>
        <v>Delbecke</v>
      </c>
      <c r="N1065" t="str">
        <f t="shared" si="97"/>
        <v>Van der Stichelen</v>
      </c>
      <c r="O1065" t="str">
        <f t="shared" si="98"/>
        <v>Vallee</v>
      </c>
      <c r="P1065" t="str">
        <f t="shared" si="99"/>
        <v>Couroux</v>
      </c>
      <c r="Q1065">
        <f t="shared" si="100"/>
        <v>0</v>
      </c>
      <c r="R1065" t="str">
        <f t="shared" si="101"/>
        <v>Delbecke-Van der Stichelen-Vallee-Couroux</v>
      </c>
    </row>
    <row r="1066" spans="1:18" x14ac:dyDescent="0.25">
      <c r="A1066" s="1" t="s">
        <v>11</v>
      </c>
      <c r="B1066" s="1">
        <v>48</v>
      </c>
      <c r="C1066" s="1" t="s">
        <v>24</v>
      </c>
      <c r="D1066" s="1">
        <v>1</v>
      </c>
      <c r="E1066" s="1" t="s">
        <v>30</v>
      </c>
      <c r="F1066" s="1">
        <v>13</v>
      </c>
      <c r="G1066" s="1">
        <v>21</v>
      </c>
      <c r="H1066" s="1" t="s">
        <v>194</v>
      </c>
      <c r="I1066" s="1" t="s">
        <v>248</v>
      </c>
      <c r="J1066" s="1" t="s">
        <v>279</v>
      </c>
      <c r="K1066" s="1" t="s">
        <v>159</v>
      </c>
      <c r="L1066" s="1" t="s">
        <v>354</v>
      </c>
      <c r="M1066" t="str">
        <f t="shared" si="96"/>
        <v>Jubault</v>
      </c>
      <c r="N1066" t="str">
        <f t="shared" si="97"/>
        <v>Dumesnil</v>
      </c>
      <c r="O1066" t="str">
        <f t="shared" si="98"/>
        <v>Boucher-Gratton</v>
      </c>
      <c r="P1066" t="str">
        <f t="shared" si="99"/>
        <v>Cunningham</v>
      </c>
      <c r="Q1066">
        <f t="shared" si="100"/>
        <v>0</v>
      </c>
      <c r="R1066" t="str">
        <f t="shared" si="101"/>
        <v>Jubault-Dumesnil-Boucher-Gratton-Cunningham</v>
      </c>
    </row>
    <row r="1067" spans="1:18" x14ac:dyDescent="0.25">
      <c r="A1067" s="1" t="s">
        <v>11</v>
      </c>
      <c r="B1067" s="1">
        <v>51</v>
      </c>
      <c r="C1067" s="1" t="s">
        <v>27</v>
      </c>
      <c r="D1067" s="1">
        <v>1</v>
      </c>
      <c r="E1067" s="1" t="s">
        <v>30</v>
      </c>
      <c r="F1067" s="1">
        <v>13</v>
      </c>
      <c r="G1067" s="1">
        <v>21</v>
      </c>
      <c r="H1067" s="1" t="s">
        <v>194</v>
      </c>
      <c r="I1067" s="1" t="s">
        <v>410</v>
      </c>
      <c r="J1067" s="1" t="s">
        <v>282</v>
      </c>
      <c r="K1067" s="1" t="s">
        <v>159</v>
      </c>
      <c r="L1067" s="1" t="s">
        <v>354</v>
      </c>
      <c r="M1067" t="str">
        <f t="shared" si="96"/>
        <v>Alderweireldt</v>
      </c>
      <c r="N1067" t="str">
        <f t="shared" si="97"/>
        <v>Jon. Neyens</v>
      </c>
      <c r="O1067" t="str">
        <f t="shared" si="98"/>
        <v>Yu</v>
      </c>
      <c r="P1067" t="str">
        <f t="shared" si="99"/>
        <v>Diaz</v>
      </c>
      <c r="Q1067">
        <f t="shared" si="100"/>
        <v>0</v>
      </c>
      <c r="R1067" t="str">
        <f t="shared" si="101"/>
        <v>Alderweireldt-Jon. Neyens-Yu-Diaz</v>
      </c>
    </row>
    <row r="1068" spans="1:18" x14ac:dyDescent="0.25">
      <c r="A1068" s="1" t="s">
        <v>11</v>
      </c>
      <c r="B1068" s="1">
        <v>57</v>
      </c>
      <c r="C1068" s="1" t="s">
        <v>12</v>
      </c>
      <c r="D1068" s="1">
        <v>1</v>
      </c>
      <c r="E1068" s="1" t="s">
        <v>155</v>
      </c>
      <c r="F1068" s="1">
        <v>21</v>
      </c>
      <c r="G1068" s="1">
        <v>17</v>
      </c>
      <c r="H1068" s="1" t="s">
        <v>147</v>
      </c>
      <c r="I1068" s="1" t="s">
        <v>257</v>
      </c>
      <c r="J1068" s="1" t="s">
        <v>272</v>
      </c>
      <c r="K1068" s="1" t="s">
        <v>172</v>
      </c>
      <c r="L1068" s="1" t="s">
        <v>354</v>
      </c>
      <c r="M1068" t="str">
        <f t="shared" si="96"/>
        <v>Rossetto</v>
      </c>
      <c r="N1068" t="str">
        <f t="shared" si="97"/>
        <v>Zanella</v>
      </c>
      <c r="O1068" t="str">
        <f t="shared" si="98"/>
        <v>Kunzelmann</v>
      </c>
      <c r="P1068" t="str">
        <f t="shared" si="99"/>
        <v>Levie</v>
      </c>
      <c r="Q1068">
        <f t="shared" si="100"/>
        <v>1</v>
      </c>
      <c r="R1068" t="str">
        <f t="shared" si="101"/>
        <v>Rossetto-Zanella-Kunzelmann-Levie</v>
      </c>
    </row>
    <row r="1069" spans="1:18" x14ac:dyDescent="0.25">
      <c r="A1069" s="1" t="s">
        <v>11</v>
      </c>
      <c r="B1069" s="1">
        <v>60</v>
      </c>
      <c r="C1069" s="1" t="s">
        <v>18</v>
      </c>
      <c r="D1069" s="1">
        <v>1</v>
      </c>
      <c r="E1069" s="1" t="s">
        <v>155</v>
      </c>
      <c r="F1069" s="1">
        <v>19</v>
      </c>
      <c r="G1069" s="1">
        <v>21</v>
      </c>
      <c r="H1069" s="1" t="s">
        <v>147</v>
      </c>
      <c r="I1069" s="1" t="s">
        <v>260</v>
      </c>
      <c r="J1069" s="1" t="s">
        <v>384</v>
      </c>
      <c r="K1069" s="1" t="s">
        <v>172</v>
      </c>
      <c r="L1069" s="1" t="s">
        <v>354</v>
      </c>
      <c r="M1069" t="str">
        <f t="shared" si="96"/>
        <v>Patat</v>
      </c>
      <c r="N1069" t="str">
        <f t="shared" si="97"/>
        <v>Pernigo</v>
      </c>
      <c r="O1069" t="str">
        <f t="shared" si="98"/>
        <v>Gassner</v>
      </c>
      <c r="P1069" t="str">
        <f t="shared" si="99"/>
        <v>K. Eigenmann</v>
      </c>
      <c r="Q1069">
        <f t="shared" si="100"/>
        <v>0</v>
      </c>
      <c r="R1069" t="str">
        <f t="shared" si="101"/>
        <v>Patat-Pernigo-Gassner-K. Eigenmann</v>
      </c>
    </row>
    <row r="1070" spans="1:18" x14ac:dyDescent="0.25">
      <c r="A1070" s="1" t="s">
        <v>11</v>
      </c>
      <c r="B1070" s="1">
        <v>63</v>
      </c>
      <c r="C1070" s="1" t="s">
        <v>21</v>
      </c>
      <c r="D1070" s="1">
        <v>1</v>
      </c>
      <c r="E1070" s="1" t="s">
        <v>155</v>
      </c>
      <c r="F1070" s="1">
        <v>21</v>
      </c>
      <c r="G1070" s="1">
        <v>19</v>
      </c>
      <c r="H1070" s="1" t="s">
        <v>147</v>
      </c>
      <c r="I1070" s="1" t="s">
        <v>263</v>
      </c>
      <c r="J1070" s="1" t="s">
        <v>278</v>
      </c>
      <c r="K1070" s="1" t="s">
        <v>172</v>
      </c>
      <c r="L1070" s="1" t="s">
        <v>354</v>
      </c>
      <c r="M1070" t="str">
        <f t="shared" si="96"/>
        <v>Augello</v>
      </c>
      <c r="N1070" t="str">
        <f t="shared" si="97"/>
        <v>Del Pioluogo</v>
      </c>
      <c r="O1070" t="str">
        <f t="shared" si="98"/>
        <v>Kunz</v>
      </c>
      <c r="P1070" t="str">
        <f t="shared" si="99"/>
        <v>Nenz</v>
      </c>
      <c r="Q1070">
        <f t="shared" si="100"/>
        <v>1</v>
      </c>
      <c r="R1070" t="str">
        <f t="shared" si="101"/>
        <v>Augello-Del Pioluogo-Kunz-Nenz</v>
      </c>
    </row>
    <row r="1071" spans="1:18" x14ac:dyDescent="0.25">
      <c r="A1071" s="1" t="s">
        <v>11</v>
      </c>
      <c r="B1071" s="1">
        <v>66</v>
      </c>
      <c r="C1071" s="1" t="s">
        <v>24</v>
      </c>
      <c r="D1071" s="1">
        <v>1</v>
      </c>
      <c r="E1071" s="1" t="s">
        <v>155</v>
      </c>
      <c r="F1071" s="1">
        <v>21</v>
      </c>
      <c r="G1071" s="1">
        <v>19</v>
      </c>
      <c r="H1071" s="1" t="s">
        <v>147</v>
      </c>
      <c r="I1071" s="1" t="s">
        <v>365</v>
      </c>
      <c r="J1071" s="1" t="s">
        <v>281</v>
      </c>
      <c r="K1071" s="1" t="s">
        <v>172</v>
      </c>
      <c r="L1071" s="1" t="s">
        <v>354</v>
      </c>
      <c r="M1071" t="str">
        <f t="shared" si="96"/>
        <v>Biondini</v>
      </c>
      <c r="N1071" t="str">
        <f t="shared" si="97"/>
        <v>canu</v>
      </c>
      <c r="O1071" t="str">
        <f t="shared" si="98"/>
        <v>Wiedmer</v>
      </c>
      <c r="P1071" t="str">
        <f t="shared" si="99"/>
        <v>Kunz</v>
      </c>
      <c r="Q1071">
        <f t="shared" si="100"/>
        <v>1</v>
      </c>
      <c r="R1071" t="str">
        <f t="shared" si="101"/>
        <v>Biondini-canu-Wiedmer-Kunz</v>
      </c>
    </row>
    <row r="1072" spans="1:18" x14ac:dyDescent="0.25">
      <c r="A1072" s="1" t="s">
        <v>11</v>
      </c>
      <c r="B1072" s="1">
        <v>69</v>
      </c>
      <c r="C1072" s="1" t="s">
        <v>27</v>
      </c>
      <c r="D1072" s="1">
        <v>1</v>
      </c>
      <c r="E1072" s="1" t="s">
        <v>155</v>
      </c>
      <c r="F1072" s="1">
        <v>20</v>
      </c>
      <c r="G1072" s="1">
        <v>22</v>
      </c>
      <c r="H1072" s="1" t="s">
        <v>147</v>
      </c>
      <c r="I1072" s="1" t="s">
        <v>268</v>
      </c>
      <c r="J1072" s="1" t="s">
        <v>284</v>
      </c>
      <c r="K1072" s="1" t="s">
        <v>172</v>
      </c>
      <c r="L1072" s="1" t="s">
        <v>354</v>
      </c>
      <c r="M1072" t="str">
        <f t="shared" si="96"/>
        <v>Ferragina</v>
      </c>
      <c r="N1072" t="str">
        <f t="shared" si="97"/>
        <v>Lucchiari</v>
      </c>
      <c r="O1072" t="str">
        <f t="shared" si="98"/>
        <v>Schiegg</v>
      </c>
      <c r="P1072" t="str">
        <f t="shared" si="99"/>
        <v>Amsler</v>
      </c>
      <c r="Q1072">
        <f t="shared" si="100"/>
        <v>0</v>
      </c>
      <c r="R1072" t="str">
        <f t="shared" si="101"/>
        <v>Ferragina-Lucchiari-Schiegg-Amsler</v>
      </c>
    </row>
    <row r="1073" spans="1:18" x14ac:dyDescent="0.25">
      <c r="A1073" s="1" t="s">
        <v>11</v>
      </c>
      <c r="B1073" s="1">
        <v>75</v>
      </c>
      <c r="C1073" s="1" t="s">
        <v>12</v>
      </c>
      <c r="D1073" s="1">
        <v>1</v>
      </c>
      <c r="E1073" s="1" t="s">
        <v>181</v>
      </c>
      <c r="F1073" s="1">
        <v>1</v>
      </c>
      <c r="G1073" s="1">
        <v>0</v>
      </c>
      <c r="H1073" s="1" t="s">
        <v>182</v>
      </c>
      <c r="I1073" s="1" t="s">
        <v>291</v>
      </c>
      <c r="J1073" s="1" t="s">
        <v>271</v>
      </c>
      <c r="K1073" s="1" t="s">
        <v>185</v>
      </c>
      <c r="L1073" s="1" t="s">
        <v>354</v>
      </c>
      <c r="M1073" t="str">
        <f t="shared" si="96"/>
        <v>Bak</v>
      </c>
      <c r="N1073" t="str">
        <f t="shared" si="97"/>
        <v>Bloch</v>
      </c>
      <c r="O1073" t="str">
        <f t="shared" si="98"/>
        <v>Molina</v>
      </c>
      <c r="P1073" t="str">
        <f t="shared" si="99"/>
        <v>Gebel</v>
      </c>
      <c r="Q1073">
        <f t="shared" si="100"/>
        <v>1</v>
      </c>
      <c r="R1073" t="str">
        <f t="shared" si="101"/>
        <v>Bak-Bloch-Molina-Gebel</v>
      </c>
    </row>
    <row r="1074" spans="1:18" x14ac:dyDescent="0.25">
      <c r="A1074" s="1" t="s">
        <v>11</v>
      </c>
      <c r="B1074" s="1">
        <v>79</v>
      </c>
      <c r="C1074" s="1" t="s">
        <v>18</v>
      </c>
      <c r="D1074" s="1">
        <v>2</v>
      </c>
      <c r="E1074" s="1" t="s">
        <v>181</v>
      </c>
      <c r="F1074" s="1">
        <v>1</v>
      </c>
      <c r="G1074" s="1">
        <v>0</v>
      </c>
      <c r="H1074" s="1" t="s">
        <v>182</v>
      </c>
      <c r="I1074" s="1" t="s">
        <v>293</v>
      </c>
      <c r="J1074" s="1" t="s">
        <v>394</v>
      </c>
      <c r="K1074" s="1" t="s">
        <v>185</v>
      </c>
      <c r="L1074" s="1" t="s">
        <v>354</v>
      </c>
      <c r="M1074" t="str">
        <f t="shared" si="96"/>
        <v>Flensted</v>
      </c>
      <c r="N1074" t="str">
        <f t="shared" si="97"/>
        <v>Hillebro</v>
      </c>
      <c r="O1074" t="str">
        <f t="shared" si="98"/>
        <v>R. Martin</v>
      </c>
      <c r="P1074" t="str">
        <f t="shared" si="99"/>
        <v>Villamariz</v>
      </c>
      <c r="Q1074">
        <f t="shared" si="100"/>
        <v>1</v>
      </c>
      <c r="R1074" t="str">
        <f t="shared" si="101"/>
        <v>Flensted-Hillebro-R. Martin-Villamariz</v>
      </c>
    </row>
    <row r="1075" spans="1:18" x14ac:dyDescent="0.25">
      <c r="A1075" s="1" t="s">
        <v>11</v>
      </c>
      <c r="B1075" s="1">
        <v>81</v>
      </c>
      <c r="C1075" s="1" t="s">
        <v>21</v>
      </c>
      <c r="D1075" s="1">
        <v>1</v>
      </c>
      <c r="E1075" s="1" t="s">
        <v>181</v>
      </c>
      <c r="F1075" s="1">
        <v>1</v>
      </c>
      <c r="G1075" s="1">
        <v>0</v>
      </c>
      <c r="H1075" s="1" t="s">
        <v>182</v>
      </c>
      <c r="I1075" s="1" t="s">
        <v>295</v>
      </c>
      <c r="J1075" s="1" t="s">
        <v>277</v>
      </c>
      <c r="K1075" s="1" t="s">
        <v>185</v>
      </c>
      <c r="L1075" s="1" t="s">
        <v>354</v>
      </c>
      <c r="M1075" t="str">
        <f t="shared" si="96"/>
        <v>Enevoldsen</v>
      </c>
      <c r="N1075" t="str">
        <f t="shared" si="97"/>
        <v>Sepstrup</v>
      </c>
      <c r="O1075" t="str">
        <f t="shared" si="98"/>
        <v>Thieren</v>
      </c>
      <c r="P1075" t="str">
        <f t="shared" si="99"/>
        <v>Hernández</v>
      </c>
      <c r="Q1075">
        <f t="shared" si="100"/>
        <v>1</v>
      </c>
      <c r="R1075" t="str">
        <f t="shared" si="101"/>
        <v>Enevoldsen-Sepstrup-Thieren-Hernández</v>
      </c>
    </row>
    <row r="1076" spans="1:18" x14ac:dyDescent="0.25">
      <c r="A1076" s="1" t="s">
        <v>11</v>
      </c>
      <c r="B1076" s="1">
        <v>85</v>
      </c>
      <c r="C1076" s="1" t="s">
        <v>24</v>
      </c>
      <c r="D1076" s="1">
        <v>2</v>
      </c>
      <c r="E1076" s="1" t="s">
        <v>181</v>
      </c>
      <c r="F1076" s="1">
        <v>0</v>
      </c>
      <c r="G1076" s="1">
        <v>1</v>
      </c>
      <c r="H1076" s="1" t="s">
        <v>182</v>
      </c>
      <c r="I1076" s="1" t="s">
        <v>297</v>
      </c>
      <c r="J1076" s="1" t="s">
        <v>280</v>
      </c>
      <c r="K1076" s="1" t="s">
        <v>185</v>
      </c>
      <c r="L1076" s="1" t="s">
        <v>354</v>
      </c>
      <c r="M1076" t="str">
        <f t="shared" si="96"/>
        <v>Andreassen</v>
      </c>
      <c r="N1076" t="str">
        <f t="shared" si="97"/>
        <v>Lund</v>
      </c>
      <c r="O1076" t="str">
        <f t="shared" si="98"/>
        <v>Andreu</v>
      </c>
      <c r="P1076" t="str">
        <f t="shared" si="99"/>
        <v>Valiente</v>
      </c>
      <c r="Q1076">
        <f t="shared" si="100"/>
        <v>0</v>
      </c>
      <c r="R1076" t="str">
        <f t="shared" si="101"/>
        <v>Andreassen-Lund-Andreu-Valiente</v>
      </c>
    </row>
    <row r="1077" spans="1:18" x14ac:dyDescent="0.25">
      <c r="A1077" s="1" t="s">
        <v>11</v>
      </c>
      <c r="B1077" s="1">
        <v>88</v>
      </c>
      <c r="C1077" s="1" t="s">
        <v>27</v>
      </c>
      <c r="D1077" s="1">
        <v>2</v>
      </c>
      <c r="E1077" s="1" t="s">
        <v>181</v>
      </c>
      <c r="F1077" s="1">
        <v>0</v>
      </c>
      <c r="G1077" s="1">
        <v>1</v>
      </c>
      <c r="H1077" s="1" t="s">
        <v>182</v>
      </c>
      <c r="I1077" s="1" t="s">
        <v>424</v>
      </c>
      <c r="J1077" s="1" t="s">
        <v>283</v>
      </c>
      <c r="K1077" s="1" t="s">
        <v>185</v>
      </c>
      <c r="L1077" s="1" t="s">
        <v>354</v>
      </c>
      <c r="M1077" t="str">
        <f t="shared" si="96"/>
        <v>Gregersen</v>
      </c>
      <c r="N1077" t="str">
        <f t="shared" si="97"/>
        <v>MH. Chang</v>
      </c>
      <c r="O1077" t="str">
        <f t="shared" si="98"/>
        <v>Roca</v>
      </c>
      <c r="P1077" t="str">
        <f t="shared" si="99"/>
        <v>Jiménez</v>
      </c>
      <c r="Q1077">
        <f t="shared" si="100"/>
        <v>0</v>
      </c>
      <c r="R1077" t="str">
        <f t="shared" si="101"/>
        <v>Gregersen-MH. Chang-Roca-Jiménez</v>
      </c>
    </row>
    <row r="1078" spans="1:18" x14ac:dyDescent="0.25">
      <c r="A1078" s="1" t="s">
        <v>11</v>
      </c>
      <c r="B1078" s="1">
        <v>3</v>
      </c>
      <c r="C1078" s="1" t="s">
        <v>12</v>
      </c>
      <c r="D1078" s="1">
        <v>1</v>
      </c>
      <c r="E1078" s="1" t="s">
        <v>195</v>
      </c>
      <c r="F1078" s="1">
        <v>19</v>
      </c>
      <c r="G1078" s="1">
        <v>21</v>
      </c>
      <c r="H1078" s="1" t="s">
        <v>146</v>
      </c>
      <c r="I1078" s="1" t="s">
        <v>230</v>
      </c>
      <c r="J1078" s="1" t="s">
        <v>234</v>
      </c>
      <c r="K1078" s="1" t="s">
        <v>198</v>
      </c>
      <c r="L1078" s="1" t="s">
        <v>354</v>
      </c>
      <c r="M1078" t="str">
        <f t="shared" si="96"/>
        <v>Hui</v>
      </c>
      <c r="N1078" t="str">
        <f t="shared" si="97"/>
        <v>O. Jenki</v>
      </c>
      <c r="O1078" t="str">
        <f t="shared" si="98"/>
        <v>Knauf</v>
      </c>
      <c r="P1078" t="str">
        <f t="shared" si="99"/>
        <v>Lorenz</v>
      </c>
      <c r="Q1078">
        <f t="shared" si="100"/>
        <v>0</v>
      </c>
      <c r="R1078" t="str">
        <f t="shared" si="101"/>
        <v>Hui-O. Jenki-Knauf-Lorenz</v>
      </c>
    </row>
    <row r="1079" spans="1:18" x14ac:dyDescent="0.25">
      <c r="A1079" s="1" t="s">
        <v>11</v>
      </c>
      <c r="B1079" s="1">
        <v>4</v>
      </c>
      <c r="C1079" s="1" t="s">
        <v>12</v>
      </c>
      <c r="D1079" s="1">
        <v>2</v>
      </c>
      <c r="E1079" s="1" t="s">
        <v>195</v>
      </c>
      <c r="F1079" s="1">
        <v>21</v>
      </c>
      <c r="G1079" s="1">
        <v>16</v>
      </c>
      <c r="H1079" s="1" t="s">
        <v>146</v>
      </c>
      <c r="I1079" s="1" t="s">
        <v>230</v>
      </c>
      <c r="J1079" s="1" t="s">
        <v>234</v>
      </c>
      <c r="K1079" s="1" t="s">
        <v>198</v>
      </c>
      <c r="L1079" s="1" t="s">
        <v>354</v>
      </c>
      <c r="M1079" t="str">
        <f t="shared" si="96"/>
        <v>Hui</v>
      </c>
      <c r="N1079" t="str">
        <f t="shared" si="97"/>
        <v>O. Jenki</v>
      </c>
      <c r="O1079" t="str">
        <f t="shared" si="98"/>
        <v>Knauf</v>
      </c>
      <c r="P1079" t="str">
        <f t="shared" si="99"/>
        <v>Lorenz</v>
      </c>
      <c r="Q1079">
        <f t="shared" si="100"/>
        <v>1</v>
      </c>
      <c r="R1079" t="str">
        <f t="shared" si="101"/>
        <v>Hui-O. Jenki-Knauf-Lorenz</v>
      </c>
    </row>
    <row r="1080" spans="1:18" x14ac:dyDescent="0.25">
      <c r="A1080" s="1" t="s">
        <v>11</v>
      </c>
      <c r="B1080" s="1">
        <v>5</v>
      </c>
      <c r="C1080" s="1" t="s">
        <v>12</v>
      </c>
      <c r="D1080" s="1">
        <v>3</v>
      </c>
      <c r="E1080" s="1" t="s">
        <v>195</v>
      </c>
      <c r="F1080" s="1">
        <v>21</v>
      </c>
      <c r="G1080" s="1">
        <v>23</v>
      </c>
      <c r="H1080" s="1" t="s">
        <v>146</v>
      </c>
      <c r="I1080" s="1" t="s">
        <v>230</v>
      </c>
      <c r="J1080" s="1" t="s">
        <v>234</v>
      </c>
      <c r="K1080" s="1" t="s">
        <v>198</v>
      </c>
      <c r="L1080" s="1" t="s">
        <v>354</v>
      </c>
      <c r="M1080" t="str">
        <f t="shared" si="96"/>
        <v>Hui</v>
      </c>
      <c r="N1080" t="str">
        <f t="shared" si="97"/>
        <v>O. Jenki</v>
      </c>
      <c r="O1080" t="str">
        <f t="shared" si="98"/>
        <v>Knauf</v>
      </c>
      <c r="P1080" t="str">
        <f t="shared" si="99"/>
        <v>Lorenz</v>
      </c>
      <c r="Q1080">
        <f t="shared" si="100"/>
        <v>0</v>
      </c>
      <c r="R1080" t="str">
        <f t="shared" si="101"/>
        <v>Hui-O. Jenki-Knauf-Lorenz</v>
      </c>
    </row>
    <row r="1081" spans="1:18" x14ac:dyDescent="0.25">
      <c r="A1081" s="1" t="s">
        <v>11</v>
      </c>
      <c r="B1081" s="1">
        <v>6</v>
      </c>
      <c r="C1081" s="1" t="s">
        <v>18</v>
      </c>
      <c r="D1081" s="1">
        <v>1</v>
      </c>
      <c r="E1081" s="1" t="s">
        <v>195</v>
      </c>
      <c r="F1081" s="1">
        <v>21</v>
      </c>
      <c r="G1081" s="1">
        <v>18</v>
      </c>
      <c r="H1081" s="1" t="s">
        <v>146</v>
      </c>
      <c r="I1081" s="1" t="s">
        <v>235</v>
      </c>
      <c r="J1081" s="1" t="s">
        <v>239</v>
      </c>
      <c r="K1081" s="1" t="s">
        <v>198</v>
      </c>
      <c r="L1081" s="1" t="s">
        <v>354</v>
      </c>
      <c r="M1081" t="str">
        <f t="shared" si="96"/>
        <v>Washburn</v>
      </c>
      <c r="N1081" t="str">
        <f t="shared" si="97"/>
        <v>A. Jenki</v>
      </c>
      <c r="O1081" t="str">
        <f t="shared" si="98"/>
        <v>F. Stadler</v>
      </c>
      <c r="P1081" t="str">
        <f t="shared" si="99"/>
        <v>J. Stadler</v>
      </c>
      <c r="Q1081">
        <f t="shared" si="100"/>
        <v>1</v>
      </c>
      <c r="R1081" t="str">
        <f t="shared" si="101"/>
        <v>Washburn-A. Jenki-F. Stadler-J. Stadler</v>
      </c>
    </row>
    <row r="1082" spans="1:18" x14ac:dyDescent="0.25">
      <c r="A1082" s="1" t="s">
        <v>11</v>
      </c>
      <c r="B1082" s="1">
        <v>7</v>
      </c>
      <c r="C1082" s="1" t="s">
        <v>18</v>
      </c>
      <c r="D1082" s="1">
        <v>2</v>
      </c>
      <c r="E1082" s="1" t="s">
        <v>195</v>
      </c>
      <c r="F1082" s="1">
        <v>19</v>
      </c>
      <c r="G1082" s="1">
        <v>21</v>
      </c>
      <c r="H1082" s="1" t="s">
        <v>146</v>
      </c>
      <c r="I1082" s="1" t="s">
        <v>235</v>
      </c>
      <c r="J1082" s="1" t="s">
        <v>239</v>
      </c>
      <c r="K1082" s="1" t="s">
        <v>198</v>
      </c>
      <c r="L1082" s="1" t="s">
        <v>354</v>
      </c>
      <c r="M1082" t="str">
        <f t="shared" si="96"/>
        <v>Washburn</v>
      </c>
      <c r="N1082" t="str">
        <f t="shared" si="97"/>
        <v>A. Jenki</v>
      </c>
      <c r="O1082" t="str">
        <f t="shared" si="98"/>
        <v>F. Stadler</v>
      </c>
      <c r="P1082" t="str">
        <f t="shared" si="99"/>
        <v>J. Stadler</v>
      </c>
      <c r="Q1082">
        <f t="shared" si="100"/>
        <v>0</v>
      </c>
      <c r="R1082" t="str">
        <f t="shared" si="101"/>
        <v>Washburn-A. Jenki-F. Stadler-J. Stadler</v>
      </c>
    </row>
    <row r="1083" spans="1:18" x14ac:dyDescent="0.25">
      <c r="A1083" s="1" t="s">
        <v>11</v>
      </c>
      <c r="B1083" s="1">
        <v>8</v>
      </c>
      <c r="C1083" s="1" t="s">
        <v>18</v>
      </c>
      <c r="D1083" s="1">
        <v>3</v>
      </c>
      <c r="E1083" s="1" t="s">
        <v>195</v>
      </c>
      <c r="F1083" s="1">
        <v>22</v>
      </c>
      <c r="G1083" s="1">
        <v>20</v>
      </c>
      <c r="H1083" s="1" t="s">
        <v>146</v>
      </c>
      <c r="I1083" s="1" t="s">
        <v>235</v>
      </c>
      <c r="J1083" s="1" t="s">
        <v>239</v>
      </c>
      <c r="K1083" s="1" t="s">
        <v>198</v>
      </c>
      <c r="L1083" s="1" t="s">
        <v>354</v>
      </c>
      <c r="M1083" t="str">
        <f t="shared" si="96"/>
        <v>Washburn</v>
      </c>
      <c r="N1083" t="str">
        <f t="shared" si="97"/>
        <v>A. Jenki</v>
      </c>
      <c r="O1083" t="str">
        <f t="shared" si="98"/>
        <v>F. Stadler</v>
      </c>
      <c r="P1083" t="str">
        <f t="shared" si="99"/>
        <v>J. Stadler</v>
      </c>
      <c r="Q1083">
        <f t="shared" si="100"/>
        <v>1</v>
      </c>
      <c r="R1083" t="str">
        <f t="shared" si="101"/>
        <v>Washburn-A. Jenki-F. Stadler-J. Stadler</v>
      </c>
    </row>
    <row r="1084" spans="1:18" x14ac:dyDescent="0.25">
      <c r="A1084" s="1" t="s">
        <v>11</v>
      </c>
      <c r="B1084" s="1">
        <v>9</v>
      </c>
      <c r="C1084" s="1" t="s">
        <v>21</v>
      </c>
      <c r="D1084" s="1">
        <v>1</v>
      </c>
      <c r="E1084" s="1" t="s">
        <v>195</v>
      </c>
      <c r="F1084" s="1">
        <v>21</v>
      </c>
      <c r="G1084" s="1">
        <v>16</v>
      </c>
      <c r="H1084" s="1" t="s">
        <v>146</v>
      </c>
      <c r="I1084" s="1" t="s">
        <v>240</v>
      </c>
      <c r="J1084" s="1" t="s">
        <v>244</v>
      </c>
      <c r="K1084" s="1" t="s">
        <v>198</v>
      </c>
      <c r="L1084" s="1" t="s">
        <v>354</v>
      </c>
      <c r="M1084" t="str">
        <f t="shared" si="96"/>
        <v>Morgan</v>
      </c>
      <c r="N1084" t="str">
        <f t="shared" si="97"/>
        <v>Fleming</v>
      </c>
      <c r="O1084" t="str">
        <f t="shared" si="98"/>
        <v>Gulden</v>
      </c>
      <c r="P1084" t="str">
        <f t="shared" si="99"/>
        <v>Haas</v>
      </c>
      <c r="Q1084">
        <f t="shared" si="100"/>
        <v>1</v>
      </c>
      <c r="R1084" t="str">
        <f t="shared" si="101"/>
        <v>Morgan-Fleming-Gulden-Haas</v>
      </c>
    </row>
    <row r="1085" spans="1:18" x14ac:dyDescent="0.25">
      <c r="A1085" s="1" t="s">
        <v>11</v>
      </c>
      <c r="B1085" s="1">
        <v>10</v>
      </c>
      <c r="C1085" s="1" t="s">
        <v>21</v>
      </c>
      <c r="D1085" s="1">
        <v>2</v>
      </c>
      <c r="E1085" s="1" t="s">
        <v>195</v>
      </c>
      <c r="F1085" s="1">
        <v>29</v>
      </c>
      <c r="G1085" s="1">
        <v>27</v>
      </c>
      <c r="H1085" s="1" t="s">
        <v>146</v>
      </c>
      <c r="I1085" s="1" t="s">
        <v>240</v>
      </c>
      <c r="J1085" s="1" t="s">
        <v>244</v>
      </c>
      <c r="K1085" s="1" t="s">
        <v>198</v>
      </c>
      <c r="L1085" s="1" t="s">
        <v>354</v>
      </c>
      <c r="M1085" t="str">
        <f t="shared" si="96"/>
        <v>Morgan</v>
      </c>
      <c r="N1085" t="str">
        <f t="shared" si="97"/>
        <v>Fleming</v>
      </c>
      <c r="O1085" t="str">
        <f t="shared" si="98"/>
        <v>Gulden</v>
      </c>
      <c r="P1085" t="str">
        <f t="shared" si="99"/>
        <v>Haas</v>
      </c>
      <c r="Q1085">
        <f t="shared" si="100"/>
        <v>1</v>
      </c>
      <c r="R1085" t="str">
        <f t="shared" si="101"/>
        <v>Morgan-Fleming-Gulden-Haas</v>
      </c>
    </row>
    <row r="1086" spans="1:18" x14ac:dyDescent="0.25">
      <c r="A1086" s="1" t="s">
        <v>11</v>
      </c>
      <c r="B1086" s="1">
        <v>12</v>
      </c>
      <c r="C1086" s="1" t="s">
        <v>24</v>
      </c>
      <c r="D1086" s="1">
        <v>1</v>
      </c>
      <c r="E1086" s="1" t="s">
        <v>195</v>
      </c>
      <c r="F1086" s="1">
        <v>21</v>
      </c>
      <c r="G1086" s="1">
        <v>19</v>
      </c>
      <c r="H1086" s="1" t="s">
        <v>146</v>
      </c>
      <c r="I1086" s="1" t="s">
        <v>245</v>
      </c>
      <c r="J1086" s="1" t="s">
        <v>249</v>
      </c>
      <c r="K1086" s="1" t="s">
        <v>198</v>
      </c>
      <c r="L1086" s="1" t="s">
        <v>354</v>
      </c>
      <c r="M1086" t="str">
        <f t="shared" si="96"/>
        <v>Pierson</v>
      </c>
      <c r="N1086" t="str">
        <f t="shared" si="97"/>
        <v>Phan</v>
      </c>
      <c r="O1086" t="str">
        <f t="shared" si="98"/>
        <v>Grob</v>
      </c>
      <c r="P1086" t="str">
        <f t="shared" si="99"/>
        <v>Peusch</v>
      </c>
      <c r="Q1086">
        <f t="shared" si="100"/>
        <v>1</v>
      </c>
      <c r="R1086" t="str">
        <f t="shared" si="101"/>
        <v>Pierson-Phan-Grob-Peusch</v>
      </c>
    </row>
    <row r="1087" spans="1:18" x14ac:dyDescent="0.25">
      <c r="A1087" s="1" t="s">
        <v>11</v>
      </c>
      <c r="B1087" s="1">
        <v>13</v>
      </c>
      <c r="C1087" s="1" t="s">
        <v>24</v>
      </c>
      <c r="D1087" s="1">
        <v>2</v>
      </c>
      <c r="E1087" s="1" t="s">
        <v>195</v>
      </c>
      <c r="F1087" s="1">
        <v>21</v>
      </c>
      <c r="G1087" s="1">
        <v>19</v>
      </c>
      <c r="H1087" s="1" t="s">
        <v>146</v>
      </c>
      <c r="I1087" s="1" t="s">
        <v>245</v>
      </c>
      <c r="J1087" s="1" t="s">
        <v>249</v>
      </c>
      <c r="K1087" s="1" t="s">
        <v>198</v>
      </c>
      <c r="L1087" s="1" t="s">
        <v>354</v>
      </c>
      <c r="M1087" t="str">
        <f t="shared" si="96"/>
        <v>Pierson</v>
      </c>
      <c r="N1087" t="str">
        <f t="shared" si="97"/>
        <v>Phan</v>
      </c>
      <c r="O1087" t="str">
        <f t="shared" si="98"/>
        <v>Grob</v>
      </c>
      <c r="P1087" t="str">
        <f t="shared" si="99"/>
        <v>Peusch</v>
      </c>
      <c r="Q1087">
        <f t="shared" si="100"/>
        <v>1</v>
      </c>
      <c r="R1087" t="str">
        <f t="shared" si="101"/>
        <v>Pierson-Phan-Grob-Peusch</v>
      </c>
    </row>
    <row r="1088" spans="1:18" x14ac:dyDescent="0.25">
      <c r="A1088" s="1" t="s">
        <v>11</v>
      </c>
      <c r="B1088" s="1">
        <v>15</v>
      </c>
      <c r="C1088" s="1" t="s">
        <v>27</v>
      </c>
      <c r="D1088" s="1">
        <v>1</v>
      </c>
      <c r="E1088" s="1" t="s">
        <v>195</v>
      </c>
      <c r="F1088" s="1">
        <v>21</v>
      </c>
      <c r="G1088" s="1">
        <v>19</v>
      </c>
      <c r="H1088" s="1" t="s">
        <v>146</v>
      </c>
      <c r="I1088" s="1" t="s">
        <v>250</v>
      </c>
      <c r="J1088" s="1" t="s">
        <v>367</v>
      </c>
      <c r="K1088" s="1" t="s">
        <v>198</v>
      </c>
      <c r="L1088" s="1" t="s">
        <v>354</v>
      </c>
      <c r="M1088" t="str">
        <f t="shared" si="96"/>
        <v>Timan</v>
      </c>
      <c r="N1088" t="str">
        <f t="shared" si="97"/>
        <v>Allen</v>
      </c>
      <c r="O1088" t="str">
        <f t="shared" si="98"/>
        <v>K. Bauer</v>
      </c>
      <c r="P1088" t="str">
        <f t="shared" si="99"/>
        <v>Walter</v>
      </c>
      <c r="Q1088">
        <f t="shared" si="100"/>
        <v>1</v>
      </c>
      <c r="R1088" t="str">
        <f t="shared" si="101"/>
        <v>Timan-Allen-K. Bauer-Walter</v>
      </c>
    </row>
    <row r="1089" spans="1:18" x14ac:dyDescent="0.25">
      <c r="A1089" s="1" t="s">
        <v>11</v>
      </c>
      <c r="B1089" s="1">
        <v>16</v>
      </c>
      <c r="C1089" s="1" t="s">
        <v>27</v>
      </c>
      <c r="D1089" s="1">
        <v>2</v>
      </c>
      <c r="E1089" s="1" t="s">
        <v>195</v>
      </c>
      <c r="F1089" s="1">
        <v>22</v>
      </c>
      <c r="G1089" s="1">
        <v>20</v>
      </c>
      <c r="H1089" s="1" t="s">
        <v>146</v>
      </c>
      <c r="I1089" s="1" t="s">
        <v>250</v>
      </c>
      <c r="J1089" s="1" t="s">
        <v>367</v>
      </c>
      <c r="K1089" s="1" t="s">
        <v>198</v>
      </c>
      <c r="L1089" s="1" t="s">
        <v>354</v>
      </c>
      <c r="M1089" t="str">
        <f t="shared" si="96"/>
        <v>Timan</v>
      </c>
      <c r="N1089" t="str">
        <f t="shared" si="97"/>
        <v>Allen</v>
      </c>
      <c r="O1089" t="str">
        <f t="shared" si="98"/>
        <v>K. Bauer</v>
      </c>
      <c r="P1089" t="str">
        <f t="shared" si="99"/>
        <v>Walter</v>
      </c>
      <c r="Q1089">
        <f t="shared" si="100"/>
        <v>1</v>
      </c>
      <c r="R1089" t="str">
        <f t="shared" si="101"/>
        <v>Timan-Allen-K. Bauer-Walter</v>
      </c>
    </row>
    <row r="1090" spans="1:18" x14ac:dyDescent="0.25">
      <c r="A1090" t="s">
        <v>11</v>
      </c>
      <c r="B1090">
        <v>21</v>
      </c>
      <c r="C1090" t="s">
        <v>12</v>
      </c>
      <c r="D1090">
        <v>1</v>
      </c>
      <c r="E1090" t="s">
        <v>156</v>
      </c>
      <c r="F1090">
        <v>21</v>
      </c>
      <c r="G1090">
        <v>16</v>
      </c>
      <c r="H1090" t="s">
        <v>168</v>
      </c>
      <c r="I1090" t="s">
        <v>255</v>
      </c>
      <c r="J1090" t="s">
        <v>232</v>
      </c>
      <c r="K1090" s="1" t="s">
        <v>369</v>
      </c>
      <c r="L1090" s="1" t="s">
        <v>354</v>
      </c>
      <c r="M1090" t="str">
        <f t="shared" ref="M1090:M1099" si="102">_xlfn.TEXTBEFORE(I1090,"/")</f>
        <v>Leybourne</v>
      </c>
      <c r="N1090" t="str">
        <f t="shared" ref="N1090:N1099" si="103">_xlfn.TEXTAFTER(I1090,"/ ")</f>
        <v>Kadlec</v>
      </c>
      <c r="O1090" t="str">
        <f t="shared" ref="O1090:O1099" si="104">_xlfn.TEXTBEFORE(J1090,"/")</f>
        <v>Alt</v>
      </c>
      <c r="P1090" t="str">
        <f t="shared" ref="P1090:P1099" si="105">_xlfn.TEXTAFTER(J1090,"/ ")</f>
        <v>Paysan</v>
      </c>
      <c r="Q1090">
        <f t="shared" ref="Q1090:Q1099" si="106">IF(F1090&gt;G1090,1,0)</f>
        <v>1</v>
      </c>
      <c r="R1090" t="str">
        <f t="shared" ref="R1090:R1099" si="107">_xlfn.TEXTJOIN("-",TRUE,M1090,N1090,O1090,P1090)</f>
        <v>Leybourne-Kadlec-Alt-Paysan</v>
      </c>
    </row>
    <row r="1091" spans="1:18" x14ac:dyDescent="0.25">
      <c r="A1091" t="s">
        <v>11</v>
      </c>
      <c r="B1091">
        <v>22</v>
      </c>
      <c r="C1091" t="s">
        <v>12</v>
      </c>
      <c r="D1091">
        <v>2</v>
      </c>
      <c r="E1091" t="s">
        <v>156</v>
      </c>
      <c r="F1091">
        <v>21</v>
      </c>
      <c r="G1091">
        <v>18</v>
      </c>
      <c r="H1091" t="s">
        <v>168</v>
      </c>
      <c r="I1091" t="s">
        <v>255</v>
      </c>
      <c r="J1091" t="s">
        <v>232</v>
      </c>
      <c r="K1091" s="1" t="s">
        <v>369</v>
      </c>
      <c r="L1091" s="1" t="s">
        <v>354</v>
      </c>
      <c r="M1091" t="str">
        <f t="shared" si="102"/>
        <v>Leybourne</v>
      </c>
      <c r="N1091" t="str">
        <f t="shared" si="103"/>
        <v>Kadlec</v>
      </c>
      <c r="O1091" t="str">
        <f t="shared" si="104"/>
        <v>Alt</v>
      </c>
      <c r="P1091" t="str">
        <f t="shared" si="105"/>
        <v>Paysan</v>
      </c>
      <c r="Q1091">
        <f t="shared" si="106"/>
        <v>1</v>
      </c>
      <c r="R1091" t="str">
        <f t="shared" si="107"/>
        <v>Leybourne-Kadlec-Alt-Paysan</v>
      </c>
    </row>
    <row r="1092" spans="1:18" x14ac:dyDescent="0.25">
      <c r="A1092" t="s">
        <v>11</v>
      </c>
      <c r="B1092">
        <v>24</v>
      </c>
      <c r="C1092" t="s">
        <v>18</v>
      </c>
      <c r="D1092">
        <v>1</v>
      </c>
      <c r="E1092" t="s">
        <v>156</v>
      </c>
      <c r="F1092">
        <v>21</v>
      </c>
      <c r="G1092">
        <v>16</v>
      </c>
      <c r="H1092" t="s">
        <v>168</v>
      </c>
      <c r="I1092" t="s">
        <v>258</v>
      </c>
      <c r="J1092" t="s">
        <v>237</v>
      </c>
      <c r="K1092" s="1" t="s">
        <v>369</v>
      </c>
      <c r="L1092" s="1" t="s">
        <v>354</v>
      </c>
      <c r="M1092" t="str">
        <f t="shared" si="102"/>
        <v>Kornek</v>
      </c>
      <c r="N1092" t="str">
        <f t="shared" si="103"/>
        <v>Teskey</v>
      </c>
      <c r="O1092" t="str">
        <f t="shared" si="104"/>
        <v>Duport</v>
      </c>
      <c r="P1092" t="str">
        <f t="shared" si="105"/>
        <v>Liza</v>
      </c>
      <c r="Q1092">
        <f t="shared" si="106"/>
        <v>1</v>
      </c>
      <c r="R1092" t="str">
        <f t="shared" si="107"/>
        <v>Kornek-Teskey-Duport-Liza</v>
      </c>
    </row>
    <row r="1093" spans="1:18" x14ac:dyDescent="0.25">
      <c r="A1093" t="s">
        <v>11</v>
      </c>
      <c r="B1093">
        <v>25</v>
      </c>
      <c r="C1093" t="s">
        <v>18</v>
      </c>
      <c r="D1093">
        <v>2</v>
      </c>
      <c r="E1093" t="s">
        <v>156</v>
      </c>
      <c r="F1093">
        <v>21</v>
      </c>
      <c r="G1093">
        <v>11</v>
      </c>
      <c r="H1093" t="s">
        <v>168</v>
      </c>
      <c r="I1093" t="s">
        <v>258</v>
      </c>
      <c r="J1093" t="s">
        <v>237</v>
      </c>
      <c r="K1093" s="1" t="s">
        <v>369</v>
      </c>
      <c r="L1093" s="1" t="s">
        <v>354</v>
      </c>
      <c r="M1093" t="str">
        <f t="shared" si="102"/>
        <v>Kornek</v>
      </c>
      <c r="N1093" t="str">
        <f t="shared" si="103"/>
        <v>Teskey</v>
      </c>
      <c r="O1093" t="str">
        <f t="shared" si="104"/>
        <v>Duport</v>
      </c>
      <c r="P1093" t="str">
        <f t="shared" si="105"/>
        <v>Liza</v>
      </c>
      <c r="Q1093">
        <f t="shared" si="106"/>
        <v>1</v>
      </c>
      <c r="R1093" t="str">
        <f t="shared" si="107"/>
        <v>Kornek-Teskey-Duport-Liza</v>
      </c>
    </row>
    <row r="1094" spans="1:18" x14ac:dyDescent="0.25">
      <c r="A1094" t="s">
        <v>11</v>
      </c>
      <c r="B1094">
        <v>27</v>
      </c>
      <c r="C1094" t="s">
        <v>21</v>
      </c>
      <c r="D1094">
        <v>1</v>
      </c>
      <c r="E1094" t="s">
        <v>156</v>
      </c>
      <c r="F1094">
        <v>14</v>
      </c>
      <c r="G1094">
        <v>21</v>
      </c>
      <c r="H1094" t="s">
        <v>168</v>
      </c>
      <c r="I1094" s="8" t="s">
        <v>368</v>
      </c>
      <c r="J1094" t="s">
        <v>395</v>
      </c>
      <c r="K1094" s="1" t="s">
        <v>369</v>
      </c>
      <c r="L1094" s="1" t="s">
        <v>354</v>
      </c>
      <c r="M1094" t="str">
        <f t="shared" si="102"/>
        <v>Lehner</v>
      </c>
      <c r="N1094" t="str">
        <f t="shared" si="103"/>
        <v>orlandini</v>
      </c>
      <c r="O1094" t="str">
        <f t="shared" si="104"/>
        <v>E. Martinez</v>
      </c>
      <c r="P1094" t="str">
        <f t="shared" si="105"/>
        <v>Rouault</v>
      </c>
      <c r="Q1094">
        <f t="shared" si="106"/>
        <v>0</v>
      </c>
      <c r="R1094" t="str">
        <f t="shared" si="107"/>
        <v>Lehner-orlandini-E. Martinez-Rouault</v>
      </c>
    </row>
    <row r="1095" spans="1:18" x14ac:dyDescent="0.25">
      <c r="A1095" t="s">
        <v>11</v>
      </c>
      <c r="B1095">
        <v>28</v>
      </c>
      <c r="C1095" t="s">
        <v>21</v>
      </c>
      <c r="D1095">
        <v>2</v>
      </c>
      <c r="E1095" t="s">
        <v>156</v>
      </c>
      <c r="F1095">
        <v>16</v>
      </c>
      <c r="G1095">
        <v>21</v>
      </c>
      <c r="H1095" t="s">
        <v>168</v>
      </c>
      <c r="I1095" s="8" t="s">
        <v>368</v>
      </c>
      <c r="J1095" t="s">
        <v>395</v>
      </c>
      <c r="K1095" s="1" t="s">
        <v>369</v>
      </c>
      <c r="L1095" s="1" t="s">
        <v>354</v>
      </c>
      <c r="M1095" t="str">
        <f t="shared" si="102"/>
        <v>Lehner</v>
      </c>
      <c r="N1095" t="str">
        <f t="shared" si="103"/>
        <v>orlandini</v>
      </c>
      <c r="O1095" t="str">
        <f t="shared" si="104"/>
        <v>E. Martinez</v>
      </c>
      <c r="P1095" t="str">
        <f t="shared" si="105"/>
        <v>Rouault</v>
      </c>
      <c r="Q1095">
        <f t="shared" si="106"/>
        <v>0</v>
      </c>
      <c r="R1095" t="str">
        <f t="shared" si="107"/>
        <v>Lehner-orlandini-E. Martinez-Rouault</v>
      </c>
    </row>
    <row r="1096" spans="1:18" x14ac:dyDescent="0.25">
      <c r="A1096" t="s">
        <v>11</v>
      </c>
      <c r="B1096">
        <v>30</v>
      </c>
      <c r="C1096" t="s">
        <v>24</v>
      </c>
      <c r="D1096">
        <v>1</v>
      </c>
      <c r="E1096" t="s">
        <v>156</v>
      </c>
      <c r="F1096">
        <v>21</v>
      </c>
      <c r="G1096">
        <v>14</v>
      </c>
      <c r="H1096" t="s">
        <v>168</v>
      </c>
      <c r="I1096" s="8" t="s">
        <v>366</v>
      </c>
      <c r="J1096" t="s">
        <v>247</v>
      </c>
      <c r="K1096" s="1" t="s">
        <v>369</v>
      </c>
      <c r="L1096" s="1" t="s">
        <v>354</v>
      </c>
      <c r="M1096" t="str">
        <f t="shared" si="102"/>
        <v>A. Bauer</v>
      </c>
      <c r="N1096" t="str">
        <f t="shared" si="103"/>
        <v>Sundl</v>
      </c>
      <c r="O1096" t="str">
        <f t="shared" si="104"/>
        <v>Joly</v>
      </c>
      <c r="P1096" t="str">
        <f t="shared" si="105"/>
        <v>Novarese</v>
      </c>
      <c r="Q1096">
        <f t="shared" si="106"/>
        <v>1</v>
      </c>
      <c r="R1096" t="str">
        <f t="shared" si="107"/>
        <v>A. Bauer-Sundl-Joly-Novarese</v>
      </c>
    </row>
    <row r="1097" spans="1:18" x14ac:dyDescent="0.25">
      <c r="A1097" t="s">
        <v>11</v>
      </c>
      <c r="B1097">
        <v>31</v>
      </c>
      <c r="C1097" t="s">
        <v>24</v>
      </c>
      <c r="D1097">
        <v>2</v>
      </c>
      <c r="E1097" t="s">
        <v>156</v>
      </c>
      <c r="F1097">
        <v>21</v>
      </c>
      <c r="G1097">
        <v>17</v>
      </c>
      <c r="H1097" t="s">
        <v>168</v>
      </c>
      <c r="I1097" s="8" t="s">
        <v>366</v>
      </c>
      <c r="J1097" t="s">
        <v>247</v>
      </c>
      <c r="K1097" s="1" t="s">
        <v>369</v>
      </c>
      <c r="L1097" s="1" t="s">
        <v>354</v>
      </c>
      <c r="M1097" t="str">
        <f t="shared" si="102"/>
        <v>A. Bauer</v>
      </c>
      <c r="N1097" t="str">
        <f t="shared" si="103"/>
        <v>Sundl</v>
      </c>
      <c r="O1097" t="str">
        <f t="shared" si="104"/>
        <v>Joly</v>
      </c>
      <c r="P1097" t="str">
        <f t="shared" si="105"/>
        <v>Novarese</v>
      </c>
      <c r="Q1097">
        <f t="shared" si="106"/>
        <v>1</v>
      </c>
      <c r="R1097" t="str">
        <f t="shared" si="107"/>
        <v>A. Bauer-Sundl-Joly-Novarese</v>
      </c>
    </row>
    <row r="1098" spans="1:18" x14ac:dyDescent="0.25">
      <c r="A1098" t="s">
        <v>11</v>
      </c>
      <c r="B1098">
        <v>33</v>
      </c>
      <c r="C1098" t="s">
        <v>27</v>
      </c>
      <c r="D1098">
        <v>1</v>
      </c>
      <c r="E1098" t="s">
        <v>156</v>
      </c>
      <c r="F1098">
        <v>25</v>
      </c>
      <c r="G1098">
        <v>23</v>
      </c>
      <c r="H1098" t="s">
        <v>168</v>
      </c>
      <c r="I1098" t="s">
        <v>267</v>
      </c>
      <c r="J1098" t="s">
        <v>252</v>
      </c>
      <c r="K1098" s="1" t="s">
        <v>369</v>
      </c>
      <c r="L1098" s="1" t="s">
        <v>354</v>
      </c>
      <c r="M1098" t="str">
        <f t="shared" si="102"/>
        <v>Mrak</v>
      </c>
      <c r="N1098" t="str">
        <f t="shared" si="103"/>
        <v>Seiberl</v>
      </c>
      <c r="O1098" t="str">
        <f t="shared" si="104"/>
        <v>Eydoux</v>
      </c>
      <c r="P1098" t="str">
        <f t="shared" si="105"/>
        <v>Martin</v>
      </c>
      <c r="Q1098">
        <f t="shared" si="106"/>
        <v>1</v>
      </c>
      <c r="R1098" t="str">
        <f t="shared" si="107"/>
        <v>Mrak-Seiberl-Eydoux-Martin</v>
      </c>
    </row>
    <row r="1099" spans="1:18" x14ac:dyDescent="0.25">
      <c r="A1099" t="s">
        <v>11</v>
      </c>
      <c r="B1099">
        <v>34</v>
      </c>
      <c r="C1099" t="s">
        <v>27</v>
      </c>
      <c r="D1099">
        <v>2</v>
      </c>
      <c r="E1099" t="s">
        <v>156</v>
      </c>
      <c r="F1099">
        <v>18</v>
      </c>
      <c r="G1099">
        <v>21</v>
      </c>
      <c r="H1099" t="s">
        <v>168</v>
      </c>
      <c r="I1099" t="s">
        <v>267</v>
      </c>
      <c r="J1099" t="s">
        <v>252</v>
      </c>
      <c r="K1099" s="1" t="s">
        <v>369</v>
      </c>
      <c r="L1099" s="1" t="s">
        <v>354</v>
      </c>
      <c r="M1099" t="str">
        <f t="shared" si="102"/>
        <v>Mrak</v>
      </c>
      <c r="N1099" t="str">
        <f t="shared" si="103"/>
        <v>Seiberl</v>
      </c>
      <c r="O1099" t="str">
        <f t="shared" si="104"/>
        <v>Eydoux</v>
      </c>
      <c r="P1099" t="str">
        <f t="shared" si="105"/>
        <v>Martin</v>
      </c>
      <c r="Q1099">
        <f t="shared" si="106"/>
        <v>0</v>
      </c>
      <c r="R1099" t="str">
        <f t="shared" si="107"/>
        <v>Mrak-Seiberl-Eydoux-Martin</v>
      </c>
    </row>
  </sheetData>
  <autoFilter ref="A1:K1" xr:uid="{6CD0EFA2-9231-4FE9-A3FF-79FE0B6C2565}"/>
  <sortState xmlns:xlrd2="http://schemas.microsoft.com/office/spreadsheetml/2017/richdata2" ref="A2:R1099">
    <sortCondition ref="L2:L1099"/>
    <sortCondition ref="A2:A1099"/>
  </sortState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FF2FF-FD61-41D4-98B0-7E265C90093A}">
  <dimension ref="A1:J30"/>
  <sheetViews>
    <sheetView zoomScale="69" workbookViewId="0">
      <selection activeCell="B17" sqref="B17"/>
    </sheetView>
  </sheetViews>
  <sheetFormatPr defaultRowHeight="13.2" x14ac:dyDescent="0.25"/>
  <sheetData>
    <row r="1" spans="1:10" ht="13.8" thickBot="1" x14ac:dyDescent="0.3">
      <c r="A1" t="s">
        <v>370</v>
      </c>
      <c r="B1" s="2">
        <v>45540</v>
      </c>
      <c r="C1" s="6" t="s">
        <v>378</v>
      </c>
      <c r="H1" t="s">
        <v>371</v>
      </c>
      <c r="I1" s="2">
        <v>45540</v>
      </c>
      <c r="J1" s="6" t="s">
        <v>378</v>
      </c>
    </row>
    <row r="2" spans="1:10" x14ac:dyDescent="0.25">
      <c r="A2" t="str" cm="1">
        <f t="array" ref="A2:A10">_xlfn.UNIQUE(Full!K2:K499)</f>
        <v>Turno G</v>
      </c>
      <c r="B2" t="str" cm="1">
        <f t="array" ref="B2:B30">_xlfn.UNIQUE('Men 5-9'!L2:L1156)</f>
        <v>Round 32</v>
      </c>
      <c r="C2" s="3" t="str" cm="1">
        <f t="array" ref="C2">_xlfn.XLOOKUP(B2,_xlfn.ANCHORARRAY($A$2),_xlfn.ANCHORARRAY($A$2))</f>
        <v>Round 32</v>
      </c>
      <c r="H2" t="str" cm="1">
        <f t="array" ref="H2:H26">_xlfn.UNIQUE(Full!K500:K874)</f>
        <v>Semi Final</v>
      </c>
      <c r="I2" t="str" cm="1">
        <f t="array" ref="I2:I25">_xlfn.UNIQUE('Women 5-9'!L2:L1015)</f>
        <v>Round 32</v>
      </c>
      <c r="J2" s="3" t="str">
        <f>_xlfn.XLOOKUP(I2,$H$2:$H$30,$H$2:$H$30)</f>
        <v>Round 32</v>
      </c>
    </row>
    <row r="3" spans="1:10" x14ac:dyDescent="0.25">
      <c r="A3" t="str">
        <v>Round 32</v>
      </c>
      <c r="B3" t="str">
        <v>Round 16</v>
      </c>
      <c r="C3" s="4" t="str" cm="1">
        <f t="array" ref="C3">_xlfn.XLOOKUP(B3,_xlfn.ANCHORARRAY($A$2),_xlfn.ANCHORARRAY($A$2))</f>
        <v>Round 16</v>
      </c>
      <c r="H3" t="str">
        <v>T13 - T16</v>
      </c>
      <c r="I3" t="str">
        <v>Round 16</v>
      </c>
      <c r="J3" s="4" t="str">
        <f t="shared" ref="J3:J30" si="0">_xlfn.XLOOKUP(I3,$H$2:$H$30,$H$2:$H$30)</f>
        <v>Round 16</v>
      </c>
    </row>
    <row r="4" spans="1:10" x14ac:dyDescent="0.25">
      <c r="A4" t="str">
        <v>Round 16</v>
      </c>
      <c r="B4" t="str">
        <v>T17 - T32</v>
      </c>
      <c r="C4" s="4" t="str" cm="1">
        <f t="array" ref="C4">_xlfn.XLOOKUP(B4,_xlfn.ANCHORARRAY($A$2),_xlfn.ANCHORARRAY($A$2))</f>
        <v>T17 - T32</v>
      </c>
      <c r="H4" t="str">
        <v>T17 - T20</v>
      </c>
      <c r="I4" t="str">
        <v>T17 - T32</v>
      </c>
      <c r="J4" s="4" t="e">
        <f t="shared" si="0"/>
        <v>#N/A</v>
      </c>
    </row>
    <row r="5" spans="1:10" x14ac:dyDescent="0.25">
      <c r="A5" t="str">
        <v>T17 - T32</v>
      </c>
      <c r="B5" t="str">
        <v>Round 8</v>
      </c>
      <c r="C5" s="4" t="str" cm="1">
        <f t="array" ref="C5">_xlfn.XLOOKUP(B5,_xlfn.ANCHORARRAY($A$2),_xlfn.ANCHORARRAY($A$2))</f>
        <v>Round 8</v>
      </c>
      <c r="H5" t="str">
        <v>T21 - T24</v>
      </c>
      <c r="I5" t="str">
        <v>Round 8</v>
      </c>
      <c r="J5" s="4" t="e">
        <f t="shared" si="0"/>
        <v>#N/A</v>
      </c>
    </row>
    <row r="6" spans="1:10" x14ac:dyDescent="0.25">
      <c r="A6" t="str">
        <v>Round 8</v>
      </c>
      <c r="B6" t="str">
        <v>T9 - T16</v>
      </c>
      <c r="C6" s="4" t="str" cm="1">
        <f t="array" ref="C6">_xlfn.XLOOKUP(B6,_xlfn.ANCHORARRAY($A$2),_xlfn.ANCHORARRAY($A$2))</f>
        <v>T9 - T16</v>
      </c>
      <c r="H6" t="str">
        <v>T25 - T28</v>
      </c>
      <c r="I6" t="str">
        <v>T9 - T16</v>
      </c>
      <c r="J6" s="4" t="e">
        <f t="shared" si="0"/>
        <v>#N/A</v>
      </c>
    </row>
    <row r="7" spans="1:10" x14ac:dyDescent="0.25">
      <c r="A7" t="str">
        <v>T17 - T24</v>
      </c>
      <c r="B7" t="str">
        <v>T17 - T24</v>
      </c>
      <c r="C7" s="4" t="str" cm="1">
        <f t="array" ref="C7">_xlfn.XLOOKUP(B7,_xlfn.ANCHORARRAY($A$2),_xlfn.ANCHORARRAY($A$2))</f>
        <v>T17 - T24</v>
      </c>
      <c r="H7" t="str">
        <v>T5 - T8</v>
      </c>
      <c r="I7" t="str">
        <v>T17 - T24</v>
      </c>
      <c r="J7" s="4" t="e">
        <f t="shared" si="0"/>
        <v>#N/A</v>
      </c>
    </row>
    <row r="8" spans="1:10" x14ac:dyDescent="0.25">
      <c r="A8" t="str">
        <v>T25 - T32</v>
      </c>
      <c r="B8" t="str">
        <v>T25 - T32</v>
      </c>
      <c r="C8" s="4" t="str" cm="1">
        <f t="array" ref="C8">_xlfn.XLOOKUP(B8,_xlfn.ANCHORARRAY($A$2),_xlfn.ANCHORARRAY($A$2))</f>
        <v>T25 - T32</v>
      </c>
      <c r="H8" t="str">
        <v>T9 - T12</v>
      </c>
      <c r="I8" t="str">
        <v>Semi Final</v>
      </c>
      <c r="J8" s="4" t="str">
        <f t="shared" si="0"/>
        <v>Semi Final</v>
      </c>
    </row>
    <row r="9" spans="1:10" x14ac:dyDescent="0.25">
      <c r="A9" t="str">
        <v>T9 - T16</v>
      </c>
      <c r="B9" t="str">
        <v>Semi Final</v>
      </c>
      <c r="C9" s="4" t="str" cm="1">
        <f t="array" ref="C9">_xlfn.XLOOKUP(B9,_xlfn.ANCHORARRAY($A$2),_xlfn.ANCHORARRAY($A$2))</f>
        <v>Semi Final</v>
      </c>
      <c r="H9" t="str">
        <v>11th and 12th</v>
      </c>
      <c r="I9" t="str">
        <v>T5 - T8</v>
      </c>
      <c r="J9" s="4" t="str">
        <f t="shared" si="0"/>
        <v>T5 - T8</v>
      </c>
    </row>
    <row r="10" spans="1:10" x14ac:dyDescent="0.25">
      <c r="A10" t="str">
        <v>Semi Final</v>
      </c>
      <c r="B10" t="str">
        <v>T5 - T8</v>
      </c>
      <c r="C10" s="4" t="e" cm="1">
        <f t="array" ref="C10">_xlfn.XLOOKUP(B10,_xlfn.ANCHORARRAY($A$2),_xlfn.ANCHORARRAY($A$2))</f>
        <v>#N/A</v>
      </c>
      <c r="H10" t="str">
        <v>13th and 14th</v>
      </c>
      <c r="I10" t="str">
        <v>T9 - T12</v>
      </c>
      <c r="J10" s="4" t="str">
        <f t="shared" si="0"/>
        <v>T9 - T12</v>
      </c>
    </row>
    <row r="11" spans="1:10" x14ac:dyDescent="0.25">
      <c r="B11" t="str">
        <v>T9 - T12</v>
      </c>
      <c r="C11" s="4" t="e" cm="1">
        <f t="array" ref="C11">_xlfn.XLOOKUP(B11,_xlfn.ANCHORARRAY($A$2),_xlfn.ANCHORARRAY($A$2))</f>
        <v>#N/A</v>
      </c>
      <c r="H11" t="str">
        <v>15th and 16th</v>
      </c>
      <c r="I11" t="str">
        <v>T13 - T16</v>
      </c>
      <c r="J11" s="4" t="str">
        <f t="shared" si="0"/>
        <v>T13 - T16</v>
      </c>
    </row>
    <row r="12" spans="1:10" x14ac:dyDescent="0.25">
      <c r="B12" t="str">
        <v>T13 - T16</v>
      </c>
      <c r="C12" s="4" t="e" cm="1">
        <f t="array" ref="C12">_xlfn.XLOOKUP(B12,_xlfn.ANCHORARRAY($A$2),_xlfn.ANCHORARRAY($A$2))</f>
        <v>#N/A</v>
      </c>
      <c r="H12" t="str">
        <v>17th and 18th</v>
      </c>
      <c r="I12" t="str">
        <v>T17 - T20</v>
      </c>
      <c r="J12" s="4" t="str">
        <f t="shared" si="0"/>
        <v>T17 - T20</v>
      </c>
    </row>
    <row r="13" spans="1:10" x14ac:dyDescent="0.25">
      <c r="B13" t="str">
        <v>T17 - T20</v>
      </c>
      <c r="C13" s="4" t="e" cm="1">
        <f t="array" ref="C13">_xlfn.XLOOKUP(B13,_xlfn.ANCHORARRAY($A$2),_xlfn.ANCHORARRAY($A$2))</f>
        <v>#N/A</v>
      </c>
      <c r="H13" t="str">
        <v>19th and 20th</v>
      </c>
      <c r="I13" t="str">
        <v>T21 - T24</v>
      </c>
      <c r="J13" s="4" t="str">
        <f t="shared" si="0"/>
        <v>T21 - T24</v>
      </c>
    </row>
    <row r="14" spans="1:10" x14ac:dyDescent="0.25">
      <c r="B14" t="str">
        <v>T21 - T24</v>
      </c>
      <c r="C14" s="4" t="e" cm="1">
        <f t="array" ref="C14">_xlfn.XLOOKUP(B14,_xlfn.ANCHORARRAY($A$2),_xlfn.ANCHORARRAY($A$2))</f>
        <v>#N/A</v>
      </c>
      <c r="H14" t="str">
        <v>21st and 22nd</v>
      </c>
      <c r="I14" t="str">
        <v>Final</v>
      </c>
      <c r="J14" s="4" t="str">
        <f t="shared" si="0"/>
        <v>Final</v>
      </c>
    </row>
    <row r="15" spans="1:10" x14ac:dyDescent="0.25">
      <c r="B15" t="str">
        <v>T25 - T28</v>
      </c>
      <c r="C15" s="4" t="e" cm="1">
        <f t="array" ref="C15">_xlfn.XLOOKUP(B15,_xlfn.ANCHORARRAY($A$2),_xlfn.ANCHORARRAY($A$2))</f>
        <v>#N/A</v>
      </c>
      <c r="H15" t="str">
        <v>23rd and 24th</v>
      </c>
      <c r="I15" t="str">
        <v>5th and 6th</v>
      </c>
      <c r="J15" s="4" t="str">
        <f t="shared" si="0"/>
        <v>5th and 6th</v>
      </c>
    </row>
    <row r="16" spans="1:10" x14ac:dyDescent="0.25">
      <c r="B16" t="str">
        <v>Final</v>
      </c>
      <c r="C16" s="4" t="e" cm="1">
        <f t="array" ref="C16">_xlfn.XLOOKUP(B16,_xlfn.ANCHORARRAY($A$2),_xlfn.ANCHORARRAY($A$2))</f>
        <v>#N/A</v>
      </c>
      <c r="H16" t="str">
        <v>25th and 26th</v>
      </c>
      <c r="I16" t="str">
        <v>7th and 8th</v>
      </c>
      <c r="J16" s="4" t="str">
        <f t="shared" si="0"/>
        <v>7th and 8th</v>
      </c>
    </row>
    <row r="17" spans="2:10" x14ac:dyDescent="0.25">
      <c r="B17" t="str">
        <v>3rd and 4th</v>
      </c>
      <c r="C17" s="4" t="e" cm="1">
        <f t="array" ref="C17">_xlfn.XLOOKUP(B17,_xlfn.ANCHORARRAY($A$2),_xlfn.ANCHORARRAY($A$2))</f>
        <v>#N/A</v>
      </c>
      <c r="H17" t="str">
        <v>27th and 28th</v>
      </c>
      <c r="I17" t="str">
        <v>9th and 10th</v>
      </c>
      <c r="J17" s="4" t="str">
        <f t="shared" si="0"/>
        <v>9th and 10th</v>
      </c>
    </row>
    <row r="18" spans="2:10" x14ac:dyDescent="0.25">
      <c r="B18" t="str">
        <v>5th and 6th</v>
      </c>
      <c r="C18" s="4" t="e" cm="1">
        <f t="array" ref="C18">_xlfn.XLOOKUP(B18,_xlfn.ANCHORARRAY($A$2),_xlfn.ANCHORARRAY($A$2))</f>
        <v>#N/A</v>
      </c>
      <c r="H18" t="str">
        <v>29th and 30th</v>
      </c>
      <c r="I18" t="str">
        <v>11th and 12th</v>
      </c>
      <c r="J18" s="4" t="str">
        <f t="shared" si="0"/>
        <v>11th and 12th</v>
      </c>
    </row>
    <row r="19" spans="2:10" x14ac:dyDescent="0.25">
      <c r="B19" t="str">
        <v>7th and 8th</v>
      </c>
      <c r="C19" s="4" t="e" cm="1">
        <f t="array" ref="C19">_xlfn.XLOOKUP(B19,_xlfn.ANCHORARRAY($A$2),_xlfn.ANCHORARRAY($A$2))</f>
        <v>#N/A</v>
      </c>
      <c r="H19" t="str">
        <v>Final 3rd Place</v>
      </c>
      <c r="I19" t="str">
        <v>13th and 14th</v>
      </c>
      <c r="J19" s="4" t="str">
        <f t="shared" si="0"/>
        <v>13th and 14th</v>
      </c>
    </row>
    <row r="20" spans="2:10" x14ac:dyDescent="0.25">
      <c r="B20" t="str">
        <v>9th and 10th</v>
      </c>
      <c r="C20" s="4" t="e" cm="1">
        <f t="array" ref="C20">_xlfn.XLOOKUP(B20,_xlfn.ANCHORARRAY($A$2),_xlfn.ANCHORARRAY($A$2))</f>
        <v>#N/A</v>
      </c>
      <c r="H20" t="str">
        <v>5th and 6th</v>
      </c>
      <c r="I20" t="str">
        <v>15th and 16th</v>
      </c>
      <c r="J20" s="4" t="str">
        <f t="shared" si="0"/>
        <v>15th and 16th</v>
      </c>
    </row>
    <row r="21" spans="2:10" x14ac:dyDescent="0.25">
      <c r="B21" t="str">
        <v>11th and 12th</v>
      </c>
      <c r="C21" s="4" t="e" cm="1">
        <f t="array" ref="C21">_xlfn.XLOOKUP(B21,_xlfn.ANCHORARRAY($A$2),_xlfn.ANCHORARRAY($A$2))</f>
        <v>#N/A</v>
      </c>
      <c r="H21" t="str">
        <v>7th and 8th</v>
      </c>
      <c r="I21" t="str">
        <v>17th and 18th</v>
      </c>
      <c r="J21" s="4" t="str">
        <f t="shared" si="0"/>
        <v>17th and 18th</v>
      </c>
    </row>
    <row r="22" spans="2:10" x14ac:dyDescent="0.25">
      <c r="B22" t="str">
        <v>13th and 14th</v>
      </c>
      <c r="C22" s="4" t="e" cm="1">
        <f t="array" ref="C22">_xlfn.XLOOKUP(B22,_xlfn.ANCHORARRAY($A$2),_xlfn.ANCHORARRAY($A$2))</f>
        <v>#N/A</v>
      </c>
      <c r="H22" t="str">
        <v>9th and 10th</v>
      </c>
      <c r="I22" t="str">
        <v>19th and 20th</v>
      </c>
      <c r="J22" s="4" t="str">
        <f t="shared" si="0"/>
        <v>19th and 20th</v>
      </c>
    </row>
    <row r="23" spans="2:10" x14ac:dyDescent="0.25">
      <c r="B23" t="str">
        <v>15th and 16th</v>
      </c>
      <c r="C23" s="4" t="e" cm="1">
        <f t="array" ref="C23">_xlfn.XLOOKUP(B23,_xlfn.ANCHORARRAY($A$2),_xlfn.ANCHORARRAY($A$2))</f>
        <v>#N/A</v>
      </c>
      <c r="H23" t="str">
        <v>Final</v>
      </c>
      <c r="I23" t="str">
        <v>21st and 22nd</v>
      </c>
      <c r="J23" s="4" t="str">
        <f t="shared" si="0"/>
        <v>21st and 22nd</v>
      </c>
    </row>
    <row r="24" spans="2:10" x14ac:dyDescent="0.25">
      <c r="B24" t="str">
        <v>17th and 18th</v>
      </c>
      <c r="C24" s="4" t="e" cm="1">
        <f t="array" ref="C24">_xlfn.XLOOKUP(B24,_xlfn.ANCHORARRAY($A$2),_xlfn.ANCHORARRAY($A$2))</f>
        <v>#N/A</v>
      </c>
      <c r="H24" t="str">
        <v>Turno G</v>
      </c>
      <c r="I24" t="str">
        <v>23rd and 24th</v>
      </c>
      <c r="J24" s="4" t="str">
        <f t="shared" si="0"/>
        <v>23rd and 24th</v>
      </c>
    </row>
    <row r="25" spans="2:10" x14ac:dyDescent="0.25">
      <c r="B25" t="str">
        <v>19th and 20th</v>
      </c>
      <c r="C25" s="4" t="e" cm="1">
        <f t="array" ref="C25">_xlfn.XLOOKUP(B25,_xlfn.ANCHORARRAY($A$2),_xlfn.ANCHORARRAY($A$2))</f>
        <v>#N/A</v>
      </c>
      <c r="H25" t="str">
        <v>Round 32</v>
      </c>
      <c r="I25" t="str">
        <v>25th and 26th</v>
      </c>
      <c r="J25" s="4" t="str">
        <f t="shared" si="0"/>
        <v>25th and 26th</v>
      </c>
    </row>
    <row r="26" spans="2:10" x14ac:dyDescent="0.25">
      <c r="B26" t="str">
        <v>21st and 22nd</v>
      </c>
      <c r="C26" s="4" t="e" cm="1">
        <f t="array" ref="C26">_xlfn.XLOOKUP(B26,_xlfn.ANCHORARRAY($A$2),_xlfn.ANCHORARRAY($A$2))</f>
        <v>#N/A</v>
      </c>
      <c r="H26" t="str">
        <v>Round 16</v>
      </c>
      <c r="J26" s="4">
        <f t="shared" si="0"/>
        <v>0</v>
      </c>
    </row>
    <row r="27" spans="2:10" x14ac:dyDescent="0.25">
      <c r="B27" t="str">
        <v>23rd and 24th</v>
      </c>
      <c r="C27" s="4" t="e" cm="1">
        <f t="array" ref="C27">_xlfn.XLOOKUP(B27,_xlfn.ANCHORARRAY($A$2),_xlfn.ANCHORARRAY($A$2))</f>
        <v>#N/A</v>
      </c>
      <c r="J27" s="4">
        <f t="shared" si="0"/>
        <v>0</v>
      </c>
    </row>
    <row r="28" spans="2:10" x14ac:dyDescent="0.25">
      <c r="B28" t="str">
        <v>25th and 26th</v>
      </c>
      <c r="C28" s="4" t="e" cm="1">
        <f t="array" ref="C28">_xlfn.XLOOKUP(B28,_xlfn.ANCHORARRAY($A$2),_xlfn.ANCHORARRAY($A$2))</f>
        <v>#N/A</v>
      </c>
      <c r="J28" s="4">
        <f t="shared" si="0"/>
        <v>0</v>
      </c>
    </row>
    <row r="29" spans="2:10" x14ac:dyDescent="0.25">
      <c r="B29" t="str">
        <v>27th and 28th</v>
      </c>
      <c r="C29" s="4" t="e" cm="1">
        <f t="array" ref="C29">_xlfn.XLOOKUP(B29,_xlfn.ANCHORARRAY($A$2),_xlfn.ANCHORARRAY($A$2))</f>
        <v>#N/A</v>
      </c>
      <c r="J29" s="4">
        <f t="shared" si="0"/>
        <v>0</v>
      </c>
    </row>
    <row r="30" spans="2:10" ht="13.8" thickBot="1" x14ac:dyDescent="0.3">
      <c r="B30" t="str">
        <v>29th and 30th</v>
      </c>
      <c r="C30" s="5" t="e" cm="1">
        <f t="array" ref="C30">_xlfn.XLOOKUP(B30,_xlfn.ANCHORARRAY($A$2),_xlfn.ANCHORARRAY($A$2))</f>
        <v>#N/A</v>
      </c>
      <c r="J30" s="5">
        <f t="shared" si="0"/>
        <v>0</v>
      </c>
    </row>
  </sheetData>
  <conditionalFormatting sqref="C1:C1048576">
    <cfRule type="containsText" dxfId="1" priority="2" operator="containsText" text="#N/D">
      <formula>NOT(ISERROR(SEARCH("#N/D",C1)))</formula>
    </cfRule>
  </conditionalFormatting>
  <conditionalFormatting sqref="J1:J30">
    <cfRule type="containsText" dxfId="0" priority="1" operator="containsText" text="#N/D">
      <formula>NOT(ISERROR(SEARCH("#N/D",J1)))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90AE-58AC-4750-AEDA-658B586454AA}">
  <dimension ref="A1:L1157"/>
  <sheetViews>
    <sheetView topLeftCell="A917" workbookViewId="0">
      <selection activeCell="J961" sqref="A932:XFD961"/>
    </sheetView>
  </sheetViews>
  <sheetFormatPr defaultRowHeight="13.2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372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213</v>
      </c>
      <c r="B2">
        <v>3</v>
      </c>
      <c r="C2" t="s">
        <v>12</v>
      </c>
      <c r="D2">
        <v>1</v>
      </c>
      <c r="E2" t="s">
        <v>194</v>
      </c>
      <c r="F2">
        <v>1</v>
      </c>
      <c r="G2" t="s">
        <v>372</v>
      </c>
      <c r="H2">
        <v>0</v>
      </c>
      <c r="I2" t="s">
        <v>225</v>
      </c>
      <c r="J2" t="s">
        <v>196</v>
      </c>
      <c r="L2" t="s">
        <v>214</v>
      </c>
    </row>
    <row r="3" spans="1:12" x14ac:dyDescent="0.25">
      <c r="A3" t="s">
        <v>213</v>
      </c>
      <c r="B3">
        <v>4</v>
      </c>
      <c r="C3" t="s">
        <v>12</v>
      </c>
      <c r="D3">
        <v>2</v>
      </c>
      <c r="E3" t="s">
        <v>194</v>
      </c>
      <c r="F3">
        <v>1</v>
      </c>
      <c r="G3" t="s">
        <v>372</v>
      </c>
      <c r="H3">
        <v>0</v>
      </c>
      <c r="I3" t="s">
        <v>225</v>
      </c>
      <c r="J3" t="s">
        <v>196</v>
      </c>
      <c r="L3" t="s">
        <v>214</v>
      </c>
    </row>
    <row r="4" spans="1:12" x14ac:dyDescent="0.25">
      <c r="A4" t="s">
        <v>213</v>
      </c>
      <c r="B4">
        <v>5</v>
      </c>
      <c r="C4" t="s">
        <v>12</v>
      </c>
      <c r="D4">
        <v>3</v>
      </c>
      <c r="E4" t="s">
        <v>194</v>
      </c>
      <c r="G4" t="s">
        <v>372</v>
      </c>
      <c r="I4" t="s">
        <v>225</v>
      </c>
      <c r="J4" t="s">
        <v>196</v>
      </c>
      <c r="L4" t="s">
        <v>214</v>
      </c>
    </row>
    <row r="5" spans="1:12" x14ac:dyDescent="0.25">
      <c r="A5" t="s">
        <v>213</v>
      </c>
      <c r="B5">
        <v>6</v>
      </c>
      <c r="C5" t="s">
        <v>18</v>
      </c>
      <c r="D5">
        <v>1</v>
      </c>
      <c r="E5" t="s">
        <v>194</v>
      </c>
      <c r="F5">
        <v>1</v>
      </c>
      <c r="G5" t="s">
        <v>372</v>
      </c>
      <c r="H5">
        <v>0</v>
      </c>
      <c r="I5" t="s">
        <v>225</v>
      </c>
      <c r="J5" t="s">
        <v>199</v>
      </c>
      <c r="L5" t="s">
        <v>214</v>
      </c>
    </row>
    <row r="6" spans="1:12" x14ac:dyDescent="0.25">
      <c r="A6" t="s">
        <v>213</v>
      </c>
      <c r="B6">
        <v>7</v>
      </c>
      <c r="C6" t="s">
        <v>18</v>
      </c>
      <c r="D6">
        <v>2</v>
      </c>
      <c r="E6" t="s">
        <v>194</v>
      </c>
      <c r="F6">
        <v>1</v>
      </c>
      <c r="G6" t="s">
        <v>372</v>
      </c>
      <c r="H6">
        <v>0</v>
      </c>
      <c r="I6" t="s">
        <v>225</v>
      </c>
      <c r="J6" t="s">
        <v>199</v>
      </c>
      <c r="L6" t="s">
        <v>214</v>
      </c>
    </row>
    <row r="7" spans="1:12" x14ac:dyDescent="0.25">
      <c r="A7" t="s">
        <v>213</v>
      </c>
      <c r="B7">
        <v>8</v>
      </c>
      <c r="C7" t="s">
        <v>18</v>
      </c>
      <c r="D7">
        <v>3</v>
      </c>
      <c r="E7" t="s">
        <v>194</v>
      </c>
      <c r="G7" t="s">
        <v>372</v>
      </c>
      <c r="I7" t="s">
        <v>225</v>
      </c>
      <c r="J7" t="s">
        <v>199</v>
      </c>
      <c r="L7" t="s">
        <v>214</v>
      </c>
    </row>
    <row r="8" spans="1:12" x14ac:dyDescent="0.25">
      <c r="A8" t="s">
        <v>213</v>
      </c>
      <c r="B8">
        <v>9</v>
      </c>
      <c r="C8" t="s">
        <v>21</v>
      </c>
      <c r="D8">
        <v>1</v>
      </c>
      <c r="E8" t="s">
        <v>194</v>
      </c>
      <c r="F8">
        <v>1</v>
      </c>
      <c r="G8" t="s">
        <v>372</v>
      </c>
      <c r="H8">
        <v>0</v>
      </c>
      <c r="I8" t="s">
        <v>225</v>
      </c>
      <c r="J8" t="s">
        <v>201</v>
      </c>
      <c r="L8" t="s">
        <v>214</v>
      </c>
    </row>
    <row r="9" spans="1:12" x14ac:dyDescent="0.25">
      <c r="A9" t="s">
        <v>213</v>
      </c>
      <c r="B9">
        <v>10</v>
      </c>
      <c r="C9" t="s">
        <v>21</v>
      </c>
      <c r="D9">
        <v>2</v>
      </c>
      <c r="E9" t="s">
        <v>194</v>
      </c>
      <c r="F9">
        <v>1</v>
      </c>
      <c r="G9" t="s">
        <v>372</v>
      </c>
      <c r="H9">
        <v>0</v>
      </c>
      <c r="I9" t="s">
        <v>225</v>
      </c>
      <c r="J9" t="s">
        <v>201</v>
      </c>
      <c r="L9" t="s">
        <v>214</v>
      </c>
    </row>
    <row r="10" spans="1:12" x14ac:dyDescent="0.25">
      <c r="A10" t="s">
        <v>213</v>
      </c>
      <c r="B10">
        <v>11</v>
      </c>
      <c r="C10" t="s">
        <v>21</v>
      </c>
      <c r="D10">
        <v>3</v>
      </c>
      <c r="E10" t="s">
        <v>194</v>
      </c>
      <c r="G10" t="s">
        <v>372</v>
      </c>
      <c r="I10" t="s">
        <v>225</v>
      </c>
      <c r="J10" t="s">
        <v>201</v>
      </c>
      <c r="L10" t="s">
        <v>214</v>
      </c>
    </row>
    <row r="11" spans="1:12" x14ac:dyDescent="0.25">
      <c r="A11" t="s">
        <v>213</v>
      </c>
      <c r="B11">
        <v>12</v>
      </c>
      <c r="C11" t="s">
        <v>24</v>
      </c>
      <c r="D11">
        <v>1</v>
      </c>
      <c r="E11" t="s">
        <v>194</v>
      </c>
      <c r="F11">
        <v>1</v>
      </c>
      <c r="G11" t="s">
        <v>372</v>
      </c>
      <c r="H11">
        <v>0</v>
      </c>
      <c r="I11" t="s">
        <v>225</v>
      </c>
      <c r="J11" t="s">
        <v>203</v>
      </c>
      <c r="L11" t="s">
        <v>214</v>
      </c>
    </row>
    <row r="12" spans="1:12" x14ac:dyDescent="0.25">
      <c r="A12" t="s">
        <v>213</v>
      </c>
      <c r="B12">
        <v>13</v>
      </c>
      <c r="C12" t="s">
        <v>24</v>
      </c>
      <c r="D12">
        <v>2</v>
      </c>
      <c r="E12" t="s">
        <v>194</v>
      </c>
      <c r="F12">
        <v>1</v>
      </c>
      <c r="G12" t="s">
        <v>372</v>
      </c>
      <c r="H12">
        <v>0</v>
      </c>
      <c r="I12" t="s">
        <v>225</v>
      </c>
      <c r="J12" t="s">
        <v>203</v>
      </c>
      <c r="L12" t="s">
        <v>214</v>
      </c>
    </row>
    <row r="13" spans="1:12" x14ac:dyDescent="0.25">
      <c r="A13" t="s">
        <v>213</v>
      </c>
      <c r="B13">
        <v>14</v>
      </c>
      <c r="C13" t="s">
        <v>24</v>
      </c>
      <c r="D13">
        <v>3</v>
      </c>
      <c r="E13" t="s">
        <v>194</v>
      </c>
      <c r="G13" t="s">
        <v>372</v>
      </c>
      <c r="I13" t="s">
        <v>225</v>
      </c>
      <c r="J13" t="s">
        <v>203</v>
      </c>
      <c r="L13" t="s">
        <v>214</v>
      </c>
    </row>
    <row r="14" spans="1:12" x14ac:dyDescent="0.25">
      <c r="A14" t="s">
        <v>213</v>
      </c>
      <c r="B14">
        <v>15</v>
      </c>
      <c r="C14" t="s">
        <v>27</v>
      </c>
      <c r="D14">
        <v>1</v>
      </c>
      <c r="E14" t="s">
        <v>194</v>
      </c>
      <c r="F14">
        <v>1</v>
      </c>
      <c r="G14" t="s">
        <v>372</v>
      </c>
      <c r="H14">
        <v>0</v>
      </c>
      <c r="I14" t="s">
        <v>225</v>
      </c>
      <c r="J14" t="s">
        <v>205</v>
      </c>
      <c r="L14" t="s">
        <v>214</v>
      </c>
    </row>
    <row r="15" spans="1:12" x14ac:dyDescent="0.25">
      <c r="A15" t="s">
        <v>213</v>
      </c>
      <c r="B15">
        <v>16</v>
      </c>
      <c r="C15" t="s">
        <v>27</v>
      </c>
      <c r="D15">
        <v>2</v>
      </c>
      <c r="E15" t="s">
        <v>194</v>
      </c>
      <c r="F15">
        <v>1</v>
      </c>
      <c r="G15" t="s">
        <v>372</v>
      </c>
      <c r="H15">
        <v>0</v>
      </c>
      <c r="I15" t="s">
        <v>225</v>
      </c>
      <c r="J15" t="s">
        <v>205</v>
      </c>
      <c r="L15" t="s">
        <v>214</v>
      </c>
    </row>
    <row r="16" spans="1:12" x14ac:dyDescent="0.25">
      <c r="A16" t="s">
        <v>213</v>
      </c>
      <c r="B16">
        <v>17</v>
      </c>
      <c r="C16" t="s">
        <v>27</v>
      </c>
      <c r="D16">
        <v>3</v>
      </c>
      <c r="E16" t="s">
        <v>194</v>
      </c>
      <c r="G16" t="s">
        <v>372</v>
      </c>
      <c r="I16" t="s">
        <v>225</v>
      </c>
      <c r="J16" t="s">
        <v>205</v>
      </c>
      <c r="L16" t="s">
        <v>214</v>
      </c>
    </row>
    <row r="17" spans="1:12" x14ac:dyDescent="0.25">
      <c r="A17" t="s">
        <v>213</v>
      </c>
      <c r="B17">
        <v>21</v>
      </c>
      <c r="C17" t="s">
        <v>12</v>
      </c>
      <c r="D17">
        <v>1</v>
      </c>
      <c r="E17" t="s">
        <v>195</v>
      </c>
      <c r="F17">
        <v>1</v>
      </c>
      <c r="G17" t="s">
        <v>372</v>
      </c>
      <c r="H17">
        <v>0</v>
      </c>
      <c r="I17" t="s">
        <v>225</v>
      </c>
      <c r="J17" t="s">
        <v>197</v>
      </c>
      <c r="L17" t="s">
        <v>214</v>
      </c>
    </row>
    <row r="18" spans="1:12" x14ac:dyDescent="0.25">
      <c r="A18" t="s">
        <v>213</v>
      </c>
      <c r="B18">
        <v>22</v>
      </c>
      <c r="C18" t="s">
        <v>12</v>
      </c>
      <c r="D18">
        <v>2</v>
      </c>
      <c r="E18" t="s">
        <v>195</v>
      </c>
      <c r="F18">
        <v>1</v>
      </c>
      <c r="G18" t="s">
        <v>372</v>
      </c>
      <c r="H18">
        <v>0</v>
      </c>
      <c r="I18" t="s">
        <v>225</v>
      </c>
      <c r="J18" t="s">
        <v>197</v>
      </c>
      <c r="L18" t="s">
        <v>214</v>
      </c>
    </row>
    <row r="19" spans="1:12" x14ac:dyDescent="0.25">
      <c r="A19" t="s">
        <v>213</v>
      </c>
      <c r="B19">
        <v>23</v>
      </c>
      <c r="C19" t="s">
        <v>12</v>
      </c>
      <c r="D19">
        <v>3</v>
      </c>
      <c r="E19" t="s">
        <v>195</v>
      </c>
      <c r="G19" t="s">
        <v>372</v>
      </c>
      <c r="I19" t="s">
        <v>225</v>
      </c>
      <c r="J19" t="s">
        <v>197</v>
      </c>
      <c r="L19" t="s">
        <v>214</v>
      </c>
    </row>
    <row r="20" spans="1:12" x14ac:dyDescent="0.25">
      <c r="A20" t="s">
        <v>213</v>
      </c>
      <c r="B20">
        <v>24</v>
      </c>
      <c r="C20" t="s">
        <v>18</v>
      </c>
      <c r="D20">
        <v>1</v>
      </c>
      <c r="E20" t="s">
        <v>195</v>
      </c>
      <c r="F20">
        <v>1</v>
      </c>
      <c r="G20" t="s">
        <v>372</v>
      </c>
      <c r="H20">
        <v>0</v>
      </c>
      <c r="I20" t="s">
        <v>225</v>
      </c>
      <c r="J20" t="s">
        <v>200</v>
      </c>
      <c r="L20" t="s">
        <v>214</v>
      </c>
    </row>
    <row r="21" spans="1:12" x14ac:dyDescent="0.25">
      <c r="A21" t="s">
        <v>213</v>
      </c>
      <c r="B21">
        <v>25</v>
      </c>
      <c r="C21" t="s">
        <v>18</v>
      </c>
      <c r="D21">
        <v>2</v>
      </c>
      <c r="E21" t="s">
        <v>195</v>
      </c>
      <c r="F21">
        <v>1</v>
      </c>
      <c r="G21" t="s">
        <v>372</v>
      </c>
      <c r="H21">
        <v>0</v>
      </c>
      <c r="I21" t="s">
        <v>225</v>
      </c>
      <c r="J21" t="s">
        <v>200</v>
      </c>
      <c r="L21" t="s">
        <v>214</v>
      </c>
    </row>
    <row r="22" spans="1:12" x14ac:dyDescent="0.25">
      <c r="A22" t="s">
        <v>213</v>
      </c>
      <c r="B22">
        <v>26</v>
      </c>
      <c r="C22" t="s">
        <v>18</v>
      </c>
      <c r="D22">
        <v>3</v>
      </c>
      <c r="E22" t="s">
        <v>195</v>
      </c>
      <c r="G22" t="s">
        <v>372</v>
      </c>
      <c r="I22" t="s">
        <v>225</v>
      </c>
      <c r="J22" t="s">
        <v>200</v>
      </c>
      <c r="L22" t="s">
        <v>214</v>
      </c>
    </row>
    <row r="23" spans="1:12" x14ac:dyDescent="0.25">
      <c r="A23" t="s">
        <v>213</v>
      </c>
      <c r="B23">
        <v>27</v>
      </c>
      <c r="C23" t="s">
        <v>21</v>
      </c>
      <c r="D23">
        <v>1</v>
      </c>
      <c r="E23" t="s">
        <v>195</v>
      </c>
      <c r="F23">
        <v>1</v>
      </c>
      <c r="G23" t="s">
        <v>372</v>
      </c>
      <c r="H23">
        <v>0</v>
      </c>
      <c r="I23" t="s">
        <v>225</v>
      </c>
      <c r="J23" t="s">
        <v>202</v>
      </c>
      <c r="L23" t="s">
        <v>214</v>
      </c>
    </row>
    <row r="24" spans="1:12" x14ac:dyDescent="0.25">
      <c r="A24" t="s">
        <v>213</v>
      </c>
      <c r="B24">
        <v>28</v>
      </c>
      <c r="C24" t="s">
        <v>21</v>
      </c>
      <c r="D24">
        <v>2</v>
      </c>
      <c r="E24" t="s">
        <v>195</v>
      </c>
      <c r="F24">
        <v>1</v>
      </c>
      <c r="G24" t="s">
        <v>372</v>
      </c>
      <c r="H24">
        <v>0</v>
      </c>
      <c r="I24" t="s">
        <v>225</v>
      </c>
      <c r="J24" t="s">
        <v>202</v>
      </c>
      <c r="L24" t="s">
        <v>214</v>
      </c>
    </row>
    <row r="25" spans="1:12" x14ac:dyDescent="0.25">
      <c r="A25" t="s">
        <v>213</v>
      </c>
      <c r="B25">
        <v>29</v>
      </c>
      <c r="C25" t="s">
        <v>21</v>
      </c>
      <c r="D25">
        <v>3</v>
      </c>
      <c r="E25" t="s">
        <v>195</v>
      </c>
      <c r="G25" t="s">
        <v>372</v>
      </c>
      <c r="I25" t="s">
        <v>225</v>
      </c>
      <c r="J25" t="s">
        <v>202</v>
      </c>
      <c r="L25" t="s">
        <v>214</v>
      </c>
    </row>
    <row r="26" spans="1:12" x14ac:dyDescent="0.25">
      <c r="A26" t="s">
        <v>213</v>
      </c>
      <c r="B26">
        <v>30</v>
      </c>
      <c r="C26" t="s">
        <v>24</v>
      </c>
      <c r="D26">
        <v>1</v>
      </c>
      <c r="E26" t="s">
        <v>195</v>
      </c>
      <c r="F26">
        <v>1</v>
      </c>
      <c r="G26" t="s">
        <v>372</v>
      </c>
      <c r="H26">
        <v>0</v>
      </c>
      <c r="I26" t="s">
        <v>225</v>
      </c>
      <c r="J26" t="s">
        <v>204</v>
      </c>
      <c r="L26" t="s">
        <v>214</v>
      </c>
    </row>
    <row r="27" spans="1:12" x14ac:dyDescent="0.25">
      <c r="A27" t="s">
        <v>213</v>
      </c>
      <c r="B27">
        <v>31</v>
      </c>
      <c r="C27" t="s">
        <v>24</v>
      </c>
      <c r="D27">
        <v>2</v>
      </c>
      <c r="E27" t="s">
        <v>195</v>
      </c>
      <c r="F27">
        <v>1</v>
      </c>
      <c r="G27" t="s">
        <v>372</v>
      </c>
      <c r="H27">
        <v>0</v>
      </c>
      <c r="I27" t="s">
        <v>225</v>
      </c>
      <c r="J27" t="s">
        <v>204</v>
      </c>
      <c r="L27" t="s">
        <v>214</v>
      </c>
    </row>
    <row r="28" spans="1:12" x14ac:dyDescent="0.25">
      <c r="A28" t="s">
        <v>213</v>
      </c>
      <c r="B28">
        <v>32</v>
      </c>
      <c r="C28" t="s">
        <v>24</v>
      </c>
      <c r="D28">
        <v>3</v>
      </c>
      <c r="E28" t="s">
        <v>195</v>
      </c>
      <c r="G28" t="s">
        <v>372</v>
      </c>
      <c r="I28" t="s">
        <v>225</v>
      </c>
      <c r="J28" t="s">
        <v>204</v>
      </c>
      <c r="L28" t="s">
        <v>214</v>
      </c>
    </row>
    <row r="29" spans="1:12" x14ac:dyDescent="0.25">
      <c r="A29" t="s">
        <v>213</v>
      </c>
      <c r="B29">
        <v>33</v>
      </c>
      <c r="C29" t="s">
        <v>27</v>
      </c>
      <c r="D29">
        <v>1</v>
      </c>
      <c r="E29" t="s">
        <v>195</v>
      </c>
      <c r="F29">
        <v>1</v>
      </c>
      <c r="G29" t="s">
        <v>372</v>
      </c>
      <c r="H29">
        <v>0</v>
      </c>
      <c r="I29" t="s">
        <v>225</v>
      </c>
      <c r="J29" t="s">
        <v>206</v>
      </c>
      <c r="L29" t="s">
        <v>214</v>
      </c>
    </row>
    <row r="30" spans="1:12" x14ac:dyDescent="0.25">
      <c r="A30" t="s">
        <v>213</v>
      </c>
      <c r="B30">
        <v>34</v>
      </c>
      <c r="C30" t="s">
        <v>27</v>
      </c>
      <c r="D30">
        <v>2</v>
      </c>
      <c r="E30" t="s">
        <v>195</v>
      </c>
      <c r="F30">
        <v>1</v>
      </c>
      <c r="G30" t="s">
        <v>372</v>
      </c>
      <c r="H30">
        <v>0</v>
      </c>
      <c r="I30" t="s">
        <v>225</v>
      </c>
      <c r="J30" t="s">
        <v>206</v>
      </c>
      <c r="L30" t="s">
        <v>214</v>
      </c>
    </row>
    <row r="31" spans="1:12" x14ac:dyDescent="0.25">
      <c r="A31" t="s">
        <v>213</v>
      </c>
      <c r="B31">
        <v>35</v>
      </c>
      <c r="C31" t="s">
        <v>27</v>
      </c>
      <c r="D31">
        <v>3</v>
      </c>
      <c r="E31" t="s">
        <v>195</v>
      </c>
      <c r="G31" t="s">
        <v>372</v>
      </c>
      <c r="I31" t="s">
        <v>225</v>
      </c>
      <c r="J31" t="s">
        <v>206</v>
      </c>
      <c r="L31" t="s">
        <v>214</v>
      </c>
    </row>
    <row r="32" spans="1:12" x14ac:dyDescent="0.25">
      <c r="A32" t="s">
        <v>213</v>
      </c>
      <c r="B32">
        <v>39</v>
      </c>
      <c r="C32" t="s">
        <v>12</v>
      </c>
      <c r="D32">
        <v>1</v>
      </c>
      <c r="E32" t="s">
        <v>146</v>
      </c>
      <c r="F32">
        <v>15</v>
      </c>
      <c r="G32" t="s">
        <v>372</v>
      </c>
      <c r="H32">
        <v>8</v>
      </c>
      <c r="I32" t="s">
        <v>135</v>
      </c>
      <c r="J32" t="s">
        <v>148</v>
      </c>
      <c r="K32" t="s">
        <v>137</v>
      </c>
      <c r="L32" t="s">
        <v>214</v>
      </c>
    </row>
    <row r="33" spans="1:12" x14ac:dyDescent="0.25">
      <c r="A33" t="s">
        <v>213</v>
      </c>
      <c r="B33">
        <v>40</v>
      </c>
      <c r="C33" t="s">
        <v>12</v>
      </c>
      <c r="D33">
        <v>2</v>
      </c>
      <c r="E33" t="s">
        <v>146</v>
      </c>
      <c r="F33">
        <v>15</v>
      </c>
      <c r="G33" t="s">
        <v>372</v>
      </c>
      <c r="H33">
        <v>7</v>
      </c>
      <c r="I33" t="s">
        <v>135</v>
      </c>
      <c r="J33" t="s">
        <v>148</v>
      </c>
      <c r="K33" t="s">
        <v>137</v>
      </c>
      <c r="L33" t="s">
        <v>214</v>
      </c>
    </row>
    <row r="34" spans="1:12" x14ac:dyDescent="0.25">
      <c r="A34" t="s">
        <v>213</v>
      </c>
      <c r="B34">
        <v>41</v>
      </c>
      <c r="C34" t="s">
        <v>12</v>
      </c>
      <c r="D34">
        <v>3</v>
      </c>
      <c r="E34" t="s">
        <v>146</v>
      </c>
      <c r="G34" t="s">
        <v>372</v>
      </c>
      <c r="I34" t="s">
        <v>135</v>
      </c>
      <c r="J34" t="s">
        <v>148</v>
      </c>
      <c r="K34" t="s">
        <v>137</v>
      </c>
      <c r="L34" t="s">
        <v>214</v>
      </c>
    </row>
    <row r="35" spans="1:12" x14ac:dyDescent="0.25">
      <c r="A35" t="s">
        <v>213</v>
      </c>
      <c r="B35">
        <v>42</v>
      </c>
      <c r="C35" t="s">
        <v>18</v>
      </c>
      <c r="D35">
        <v>1</v>
      </c>
      <c r="E35" t="s">
        <v>146</v>
      </c>
      <c r="F35">
        <v>15</v>
      </c>
      <c r="G35" t="s">
        <v>372</v>
      </c>
      <c r="H35">
        <v>4</v>
      </c>
      <c r="I35" t="s">
        <v>135</v>
      </c>
      <c r="J35" t="s">
        <v>151</v>
      </c>
      <c r="K35" t="s">
        <v>140</v>
      </c>
      <c r="L35" t="s">
        <v>214</v>
      </c>
    </row>
    <row r="36" spans="1:12" x14ac:dyDescent="0.25">
      <c r="A36" t="s">
        <v>213</v>
      </c>
      <c r="B36">
        <v>43</v>
      </c>
      <c r="C36" t="s">
        <v>18</v>
      </c>
      <c r="D36">
        <v>2</v>
      </c>
      <c r="E36" t="s">
        <v>146</v>
      </c>
      <c r="F36">
        <v>15</v>
      </c>
      <c r="G36" t="s">
        <v>372</v>
      </c>
      <c r="H36">
        <v>7</v>
      </c>
      <c r="I36" t="s">
        <v>135</v>
      </c>
      <c r="J36" t="s">
        <v>151</v>
      </c>
      <c r="K36" t="s">
        <v>140</v>
      </c>
      <c r="L36" t="s">
        <v>214</v>
      </c>
    </row>
    <row r="37" spans="1:12" x14ac:dyDescent="0.25">
      <c r="A37" t="s">
        <v>213</v>
      </c>
      <c r="B37">
        <v>44</v>
      </c>
      <c r="C37" t="s">
        <v>18</v>
      </c>
      <c r="D37">
        <v>3</v>
      </c>
      <c r="E37" t="s">
        <v>146</v>
      </c>
      <c r="G37" t="s">
        <v>372</v>
      </c>
      <c r="I37" t="s">
        <v>135</v>
      </c>
      <c r="J37" t="s">
        <v>151</v>
      </c>
      <c r="K37" t="s">
        <v>140</v>
      </c>
      <c r="L37" t="s">
        <v>214</v>
      </c>
    </row>
    <row r="38" spans="1:12" x14ac:dyDescent="0.25">
      <c r="A38" t="s">
        <v>213</v>
      </c>
      <c r="B38">
        <v>45</v>
      </c>
      <c r="C38" t="s">
        <v>21</v>
      </c>
      <c r="D38">
        <v>1</v>
      </c>
      <c r="E38" t="s">
        <v>146</v>
      </c>
      <c r="F38">
        <v>15</v>
      </c>
      <c r="G38" t="s">
        <v>372</v>
      </c>
      <c r="H38">
        <v>12</v>
      </c>
      <c r="I38" t="s">
        <v>135</v>
      </c>
      <c r="J38" t="s">
        <v>153</v>
      </c>
      <c r="K38" t="s">
        <v>142</v>
      </c>
      <c r="L38" t="s">
        <v>214</v>
      </c>
    </row>
    <row r="39" spans="1:12" x14ac:dyDescent="0.25">
      <c r="A39" t="s">
        <v>213</v>
      </c>
      <c r="B39">
        <v>46</v>
      </c>
      <c r="C39" t="s">
        <v>21</v>
      </c>
      <c r="D39">
        <v>2</v>
      </c>
      <c r="E39" t="s">
        <v>146</v>
      </c>
      <c r="F39">
        <v>15</v>
      </c>
      <c r="G39" t="s">
        <v>372</v>
      </c>
      <c r="H39">
        <v>7</v>
      </c>
      <c r="I39" t="s">
        <v>135</v>
      </c>
      <c r="J39" t="s">
        <v>153</v>
      </c>
      <c r="K39" t="s">
        <v>142</v>
      </c>
      <c r="L39" t="s">
        <v>214</v>
      </c>
    </row>
    <row r="40" spans="1:12" x14ac:dyDescent="0.25">
      <c r="A40" t="s">
        <v>213</v>
      </c>
      <c r="B40">
        <v>47</v>
      </c>
      <c r="C40" t="s">
        <v>21</v>
      </c>
      <c r="D40">
        <v>3</v>
      </c>
      <c r="E40" t="s">
        <v>146</v>
      </c>
      <c r="G40" t="s">
        <v>372</v>
      </c>
      <c r="I40" t="s">
        <v>135</v>
      </c>
      <c r="J40" t="s">
        <v>153</v>
      </c>
      <c r="K40" t="s">
        <v>142</v>
      </c>
      <c r="L40" t="s">
        <v>214</v>
      </c>
    </row>
    <row r="41" spans="1:12" x14ac:dyDescent="0.25">
      <c r="A41" t="s">
        <v>213</v>
      </c>
      <c r="B41">
        <v>48</v>
      </c>
      <c r="C41" t="s">
        <v>24</v>
      </c>
      <c r="D41">
        <v>1</v>
      </c>
      <c r="E41" t="s">
        <v>146</v>
      </c>
      <c r="F41">
        <v>15</v>
      </c>
      <c r="G41" t="s">
        <v>372</v>
      </c>
      <c r="H41">
        <v>2</v>
      </c>
      <c r="I41" t="s">
        <v>135</v>
      </c>
      <c r="J41" t="s">
        <v>209</v>
      </c>
      <c r="K41" t="s">
        <v>144</v>
      </c>
      <c r="L41" t="s">
        <v>214</v>
      </c>
    </row>
    <row r="42" spans="1:12" x14ac:dyDescent="0.25">
      <c r="A42" t="s">
        <v>213</v>
      </c>
      <c r="B42">
        <v>49</v>
      </c>
      <c r="C42" t="s">
        <v>24</v>
      </c>
      <c r="D42">
        <v>2</v>
      </c>
      <c r="E42" t="s">
        <v>146</v>
      </c>
      <c r="F42">
        <v>15</v>
      </c>
      <c r="G42" t="s">
        <v>372</v>
      </c>
      <c r="H42">
        <v>1</v>
      </c>
      <c r="I42" t="s">
        <v>135</v>
      </c>
      <c r="J42" t="s">
        <v>209</v>
      </c>
      <c r="K42" t="s">
        <v>144</v>
      </c>
      <c r="L42" t="s">
        <v>214</v>
      </c>
    </row>
    <row r="43" spans="1:12" x14ac:dyDescent="0.25">
      <c r="A43" t="s">
        <v>213</v>
      </c>
      <c r="B43">
        <v>50</v>
      </c>
      <c r="C43" t="s">
        <v>24</v>
      </c>
      <c r="D43">
        <v>3</v>
      </c>
      <c r="E43" t="s">
        <v>146</v>
      </c>
      <c r="G43" t="s">
        <v>372</v>
      </c>
      <c r="I43" t="s">
        <v>135</v>
      </c>
      <c r="J43" t="s">
        <v>209</v>
      </c>
      <c r="K43" t="s">
        <v>144</v>
      </c>
      <c r="L43" t="s">
        <v>214</v>
      </c>
    </row>
    <row r="44" spans="1:12" x14ac:dyDescent="0.25">
      <c r="A44" t="s">
        <v>213</v>
      </c>
      <c r="B44">
        <v>51</v>
      </c>
      <c r="C44" t="s">
        <v>27</v>
      </c>
      <c r="D44">
        <v>1</v>
      </c>
      <c r="E44" t="s">
        <v>146</v>
      </c>
      <c r="G44" t="s">
        <v>372</v>
      </c>
      <c r="I44" t="s">
        <v>135</v>
      </c>
      <c r="J44" t="s">
        <v>210</v>
      </c>
      <c r="L44" t="s">
        <v>214</v>
      </c>
    </row>
    <row r="45" spans="1:12" x14ac:dyDescent="0.25">
      <c r="A45" t="s">
        <v>213</v>
      </c>
      <c r="B45">
        <v>52</v>
      </c>
      <c r="C45" t="s">
        <v>27</v>
      </c>
      <c r="D45">
        <v>2</v>
      </c>
      <c r="E45" t="s">
        <v>146</v>
      </c>
      <c r="G45" t="s">
        <v>372</v>
      </c>
      <c r="I45" t="s">
        <v>135</v>
      </c>
      <c r="J45" t="s">
        <v>210</v>
      </c>
      <c r="L45" t="s">
        <v>214</v>
      </c>
    </row>
    <row r="46" spans="1:12" x14ac:dyDescent="0.25">
      <c r="A46" t="s">
        <v>213</v>
      </c>
      <c r="B46">
        <v>53</v>
      </c>
      <c r="C46" t="s">
        <v>27</v>
      </c>
      <c r="D46">
        <v>3</v>
      </c>
      <c r="E46" t="s">
        <v>146</v>
      </c>
      <c r="G46" t="s">
        <v>372</v>
      </c>
      <c r="I46" t="s">
        <v>135</v>
      </c>
      <c r="J46" t="s">
        <v>210</v>
      </c>
      <c r="L46" t="s">
        <v>214</v>
      </c>
    </row>
    <row r="47" spans="1:12" x14ac:dyDescent="0.25">
      <c r="A47" t="s">
        <v>213</v>
      </c>
      <c r="B47">
        <v>57</v>
      </c>
      <c r="C47" t="s">
        <v>12</v>
      </c>
      <c r="D47">
        <v>1</v>
      </c>
      <c r="E47" t="s">
        <v>147</v>
      </c>
      <c r="F47">
        <v>15</v>
      </c>
      <c r="G47" t="s">
        <v>372</v>
      </c>
      <c r="H47">
        <v>4</v>
      </c>
      <c r="I47" t="s">
        <v>134</v>
      </c>
      <c r="J47" t="s">
        <v>149</v>
      </c>
      <c r="K47" t="s">
        <v>136</v>
      </c>
      <c r="L47" t="s">
        <v>214</v>
      </c>
    </row>
    <row r="48" spans="1:12" x14ac:dyDescent="0.25">
      <c r="A48" t="s">
        <v>213</v>
      </c>
      <c r="B48">
        <v>58</v>
      </c>
      <c r="C48" t="s">
        <v>12</v>
      </c>
      <c r="D48">
        <v>2</v>
      </c>
      <c r="E48" t="s">
        <v>147</v>
      </c>
      <c r="F48">
        <v>15</v>
      </c>
      <c r="G48" t="s">
        <v>372</v>
      </c>
      <c r="H48">
        <v>5</v>
      </c>
      <c r="I48" t="s">
        <v>134</v>
      </c>
      <c r="J48" t="s">
        <v>149</v>
      </c>
      <c r="K48" t="s">
        <v>136</v>
      </c>
      <c r="L48" t="s">
        <v>214</v>
      </c>
    </row>
    <row r="49" spans="1:12" x14ac:dyDescent="0.25">
      <c r="A49" t="s">
        <v>213</v>
      </c>
      <c r="B49">
        <v>59</v>
      </c>
      <c r="C49" t="s">
        <v>12</v>
      </c>
      <c r="D49">
        <v>3</v>
      </c>
      <c r="E49" t="s">
        <v>147</v>
      </c>
      <c r="G49" t="s">
        <v>372</v>
      </c>
      <c r="I49" t="s">
        <v>134</v>
      </c>
      <c r="J49" t="s">
        <v>149</v>
      </c>
      <c r="K49" t="s">
        <v>136</v>
      </c>
      <c r="L49" t="s">
        <v>214</v>
      </c>
    </row>
    <row r="50" spans="1:12" x14ac:dyDescent="0.25">
      <c r="A50" t="s">
        <v>213</v>
      </c>
      <c r="B50">
        <v>60</v>
      </c>
      <c r="C50" t="s">
        <v>18</v>
      </c>
      <c r="D50">
        <v>1</v>
      </c>
      <c r="E50" t="s">
        <v>147</v>
      </c>
      <c r="G50" t="s">
        <v>372</v>
      </c>
      <c r="I50" t="s">
        <v>134</v>
      </c>
      <c r="J50" t="s">
        <v>152</v>
      </c>
      <c r="K50" t="s">
        <v>139</v>
      </c>
      <c r="L50" t="s">
        <v>214</v>
      </c>
    </row>
    <row r="51" spans="1:12" x14ac:dyDescent="0.25">
      <c r="A51" t="s">
        <v>213</v>
      </c>
      <c r="B51">
        <v>61</v>
      </c>
      <c r="C51" t="s">
        <v>18</v>
      </c>
      <c r="D51">
        <v>2</v>
      </c>
      <c r="E51" t="s">
        <v>147</v>
      </c>
      <c r="G51" t="s">
        <v>372</v>
      </c>
      <c r="I51" t="s">
        <v>134</v>
      </c>
      <c r="J51" t="s">
        <v>152</v>
      </c>
      <c r="K51" t="s">
        <v>139</v>
      </c>
      <c r="L51" t="s">
        <v>214</v>
      </c>
    </row>
    <row r="52" spans="1:12" x14ac:dyDescent="0.25">
      <c r="A52" t="s">
        <v>213</v>
      </c>
      <c r="B52">
        <v>62</v>
      </c>
      <c r="C52" t="s">
        <v>18</v>
      </c>
      <c r="D52">
        <v>3</v>
      </c>
      <c r="E52" t="s">
        <v>147</v>
      </c>
      <c r="G52" t="s">
        <v>372</v>
      </c>
      <c r="I52" t="s">
        <v>134</v>
      </c>
      <c r="J52" t="s">
        <v>152</v>
      </c>
      <c r="K52" t="s">
        <v>139</v>
      </c>
      <c r="L52" t="s">
        <v>214</v>
      </c>
    </row>
    <row r="53" spans="1:12" x14ac:dyDescent="0.25">
      <c r="A53" t="s">
        <v>213</v>
      </c>
      <c r="B53">
        <v>63</v>
      </c>
      <c r="C53" t="s">
        <v>21</v>
      </c>
      <c r="D53">
        <v>1</v>
      </c>
      <c r="E53" t="s">
        <v>147</v>
      </c>
      <c r="G53" t="s">
        <v>372</v>
      </c>
      <c r="I53" t="s">
        <v>134</v>
      </c>
      <c r="J53" t="s">
        <v>154</v>
      </c>
      <c r="K53" t="s">
        <v>141</v>
      </c>
      <c r="L53" t="s">
        <v>214</v>
      </c>
    </row>
    <row r="54" spans="1:12" x14ac:dyDescent="0.25">
      <c r="A54" t="s">
        <v>213</v>
      </c>
      <c r="B54">
        <v>64</v>
      </c>
      <c r="C54" t="s">
        <v>21</v>
      </c>
      <c r="D54">
        <v>2</v>
      </c>
      <c r="E54" t="s">
        <v>147</v>
      </c>
      <c r="G54" t="s">
        <v>372</v>
      </c>
      <c r="I54" t="s">
        <v>134</v>
      </c>
      <c r="J54" t="s">
        <v>154</v>
      </c>
      <c r="K54" t="s">
        <v>141</v>
      </c>
      <c r="L54" t="s">
        <v>214</v>
      </c>
    </row>
    <row r="55" spans="1:12" x14ac:dyDescent="0.25">
      <c r="A55" t="s">
        <v>213</v>
      </c>
      <c r="B55">
        <v>65</v>
      </c>
      <c r="C55" t="s">
        <v>21</v>
      </c>
      <c r="D55">
        <v>3</v>
      </c>
      <c r="E55" t="s">
        <v>147</v>
      </c>
      <c r="G55" t="s">
        <v>372</v>
      </c>
      <c r="I55" t="s">
        <v>134</v>
      </c>
      <c r="J55" t="s">
        <v>154</v>
      </c>
      <c r="K55" t="s">
        <v>141</v>
      </c>
      <c r="L55" t="s">
        <v>214</v>
      </c>
    </row>
    <row r="56" spans="1:12" x14ac:dyDescent="0.25">
      <c r="A56" t="s">
        <v>213</v>
      </c>
      <c r="B56">
        <v>66</v>
      </c>
      <c r="C56" t="s">
        <v>24</v>
      </c>
      <c r="D56">
        <v>1</v>
      </c>
      <c r="E56" t="s">
        <v>147</v>
      </c>
      <c r="F56">
        <v>15</v>
      </c>
      <c r="G56" t="s">
        <v>372</v>
      </c>
      <c r="H56">
        <v>6</v>
      </c>
      <c r="I56" t="s">
        <v>134</v>
      </c>
      <c r="J56" t="s">
        <v>211</v>
      </c>
      <c r="K56" t="s">
        <v>143</v>
      </c>
      <c r="L56" t="s">
        <v>214</v>
      </c>
    </row>
    <row r="57" spans="1:12" x14ac:dyDescent="0.25">
      <c r="A57" t="s">
        <v>213</v>
      </c>
      <c r="B57">
        <v>67</v>
      </c>
      <c r="C57" t="s">
        <v>24</v>
      </c>
      <c r="D57">
        <v>2</v>
      </c>
      <c r="E57" t="s">
        <v>147</v>
      </c>
      <c r="F57">
        <v>15</v>
      </c>
      <c r="G57" t="s">
        <v>372</v>
      </c>
      <c r="H57">
        <v>3</v>
      </c>
      <c r="I57" t="s">
        <v>134</v>
      </c>
      <c r="J57" t="s">
        <v>211</v>
      </c>
      <c r="K57" t="s">
        <v>143</v>
      </c>
      <c r="L57" t="s">
        <v>214</v>
      </c>
    </row>
    <row r="58" spans="1:12" x14ac:dyDescent="0.25">
      <c r="A58" t="s">
        <v>213</v>
      </c>
      <c r="B58">
        <v>68</v>
      </c>
      <c r="C58" t="s">
        <v>24</v>
      </c>
      <c r="D58">
        <v>3</v>
      </c>
      <c r="E58" t="s">
        <v>147</v>
      </c>
      <c r="G58" t="s">
        <v>372</v>
      </c>
      <c r="I58" t="s">
        <v>134</v>
      </c>
      <c r="J58" t="s">
        <v>211</v>
      </c>
      <c r="K58" t="s">
        <v>143</v>
      </c>
      <c r="L58" t="s">
        <v>214</v>
      </c>
    </row>
    <row r="59" spans="1:12" x14ac:dyDescent="0.25">
      <c r="A59" t="s">
        <v>213</v>
      </c>
      <c r="B59">
        <v>69</v>
      </c>
      <c r="C59" t="s">
        <v>27</v>
      </c>
      <c r="D59">
        <v>1</v>
      </c>
      <c r="E59" t="s">
        <v>147</v>
      </c>
      <c r="F59">
        <v>15</v>
      </c>
      <c r="G59" t="s">
        <v>372</v>
      </c>
      <c r="H59">
        <v>7</v>
      </c>
      <c r="I59" t="s">
        <v>134</v>
      </c>
      <c r="J59" t="s">
        <v>212</v>
      </c>
      <c r="K59" t="s">
        <v>145</v>
      </c>
      <c r="L59" t="s">
        <v>214</v>
      </c>
    </row>
    <row r="60" spans="1:12" x14ac:dyDescent="0.25">
      <c r="A60" t="s">
        <v>213</v>
      </c>
      <c r="B60">
        <v>70</v>
      </c>
      <c r="C60" t="s">
        <v>27</v>
      </c>
      <c r="D60">
        <v>2</v>
      </c>
      <c r="E60" t="s">
        <v>147</v>
      </c>
      <c r="F60">
        <v>15</v>
      </c>
      <c r="G60" t="s">
        <v>372</v>
      </c>
      <c r="H60">
        <v>5</v>
      </c>
      <c r="I60" t="s">
        <v>134</v>
      </c>
      <c r="J60" t="s">
        <v>212</v>
      </c>
      <c r="K60" t="s">
        <v>145</v>
      </c>
      <c r="L60" t="s">
        <v>214</v>
      </c>
    </row>
    <row r="61" spans="1:12" x14ac:dyDescent="0.25">
      <c r="A61" t="s">
        <v>213</v>
      </c>
      <c r="B61">
        <v>71</v>
      </c>
      <c r="C61" t="s">
        <v>27</v>
      </c>
      <c r="D61">
        <v>3</v>
      </c>
      <c r="E61" t="s">
        <v>147</v>
      </c>
      <c r="G61" t="s">
        <v>372</v>
      </c>
      <c r="I61" t="s">
        <v>134</v>
      </c>
      <c r="J61" t="s">
        <v>212</v>
      </c>
      <c r="K61" t="s">
        <v>145</v>
      </c>
      <c r="L61" t="s">
        <v>214</v>
      </c>
    </row>
    <row r="62" spans="1:12" x14ac:dyDescent="0.25">
      <c r="A62" t="s">
        <v>213</v>
      </c>
      <c r="B62">
        <v>75</v>
      </c>
      <c r="C62" t="s">
        <v>12</v>
      </c>
      <c r="D62">
        <v>1</v>
      </c>
      <c r="E62" t="s">
        <v>155</v>
      </c>
      <c r="F62">
        <v>15</v>
      </c>
      <c r="G62" t="s">
        <v>372</v>
      </c>
      <c r="H62">
        <v>6</v>
      </c>
      <c r="I62" t="s">
        <v>122</v>
      </c>
      <c r="J62" t="s">
        <v>157</v>
      </c>
      <c r="K62" t="s">
        <v>124</v>
      </c>
      <c r="L62" t="s">
        <v>214</v>
      </c>
    </row>
    <row r="63" spans="1:12" x14ac:dyDescent="0.25">
      <c r="A63" t="s">
        <v>213</v>
      </c>
      <c r="B63">
        <v>76</v>
      </c>
      <c r="C63" t="s">
        <v>12</v>
      </c>
      <c r="D63">
        <v>2</v>
      </c>
      <c r="E63" t="s">
        <v>155</v>
      </c>
      <c r="F63">
        <v>15</v>
      </c>
      <c r="G63" t="s">
        <v>372</v>
      </c>
      <c r="H63">
        <v>6</v>
      </c>
      <c r="I63" t="s">
        <v>122</v>
      </c>
      <c r="J63" t="s">
        <v>157</v>
      </c>
      <c r="K63" t="s">
        <v>124</v>
      </c>
      <c r="L63" t="s">
        <v>214</v>
      </c>
    </row>
    <row r="64" spans="1:12" x14ac:dyDescent="0.25">
      <c r="A64" t="s">
        <v>213</v>
      </c>
      <c r="B64">
        <v>77</v>
      </c>
      <c r="C64" t="s">
        <v>12</v>
      </c>
      <c r="D64">
        <v>3</v>
      </c>
      <c r="E64" t="s">
        <v>155</v>
      </c>
      <c r="G64" t="s">
        <v>372</v>
      </c>
      <c r="I64" t="s">
        <v>122</v>
      </c>
      <c r="J64" t="s">
        <v>157</v>
      </c>
      <c r="K64" t="s">
        <v>124</v>
      </c>
      <c r="L64" t="s">
        <v>214</v>
      </c>
    </row>
    <row r="65" spans="1:12" x14ac:dyDescent="0.25">
      <c r="A65" t="s">
        <v>213</v>
      </c>
      <c r="B65">
        <v>78</v>
      </c>
      <c r="C65" t="s">
        <v>18</v>
      </c>
      <c r="D65">
        <v>1</v>
      </c>
      <c r="E65" t="s">
        <v>155</v>
      </c>
      <c r="F65">
        <v>15</v>
      </c>
      <c r="G65" t="s">
        <v>372</v>
      </c>
      <c r="H65">
        <v>10</v>
      </c>
      <c r="I65" t="s">
        <v>122</v>
      </c>
      <c r="J65" t="s">
        <v>160</v>
      </c>
      <c r="K65" t="s">
        <v>127</v>
      </c>
      <c r="L65" t="s">
        <v>214</v>
      </c>
    </row>
    <row r="66" spans="1:12" x14ac:dyDescent="0.25">
      <c r="A66" t="s">
        <v>213</v>
      </c>
      <c r="B66">
        <v>79</v>
      </c>
      <c r="C66" t="s">
        <v>18</v>
      </c>
      <c r="D66">
        <v>2</v>
      </c>
      <c r="E66" t="s">
        <v>155</v>
      </c>
      <c r="G66" t="s">
        <v>372</v>
      </c>
      <c r="I66" t="s">
        <v>122</v>
      </c>
      <c r="J66" t="s">
        <v>160</v>
      </c>
      <c r="K66" t="s">
        <v>127</v>
      </c>
      <c r="L66" t="s">
        <v>214</v>
      </c>
    </row>
    <row r="67" spans="1:12" x14ac:dyDescent="0.25">
      <c r="A67" t="s">
        <v>213</v>
      </c>
      <c r="B67">
        <v>80</v>
      </c>
      <c r="C67" t="s">
        <v>18</v>
      </c>
      <c r="D67">
        <v>3</v>
      </c>
      <c r="E67" t="s">
        <v>155</v>
      </c>
      <c r="G67" t="s">
        <v>372</v>
      </c>
      <c r="I67" t="s">
        <v>122</v>
      </c>
      <c r="J67" t="s">
        <v>160</v>
      </c>
      <c r="K67" t="s">
        <v>127</v>
      </c>
      <c r="L67" t="s">
        <v>214</v>
      </c>
    </row>
    <row r="68" spans="1:12" x14ac:dyDescent="0.25">
      <c r="A68" t="s">
        <v>213</v>
      </c>
      <c r="B68">
        <v>81</v>
      </c>
      <c r="C68" t="s">
        <v>21</v>
      </c>
      <c r="D68">
        <v>1</v>
      </c>
      <c r="E68" t="s">
        <v>155</v>
      </c>
      <c r="F68">
        <v>15</v>
      </c>
      <c r="G68" t="s">
        <v>372</v>
      </c>
      <c r="H68">
        <v>6</v>
      </c>
      <c r="I68" t="s">
        <v>122</v>
      </c>
      <c r="J68" t="s">
        <v>162</v>
      </c>
      <c r="K68" t="s">
        <v>129</v>
      </c>
      <c r="L68" t="s">
        <v>214</v>
      </c>
    </row>
    <row r="69" spans="1:12" x14ac:dyDescent="0.25">
      <c r="A69" t="s">
        <v>213</v>
      </c>
      <c r="B69">
        <v>82</v>
      </c>
      <c r="C69" t="s">
        <v>21</v>
      </c>
      <c r="D69">
        <v>2</v>
      </c>
      <c r="E69" t="s">
        <v>155</v>
      </c>
      <c r="G69" t="s">
        <v>372</v>
      </c>
      <c r="I69" t="s">
        <v>122</v>
      </c>
      <c r="J69" t="s">
        <v>162</v>
      </c>
      <c r="K69" t="s">
        <v>129</v>
      </c>
      <c r="L69" t="s">
        <v>214</v>
      </c>
    </row>
    <row r="70" spans="1:12" x14ac:dyDescent="0.25">
      <c r="A70" t="s">
        <v>213</v>
      </c>
      <c r="B70">
        <v>83</v>
      </c>
      <c r="C70" t="s">
        <v>21</v>
      </c>
      <c r="D70">
        <v>3</v>
      </c>
      <c r="E70" t="s">
        <v>155</v>
      </c>
      <c r="G70" t="s">
        <v>372</v>
      </c>
      <c r="I70" t="s">
        <v>122</v>
      </c>
      <c r="J70" t="s">
        <v>162</v>
      </c>
      <c r="K70" t="s">
        <v>129</v>
      </c>
      <c r="L70" t="s">
        <v>214</v>
      </c>
    </row>
    <row r="71" spans="1:12" x14ac:dyDescent="0.25">
      <c r="A71" t="s">
        <v>213</v>
      </c>
      <c r="B71">
        <v>84</v>
      </c>
      <c r="C71" t="s">
        <v>24</v>
      </c>
      <c r="D71">
        <v>1</v>
      </c>
      <c r="E71" t="s">
        <v>155</v>
      </c>
      <c r="F71">
        <v>15</v>
      </c>
      <c r="G71" t="s">
        <v>372</v>
      </c>
      <c r="H71">
        <v>5</v>
      </c>
      <c r="I71" t="s">
        <v>122</v>
      </c>
      <c r="J71" t="s">
        <v>164</v>
      </c>
      <c r="K71" t="s">
        <v>131</v>
      </c>
      <c r="L71" t="s">
        <v>214</v>
      </c>
    </row>
    <row r="72" spans="1:12" x14ac:dyDescent="0.25">
      <c r="A72" t="s">
        <v>213</v>
      </c>
      <c r="B72">
        <v>85</v>
      </c>
      <c r="C72" t="s">
        <v>24</v>
      </c>
      <c r="D72">
        <v>2</v>
      </c>
      <c r="E72" t="s">
        <v>155</v>
      </c>
      <c r="F72">
        <v>15</v>
      </c>
      <c r="G72" t="s">
        <v>372</v>
      </c>
      <c r="H72">
        <v>4</v>
      </c>
      <c r="I72" t="s">
        <v>122</v>
      </c>
      <c r="J72" t="s">
        <v>164</v>
      </c>
      <c r="K72" t="s">
        <v>131</v>
      </c>
      <c r="L72" t="s">
        <v>214</v>
      </c>
    </row>
    <row r="73" spans="1:12" x14ac:dyDescent="0.25">
      <c r="A73" t="s">
        <v>213</v>
      </c>
      <c r="B73">
        <v>86</v>
      </c>
      <c r="C73" t="s">
        <v>24</v>
      </c>
      <c r="D73">
        <v>3</v>
      </c>
      <c r="E73" t="s">
        <v>155</v>
      </c>
      <c r="G73" t="s">
        <v>372</v>
      </c>
      <c r="I73" t="s">
        <v>122</v>
      </c>
      <c r="J73" t="s">
        <v>164</v>
      </c>
      <c r="K73" t="s">
        <v>131</v>
      </c>
      <c r="L73" t="s">
        <v>214</v>
      </c>
    </row>
    <row r="74" spans="1:12" x14ac:dyDescent="0.25">
      <c r="A74" t="s">
        <v>213</v>
      </c>
      <c r="B74">
        <v>87</v>
      </c>
      <c r="C74" t="s">
        <v>27</v>
      </c>
      <c r="D74">
        <v>1</v>
      </c>
      <c r="E74" t="s">
        <v>155</v>
      </c>
      <c r="F74">
        <v>15</v>
      </c>
      <c r="G74" t="s">
        <v>372</v>
      </c>
      <c r="H74">
        <v>6</v>
      </c>
      <c r="I74" t="s">
        <v>122</v>
      </c>
      <c r="J74" t="s">
        <v>166</v>
      </c>
      <c r="K74" t="s">
        <v>133</v>
      </c>
      <c r="L74" t="s">
        <v>214</v>
      </c>
    </row>
    <row r="75" spans="1:12" x14ac:dyDescent="0.25">
      <c r="A75" t="s">
        <v>213</v>
      </c>
      <c r="B75">
        <v>88</v>
      </c>
      <c r="C75" t="s">
        <v>27</v>
      </c>
      <c r="D75">
        <v>2</v>
      </c>
      <c r="E75" t="s">
        <v>155</v>
      </c>
      <c r="F75">
        <v>15</v>
      </c>
      <c r="G75" t="s">
        <v>372</v>
      </c>
      <c r="H75">
        <v>8</v>
      </c>
      <c r="I75" t="s">
        <v>122</v>
      </c>
      <c r="J75" t="s">
        <v>166</v>
      </c>
      <c r="K75" t="s">
        <v>133</v>
      </c>
      <c r="L75" t="s">
        <v>214</v>
      </c>
    </row>
    <row r="76" spans="1:12" x14ac:dyDescent="0.25">
      <c r="A76" t="s">
        <v>213</v>
      </c>
      <c r="B76">
        <v>89</v>
      </c>
      <c r="C76" t="s">
        <v>27</v>
      </c>
      <c r="D76">
        <v>3</v>
      </c>
      <c r="E76" t="s">
        <v>155</v>
      </c>
      <c r="G76" t="s">
        <v>372</v>
      </c>
      <c r="I76" t="s">
        <v>122</v>
      </c>
      <c r="J76" t="s">
        <v>166</v>
      </c>
      <c r="K76" t="s">
        <v>133</v>
      </c>
      <c r="L76" t="s">
        <v>214</v>
      </c>
    </row>
    <row r="77" spans="1:12" x14ac:dyDescent="0.25">
      <c r="A77" t="s">
        <v>213</v>
      </c>
      <c r="B77">
        <v>93</v>
      </c>
      <c r="C77" t="s">
        <v>12</v>
      </c>
      <c r="D77">
        <v>1</v>
      </c>
      <c r="E77" t="s">
        <v>156</v>
      </c>
      <c r="F77">
        <v>15</v>
      </c>
      <c r="G77" t="s">
        <v>372</v>
      </c>
      <c r="H77">
        <v>9</v>
      </c>
      <c r="I77" t="s">
        <v>109</v>
      </c>
      <c r="J77" t="s">
        <v>158</v>
      </c>
      <c r="K77" t="s">
        <v>111</v>
      </c>
      <c r="L77" t="s">
        <v>214</v>
      </c>
    </row>
    <row r="78" spans="1:12" x14ac:dyDescent="0.25">
      <c r="A78" t="s">
        <v>213</v>
      </c>
      <c r="B78">
        <v>94</v>
      </c>
      <c r="C78" t="s">
        <v>12</v>
      </c>
      <c r="D78">
        <v>2</v>
      </c>
      <c r="E78" t="s">
        <v>156</v>
      </c>
      <c r="F78">
        <v>15</v>
      </c>
      <c r="G78" t="s">
        <v>372</v>
      </c>
      <c r="H78">
        <v>8</v>
      </c>
      <c r="I78" t="s">
        <v>109</v>
      </c>
      <c r="J78" t="s">
        <v>158</v>
      </c>
      <c r="K78" t="s">
        <v>111</v>
      </c>
      <c r="L78" t="s">
        <v>214</v>
      </c>
    </row>
    <row r="79" spans="1:12" x14ac:dyDescent="0.25">
      <c r="A79" t="s">
        <v>213</v>
      </c>
      <c r="B79">
        <v>95</v>
      </c>
      <c r="C79" t="s">
        <v>12</v>
      </c>
      <c r="D79">
        <v>3</v>
      </c>
      <c r="E79" t="s">
        <v>156</v>
      </c>
      <c r="G79" t="s">
        <v>372</v>
      </c>
      <c r="I79" t="s">
        <v>109</v>
      </c>
      <c r="J79" t="s">
        <v>158</v>
      </c>
      <c r="K79" t="s">
        <v>111</v>
      </c>
      <c r="L79" t="s">
        <v>214</v>
      </c>
    </row>
    <row r="80" spans="1:12" x14ac:dyDescent="0.25">
      <c r="A80" t="s">
        <v>213</v>
      </c>
      <c r="B80">
        <v>96</v>
      </c>
      <c r="C80" t="s">
        <v>18</v>
      </c>
      <c r="D80">
        <v>1</v>
      </c>
      <c r="E80" t="s">
        <v>156</v>
      </c>
      <c r="F80">
        <v>19</v>
      </c>
      <c r="G80" t="s">
        <v>372</v>
      </c>
      <c r="H80">
        <v>17</v>
      </c>
      <c r="I80" t="s">
        <v>109</v>
      </c>
      <c r="J80" t="s">
        <v>161</v>
      </c>
      <c r="K80" t="s">
        <v>114</v>
      </c>
      <c r="L80" t="s">
        <v>214</v>
      </c>
    </row>
    <row r="81" spans="1:12" x14ac:dyDescent="0.25">
      <c r="A81" t="s">
        <v>213</v>
      </c>
      <c r="B81">
        <v>97</v>
      </c>
      <c r="C81" t="s">
        <v>18</v>
      </c>
      <c r="D81">
        <v>2</v>
      </c>
      <c r="E81" t="s">
        <v>156</v>
      </c>
      <c r="F81">
        <v>9</v>
      </c>
      <c r="G81" t="s">
        <v>372</v>
      </c>
      <c r="H81">
        <v>6</v>
      </c>
      <c r="I81" t="s">
        <v>109</v>
      </c>
      <c r="J81" t="s">
        <v>161</v>
      </c>
      <c r="K81" t="s">
        <v>114</v>
      </c>
      <c r="L81" t="s">
        <v>214</v>
      </c>
    </row>
    <row r="82" spans="1:12" x14ac:dyDescent="0.25">
      <c r="A82" t="s">
        <v>213</v>
      </c>
      <c r="B82">
        <v>98</v>
      </c>
      <c r="C82" t="s">
        <v>18</v>
      </c>
      <c r="D82">
        <v>3</v>
      </c>
      <c r="E82" t="s">
        <v>156</v>
      </c>
      <c r="G82" t="s">
        <v>372</v>
      </c>
      <c r="I82" t="s">
        <v>109</v>
      </c>
      <c r="J82" t="s">
        <v>161</v>
      </c>
      <c r="K82" t="s">
        <v>114</v>
      </c>
      <c r="L82" t="s">
        <v>214</v>
      </c>
    </row>
    <row r="83" spans="1:12" x14ac:dyDescent="0.25">
      <c r="A83" t="s">
        <v>213</v>
      </c>
      <c r="B83">
        <v>99</v>
      </c>
      <c r="C83" t="s">
        <v>21</v>
      </c>
      <c r="D83">
        <v>1</v>
      </c>
      <c r="E83" t="s">
        <v>156</v>
      </c>
      <c r="F83">
        <v>15</v>
      </c>
      <c r="G83" t="s">
        <v>372</v>
      </c>
      <c r="H83">
        <v>6</v>
      </c>
      <c r="I83" t="s">
        <v>109</v>
      </c>
      <c r="J83" t="s">
        <v>163</v>
      </c>
      <c r="K83" t="s">
        <v>116</v>
      </c>
      <c r="L83" t="s">
        <v>214</v>
      </c>
    </row>
    <row r="84" spans="1:12" x14ac:dyDescent="0.25">
      <c r="A84" t="s">
        <v>213</v>
      </c>
      <c r="B84">
        <v>100</v>
      </c>
      <c r="C84" t="s">
        <v>21</v>
      </c>
      <c r="D84">
        <v>2</v>
      </c>
      <c r="E84" t="s">
        <v>156</v>
      </c>
      <c r="F84">
        <v>15</v>
      </c>
      <c r="G84" t="s">
        <v>372</v>
      </c>
      <c r="H84">
        <v>9</v>
      </c>
      <c r="I84" t="s">
        <v>109</v>
      </c>
      <c r="J84" t="s">
        <v>163</v>
      </c>
      <c r="K84" t="s">
        <v>116</v>
      </c>
      <c r="L84" t="s">
        <v>214</v>
      </c>
    </row>
    <row r="85" spans="1:12" x14ac:dyDescent="0.25">
      <c r="A85" t="s">
        <v>213</v>
      </c>
      <c r="B85">
        <v>101</v>
      </c>
      <c r="C85" t="s">
        <v>21</v>
      </c>
      <c r="D85">
        <v>3</v>
      </c>
      <c r="E85" t="s">
        <v>156</v>
      </c>
      <c r="G85" t="s">
        <v>372</v>
      </c>
      <c r="I85" t="s">
        <v>109</v>
      </c>
      <c r="J85" t="s">
        <v>163</v>
      </c>
      <c r="K85" t="s">
        <v>116</v>
      </c>
      <c r="L85" t="s">
        <v>214</v>
      </c>
    </row>
    <row r="86" spans="1:12" x14ac:dyDescent="0.25">
      <c r="A86" t="s">
        <v>213</v>
      </c>
      <c r="B86">
        <v>102</v>
      </c>
      <c r="C86" t="s">
        <v>24</v>
      </c>
      <c r="D86">
        <v>1</v>
      </c>
      <c r="E86" t="s">
        <v>156</v>
      </c>
      <c r="F86">
        <v>15</v>
      </c>
      <c r="G86" t="s">
        <v>372</v>
      </c>
      <c r="H86">
        <v>6</v>
      </c>
      <c r="I86" t="s">
        <v>109</v>
      </c>
      <c r="J86" t="s">
        <v>165</v>
      </c>
      <c r="K86" t="s">
        <v>118</v>
      </c>
      <c r="L86" t="s">
        <v>214</v>
      </c>
    </row>
    <row r="87" spans="1:12" x14ac:dyDescent="0.25">
      <c r="A87" t="s">
        <v>213</v>
      </c>
      <c r="B87">
        <v>103</v>
      </c>
      <c r="C87" t="s">
        <v>24</v>
      </c>
      <c r="D87">
        <v>2</v>
      </c>
      <c r="E87" t="s">
        <v>156</v>
      </c>
      <c r="F87">
        <v>15</v>
      </c>
      <c r="G87" t="s">
        <v>372</v>
      </c>
      <c r="H87">
        <v>10</v>
      </c>
      <c r="I87" t="s">
        <v>109</v>
      </c>
      <c r="J87" t="s">
        <v>165</v>
      </c>
      <c r="K87" t="s">
        <v>118</v>
      </c>
      <c r="L87" t="s">
        <v>214</v>
      </c>
    </row>
    <row r="88" spans="1:12" x14ac:dyDescent="0.25">
      <c r="A88" t="s">
        <v>213</v>
      </c>
      <c r="B88">
        <v>104</v>
      </c>
      <c r="C88" t="s">
        <v>24</v>
      </c>
      <c r="D88">
        <v>3</v>
      </c>
      <c r="E88" t="s">
        <v>156</v>
      </c>
      <c r="G88" t="s">
        <v>372</v>
      </c>
      <c r="I88" t="s">
        <v>109</v>
      </c>
      <c r="J88" t="s">
        <v>165</v>
      </c>
      <c r="K88" t="s">
        <v>118</v>
      </c>
      <c r="L88" t="s">
        <v>214</v>
      </c>
    </row>
    <row r="89" spans="1:12" x14ac:dyDescent="0.25">
      <c r="A89" t="s">
        <v>213</v>
      </c>
      <c r="B89">
        <v>105</v>
      </c>
      <c r="C89" t="s">
        <v>27</v>
      </c>
      <c r="D89">
        <v>1</v>
      </c>
      <c r="E89" t="s">
        <v>156</v>
      </c>
      <c r="F89">
        <v>15</v>
      </c>
      <c r="G89" t="s">
        <v>372</v>
      </c>
      <c r="H89">
        <v>9</v>
      </c>
      <c r="I89" t="s">
        <v>109</v>
      </c>
      <c r="J89" t="s">
        <v>167</v>
      </c>
      <c r="K89" t="s">
        <v>120</v>
      </c>
      <c r="L89" t="s">
        <v>214</v>
      </c>
    </row>
    <row r="90" spans="1:12" x14ac:dyDescent="0.25">
      <c r="A90" t="s">
        <v>213</v>
      </c>
      <c r="B90">
        <v>106</v>
      </c>
      <c r="C90" t="s">
        <v>27</v>
      </c>
      <c r="D90">
        <v>2</v>
      </c>
      <c r="E90" t="s">
        <v>156</v>
      </c>
      <c r="F90">
        <v>9</v>
      </c>
      <c r="G90" t="s">
        <v>372</v>
      </c>
      <c r="H90">
        <v>6</v>
      </c>
      <c r="I90" t="s">
        <v>109</v>
      </c>
      <c r="J90" t="s">
        <v>167</v>
      </c>
      <c r="K90" t="s">
        <v>120</v>
      </c>
      <c r="L90" t="s">
        <v>214</v>
      </c>
    </row>
    <row r="91" spans="1:12" x14ac:dyDescent="0.25">
      <c r="A91" t="s">
        <v>213</v>
      </c>
      <c r="B91">
        <v>107</v>
      </c>
      <c r="C91" t="s">
        <v>27</v>
      </c>
      <c r="D91">
        <v>3</v>
      </c>
      <c r="E91" t="s">
        <v>156</v>
      </c>
      <c r="G91" t="s">
        <v>372</v>
      </c>
      <c r="I91" t="s">
        <v>109</v>
      </c>
      <c r="J91" t="s">
        <v>167</v>
      </c>
      <c r="K91" t="s">
        <v>120</v>
      </c>
      <c r="L91" t="s">
        <v>214</v>
      </c>
    </row>
    <row r="92" spans="1:12" x14ac:dyDescent="0.25">
      <c r="A92" t="s">
        <v>213</v>
      </c>
      <c r="B92">
        <v>111</v>
      </c>
      <c r="C92" t="s">
        <v>12</v>
      </c>
      <c r="D92">
        <v>1</v>
      </c>
      <c r="E92" t="s">
        <v>168</v>
      </c>
      <c r="F92">
        <v>1</v>
      </c>
      <c r="G92" t="s">
        <v>372</v>
      </c>
      <c r="H92">
        <v>0</v>
      </c>
      <c r="I92" t="s">
        <v>121</v>
      </c>
      <c r="J92" t="s">
        <v>170</v>
      </c>
      <c r="K92" t="s">
        <v>123</v>
      </c>
      <c r="L92" t="s">
        <v>214</v>
      </c>
    </row>
    <row r="93" spans="1:12" x14ac:dyDescent="0.25">
      <c r="A93" t="s">
        <v>213</v>
      </c>
      <c r="B93">
        <v>112</v>
      </c>
      <c r="C93" t="s">
        <v>12</v>
      </c>
      <c r="D93">
        <v>2</v>
      </c>
      <c r="E93" t="s">
        <v>168</v>
      </c>
      <c r="F93">
        <v>1</v>
      </c>
      <c r="G93" t="s">
        <v>372</v>
      </c>
      <c r="H93">
        <v>0</v>
      </c>
      <c r="I93" t="s">
        <v>121</v>
      </c>
      <c r="J93" t="s">
        <v>170</v>
      </c>
      <c r="K93" t="s">
        <v>123</v>
      </c>
      <c r="L93" t="s">
        <v>214</v>
      </c>
    </row>
    <row r="94" spans="1:12" x14ac:dyDescent="0.25">
      <c r="A94" t="s">
        <v>213</v>
      </c>
      <c r="B94">
        <v>113</v>
      </c>
      <c r="C94" t="s">
        <v>12</v>
      </c>
      <c r="D94">
        <v>3</v>
      </c>
      <c r="E94" t="s">
        <v>168</v>
      </c>
      <c r="G94" t="s">
        <v>372</v>
      </c>
      <c r="I94" t="s">
        <v>121</v>
      </c>
      <c r="J94" t="s">
        <v>170</v>
      </c>
      <c r="K94" t="s">
        <v>123</v>
      </c>
      <c r="L94" t="s">
        <v>214</v>
      </c>
    </row>
    <row r="95" spans="1:12" x14ac:dyDescent="0.25">
      <c r="A95" t="s">
        <v>213</v>
      </c>
      <c r="B95">
        <v>114</v>
      </c>
      <c r="C95" t="s">
        <v>18</v>
      </c>
      <c r="D95">
        <v>1</v>
      </c>
      <c r="E95" t="s">
        <v>168</v>
      </c>
      <c r="F95">
        <v>1</v>
      </c>
      <c r="G95" t="s">
        <v>372</v>
      </c>
      <c r="H95">
        <v>0</v>
      </c>
      <c r="I95" t="s">
        <v>121</v>
      </c>
      <c r="J95" t="s">
        <v>173</v>
      </c>
      <c r="K95" t="s">
        <v>126</v>
      </c>
      <c r="L95" t="s">
        <v>214</v>
      </c>
    </row>
    <row r="96" spans="1:12" x14ac:dyDescent="0.25">
      <c r="A96" t="s">
        <v>213</v>
      </c>
      <c r="B96">
        <v>115</v>
      </c>
      <c r="C96" t="s">
        <v>18</v>
      </c>
      <c r="D96">
        <v>2</v>
      </c>
      <c r="E96" t="s">
        <v>168</v>
      </c>
      <c r="F96">
        <v>1</v>
      </c>
      <c r="G96" t="s">
        <v>372</v>
      </c>
      <c r="H96">
        <v>0</v>
      </c>
      <c r="I96" t="s">
        <v>121</v>
      </c>
      <c r="J96" t="s">
        <v>173</v>
      </c>
      <c r="K96" t="s">
        <v>126</v>
      </c>
      <c r="L96" t="s">
        <v>214</v>
      </c>
    </row>
    <row r="97" spans="1:12" x14ac:dyDescent="0.25">
      <c r="A97" t="s">
        <v>213</v>
      </c>
      <c r="B97">
        <v>116</v>
      </c>
      <c r="C97" t="s">
        <v>18</v>
      </c>
      <c r="D97">
        <v>3</v>
      </c>
      <c r="E97" t="s">
        <v>168</v>
      </c>
      <c r="G97" t="s">
        <v>372</v>
      </c>
      <c r="I97" t="s">
        <v>121</v>
      </c>
      <c r="J97" t="s">
        <v>173</v>
      </c>
      <c r="K97" t="s">
        <v>126</v>
      </c>
      <c r="L97" t="s">
        <v>214</v>
      </c>
    </row>
    <row r="98" spans="1:12" x14ac:dyDescent="0.25">
      <c r="A98" t="s">
        <v>213</v>
      </c>
      <c r="B98">
        <v>117</v>
      </c>
      <c r="C98" t="s">
        <v>21</v>
      </c>
      <c r="D98">
        <v>1</v>
      </c>
      <c r="E98" t="s">
        <v>168</v>
      </c>
      <c r="F98">
        <v>1</v>
      </c>
      <c r="G98" t="s">
        <v>372</v>
      </c>
      <c r="H98">
        <v>0</v>
      </c>
      <c r="I98" t="s">
        <v>121</v>
      </c>
      <c r="J98" t="s">
        <v>175</v>
      </c>
      <c r="K98" t="s">
        <v>128</v>
      </c>
      <c r="L98" t="s">
        <v>214</v>
      </c>
    </row>
    <row r="99" spans="1:12" x14ac:dyDescent="0.25">
      <c r="A99" t="s">
        <v>213</v>
      </c>
      <c r="B99">
        <v>118</v>
      </c>
      <c r="C99" t="s">
        <v>21</v>
      </c>
      <c r="D99">
        <v>2</v>
      </c>
      <c r="E99" t="s">
        <v>168</v>
      </c>
      <c r="F99">
        <v>1</v>
      </c>
      <c r="G99" t="s">
        <v>372</v>
      </c>
      <c r="H99">
        <v>0</v>
      </c>
      <c r="I99" t="s">
        <v>121</v>
      </c>
      <c r="J99" t="s">
        <v>175</v>
      </c>
      <c r="K99" t="s">
        <v>128</v>
      </c>
      <c r="L99" t="s">
        <v>214</v>
      </c>
    </row>
    <row r="100" spans="1:12" x14ac:dyDescent="0.25">
      <c r="A100" t="s">
        <v>213</v>
      </c>
      <c r="B100">
        <v>119</v>
      </c>
      <c r="C100" t="s">
        <v>21</v>
      </c>
      <c r="D100">
        <v>3</v>
      </c>
      <c r="E100" t="s">
        <v>168</v>
      </c>
      <c r="G100" t="s">
        <v>372</v>
      </c>
      <c r="I100" t="s">
        <v>121</v>
      </c>
      <c r="J100" t="s">
        <v>175</v>
      </c>
      <c r="K100" t="s">
        <v>128</v>
      </c>
      <c r="L100" t="s">
        <v>214</v>
      </c>
    </row>
    <row r="101" spans="1:12" x14ac:dyDescent="0.25">
      <c r="A101" t="s">
        <v>213</v>
      </c>
      <c r="B101">
        <v>120</v>
      </c>
      <c r="C101" t="s">
        <v>24</v>
      </c>
      <c r="D101">
        <v>1</v>
      </c>
      <c r="E101" t="s">
        <v>168</v>
      </c>
      <c r="F101">
        <v>1</v>
      </c>
      <c r="G101" t="s">
        <v>372</v>
      </c>
      <c r="H101">
        <v>0</v>
      </c>
      <c r="I101" t="s">
        <v>121</v>
      </c>
      <c r="J101" t="s">
        <v>177</v>
      </c>
      <c r="K101" t="s">
        <v>130</v>
      </c>
      <c r="L101" t="s">
        <v>214</v>
      </c>
    </row>
    <row r="102" spans="1:12" x14ac:dyDescent="0.25">
      <c r="A102" t="s">
        <v>213</v>
      </c>
      <c r="B102">
        <v>121</v>
      </c>
      <c r="C102" t="s">
        <v>24</v>
      </c>
      <c r="D102">
        <v>2</v>
      </c>
      <c r="E102" t="s">
        <v>168</v>
      </c>
      <c r="F102">
        <v>1</v>
      </c>
      <c r="G102" t="s">
        <v>372</v>
      </c>
      <c r="H102">
        <v>0</v>
      </c>
      <c r="I102" t="s">
        <v>121</v>
      </c>
      <c r="J102" t="s">
        <v>177</v>
      </c>
      <c r="K102" t="s">
        <v>130</v>
      </c>
      <c r="L102" t="s">
        <v>214</v>
      </c>
    </row>
    <row r="103" spans="1:12" x14ac:dyDescent="0.25">
      <c r="A103" t="s">
        <v>213</v>
      </c>
      <c r="B103">
        <v>122</v>
      </c>
      <c r="C103" t="s">
        <v>24</v>
      </c>
      <c r="D103">
        <v>3</v>
      </c>
      <c r="E103" t="s">
        <v>168</v>
      </c>
      <c r="G103" t="s">
        <v>372</v>
      </c>
      <c r="I103" t="s">
        <v>121</v>
      </c>
      <c r="J103" t="s">
        <v>177</v>
      </c>
      <c r="K103" t="s">
        <v>130</v>
      </c>
      <c r="L103" t="s">
        <v>214</v>
      </c>
    </row>
    <row r="104" spans="1:12" x14ac:dyDescent="0.25">
      <c r="A104" t="s">
        <v>213</v>
      </c>
      <c r="B104">
        <v>123</v>
      </c>
      <c r="C104" t="s">
        <v>27</v>
      </c>
      <c r="D104">
        <v>1</v>
      </c>
      <c r="E104" t="s">
        <v>168</v>
      </c>
      <c r="F104">
        <v>1</v>
      </c>
      <c r="G104" t="s">
        <v>372</v>
      </c>
      <c r="H104">
        <v>0</v>
      </c>
      <c r="I104" t="s">
        <v>121</v>
      </c>
      <c r="J104" t="s">
        <v>179</v>
      </c>
      <c r="K104" t="s">
        <v>132</v>
      </c>
      <c r="L104" t="s">
        <v>214</v>
      </c>
    </row>
    <row r="105" spans="1:12" x14ac:dyDescent="0.25">
      <c r="A105" t="s">
        <v>213</v>
      </c>
      <c r="B105">
        <v>124</v>
      </c>
      <c r="C105" t="s">
        <v>27</v>
      </c>
      <c r="D105">
        <v>2</v>
      </c>
      <c r="E105" t="s">
        <v>168</v>
      </c>
      <c r="F105">
        <v>1</v>
      </c>
      <c r="G105" t="s">
        <v>372</v>
      </c>
      <c r="H105">
        <v>0</v>
      </c>
      <c r="I105" t="s">
        <v>121</v>
      </c>
      <c r="J105" t="s">
        <v>179</v>
      </c>
      <c r="K105" t="s">
        <v>132</v>
      </c>
      <c r="L105" t="s">
        <v>214</v>
      </c>
    </row>
    <row r="106" spans="1:12" x14ac:dyDescent="0.25">
      <c r="A106" t="s">
        <v>213</v>
      </c>
      <c r="B106">
        <v>125</v>
      </c>
      <c r="C106" t="s">
        <v>27</v>
      </c>
      <c r="D106">
        <v>3</v>
      </c>
      <c r="E106" t="s">
        <v>168</v>
      </c>
      <c r="G106" t="s">
        <v>372</v>
      </c>
      <c r="I106" t="s">
        <v>121</v>
      </c>
      <c r="J106" t="s">
        <v>179</v>
      </c>
      <c r="K106" t="s">
        <v>132</v>
      </c>
      <c r="L106" t="s">
        <v>214</v>
      </c>
    </row>
    <row r="107" spans="1:12" x14ac:dyDescent="0.25">
      <c r="A107" t="s">
        <v>213</v>
      </c>
      <c r="B107">
        <v>129</v>
      </c>
      <c r="C107" t="s">
        <v>12</v>
      </c>
      <c r="D107">
        <v>1</v>
      </c>
      <c r="E107" t="s">
        <v>169</v>
      </c>
      <c r="F107">
        <v>1</v>
      </c>
      <c r="G107" t="s">
        <v>372</v>
      </c>
      <c r="H107">
        <v>0</v>
      </c>
      <c r="I107" t="s">
        <v>96</v>
      </c>
      <c r="J107" t="s">
        <v>171</v>
      </c>
      <c r="K107" t="s">
        <v>98</v>
      </c>
      <c r="L107" t="s">
        <v>214</v>
      </c>
    </row>
    <row r="108" spans="1:12" x14ac:dyDescent="0.25">
      <c r="A108" t="s">
        <v>213</v>
      </c>
      <c r="B108">
        <v>130</v>
      </c>
      <c r="C108" t="s">
        <v>12</v>
      </c>
      <c r="D108">
        <v>2</v>
      </c>
      <c r="E108" t="s">
        <v>169</v>
      </c>
      <c r="F108">
        <v>1</v>
      </c>
      <c r="G108" t="s">
        <v>372</v>
      </c>
      <c r="H108">
        <v>0</v>
      </c>
      <c r="I108" t="s">
        <v>96</v>
      </c>
      <c r="J108" t="s">
        <v>171</v>
      </c>
      <c r="K108" t="s">
        <v>98</v>
      </c>
      <c r="L108" t="s">
        <v>214</v>
      </c>
    </row>
    <row r="109" spans="1:12" x14ac:dyDescent="0.25">
      <c r="A109" t="s">
        <v>213</v>
      </c>
      <c r="B109">
        <v>131</v>
      </c>
      <c r="C109" t="s">
        <v>12</v>
      </c>
      <c r="D109">
        <v>3</v>
      </c>
      <c r="E109" t="s">
        <v>169</v>
      </c>
      <c r="G109" t="s">
        <v>372</v>
      </c>
      <c r="I109" t="s">
        <v>96</v>
      </c>
      <c r="J109" t="s">
        <v>171</v>
      </c>
      <c r="K109" t="s">
        <v>98</v>
      </c>
      <c r="L109" t="s">
        <v>214</v>
      </c>
    </row>
    <row r="110" spans="1:12" x14ac:dyDescent="0.25">
      <c r="A110" t="s">
        <v>213</v>
      </c>
      <c r="B110">
        <v>132</v>
      </c>
      <c r="C110" t="s">
        <v>18</v>
      </c>
      <c r="D110">
        <v>1</v>
      </c>
      <c r="E110" t="s">
        <v>169</v>
      </c>
      <c r="F110">
        <v>1</v>
      </c>
      <c r="G110" t="s">
        <v>372</v>
      </c>
      <c r="H110">
        <v>0</v>
      </c>
      <c r="I110" t="s">
        <v>96</v>
      </c>
      <c r="J110" t="s">
        <v>174</v>
      </c>
      <c r="K110" t="s">
        <v>101</v>
      </c>
      <c r="L110" t="s">
        <v>214</v>
      </c>
    </row>
    <row r="111" spans="1:12" x14ac:dyDescent="0.25">
      <c r="A111" t="s">
        <v>213</v>
      </c>
      <c r="B111">
        <v>133</v>
      </c>
      <c r="C111" t="s">
        <v>18</v>
      </c>
      <c r="D111">
        <v>2</v>
      </c>
      <c r="E111" t="s">
        <v>169</v>
      </c>
      <c r="F111">
        <v>1</v>
      </c>
      <c r="G111" t="s">
        <v>372</v>
      </c>
      <c r="H111">
        <v>0</v>
      </c>
      <c r="I111" t="s">
        <v>96</v>
      </c>
      <c r="J111" t="s">
        <v>174</v>
      </c>
      <c r="K111" t="s">
        <v>101</v>
      </c>
      <c r="L111" t="s">
        <v>214</v>
      </c>
    </row>
    <row r="112" spans="1:12" x14ac:dyDescent="0.25">
      <c r="A112" t="s">
        <v>213</v>
      </c>
      <c r="B112">
        <v>134</v>
      </c>
      <c r="C112" t="s">
        <v>18</v>
      </c>
      <c r="D112">
        <v>3</v>
      </c>
      <c r="E112" t="s">
        <v>169</v>
      </c>
      <c r="G112" t="s">
        <v>372</v>
      </c>
      <c r="I112" t="s">
        <v>96</v>
      </c>
      <c r="J112" t="s">
        <v>174</v>
      </c>
      <c r="K112" t="s">
        <v>101</v>
      </c>
      <c r="L112" t="s">
        <v>214</v>
      </c>
    </row>
    <row r="113" spans="1:12" x14ac:dyDescent="0.25">
      <c r="A113" t="s">
        <v>213</v>
      </c>
      <c r="B113">
        <v>135</v>
      </c>
      <c r="C113" t="s">
        <v>21</v>
      </c>
      <c r="D113">
        <v>1</v>
      </c>
      <c r="E113" t="s">
        <v>169</v>
      </c>
      <c r="F113">
        <v>1</v>
      </c>
      <c r="G113" t="s">
        <v>372</v>
      </c>
      <c r="H113">
        <v>0</v>
      </c>
      <c r="I113" t="s">
        <v>96</v>
      </c>
      <c r="J113" t="s">
        <v>176</v>
      </c>
      <c r="K113" t="s">
        <v>103</v>
      </c>
      <c r="L113" t="s">
        <v>214</v>
      </c>
    </row>
    <row r="114" spans="1:12" x14ac:dyDescent="0.25">
      <c r="A114" t="s">
        <v>213</v>
      </c>
      <c r="B114">
        <v>136</v>
      </c>
      <c r="C114" t="s">
        <v>21</v>
      </c>
      <c r="D114">
        <v>2</v>
      </c>
      <c r="E114" t="s">
        <v>169</v>
      </c>
      <c r="F114">
        <v>0</v>
      </c>
      <c r="G114" t="s">
        <v>372</v>
      </c>
      <c r="H114">
        <v>1</v>
      </c>
      <c r="I114" t="s">
        <v>96</v>
      </c>
      <c r="J114" t="s">
        <v>176</v>
      </c>
      <c r="K114" t="s">
        <v>103</v>
      </c>
      <c r="L114" t="s">
        <v>214</v>
      </c>
    </row>
    <row r="115" spans="1:12" x14ac:dyDescent="0.25">
      <c r="A115" t="s">
        <v>213</v>
      </c>
      <c r="B115">
        <v>137</v>
      </c>
      <c r="C115" t="s">
        <v>21</v>
      </c>
      <c r="D115">
        <v>3</v>
      </c>
      <c r="E115" t="s">
        <v>169</v>
      </c>
      <c r="F115">
        <v>1</v>
      </c>
      <c r="G115" t="s">
        <v>372</v>
      </c>
      <c r="H115">
        <v>0</v>
      </c>
      <c r="I115" t="s">
        <v>96</v>
      </c>
      <c r="J115" t="s">
        <v>176</v>
      </c>
      <c r="K115" t="s">
        <v>103</v>
      </c>
      <c r="L115" t="s">
        <v>214</v>
      </c>
    </row>
    <row r="116" spans="1:12" x14ac:dyDescent="0.25">
      <c r="A116" t="s">
        <v>213</v>
      </c>
      <c r="B116">
        <v>138</v>
      </c>
      <c r="C116" t="s">
        <v>24</v>
      </c>
      <c r="D116">
        <v>1</v>
      </c>
      <c r="E116" t="s">
        <v>169</v>
      </c>
      <c r="G116" t="s">
        <v>372</v>
      </c>
      <c r="I116" t="s">
        <v>96</v>
      </c>
      <c r="J116" t="s">
        <v>178</v>
      </c>
      <c r="K116" t="s">
        <v>105</v>
      </c>
      <c r="L116" t="s">
        <v>214</v>
      </c>
    </row>
    <row r="117" spans="1:12" x14ac:dyDescent="0.25">
      <c r="A117" t="s">
        <v>213</v>
      </c>
      <c r="B117">
        <v>139</v>
      </c>
      <c r="C117" t="s">
        <v>24</v>
      </c>
      <c r="D117">
        <v>2</v>
      </c>
      <c r="E117" t="s">
        <v>169</v>
      </c>
      <c r="G117" t="s">
        <v>372</v>
      </c>
      <c r="I117" t="s">
        <v>96</v>
      </c>
      <c r="J117" t="s">
        <v>178</v>
      </c>
      <c r="K117" t="s">
        <v>105</v>
      </c>
      <c r="L117" t="s">
        <v>214</v>
      </c>
    </row>
    <row r="118" spans="1:12" x14ac:dyDescent="0.25">
      <c r="A118" t="s">
        <v>213</v>
      </c>
      <c r="B118">
        <v>140</v>
      </c>
      <c r="C118" t="s">
        <v>24</v>
      </c>
      <c r="D118">
        <v>3</v>
      </c>
      <c r="E118" t="s">
        <v>169</v>
      </c>
      <c r="G118" t="s">
        <v>372</v>
      </c>
      <c r="I118" t="s">
        <v>96</v>
      </c>
      <c r="J118" t="s">
        <v>178</v>
      </c>
      <c r="K118" t="s">
        <v>105</v>
      </c>
      <c r="L118" t="s">
        <v>214</v>
      </c>
    </row>
    <row r="119" spans="1:12" x14ac:dyDescent="0.25">
      <c r="A119" t="s">
        <v>213</v>
      </c>
      <c r="B119">
        <v>141</v>
      </c>
      <c r="C119" t="s">
        <v>27</v>
      </c>
      <c r="D119">
        <v>1</v>
      </c>
      <c r="E119" t="s">
        <v>169</v>
      </c>
      <c r="G119" t="s">
        <v>372</v>
      </c>
      <c r="I119" t="s">
        <v>96</v>
      </c>
      <c r="J119" t="s">
        <v>180</v>
      </c>
      <c r="K119" t="s">
        <v>107</v>
      </c>
      <c r="L119" t="s">
        <v>214</v>
      </c>
    </row>
    <row r="120" spans="1:12" x14ac:dyDescent="0.25">
      <c r="A120" t="s">
        <v>213</v>
      </c>
      <c r="B120">
        <v>142</v>
      </c>
      <c r="C120" t="s">
        <v>27</v>
      </c>
      <c r="D120">
        <v>2</v>
      </c>
      <c r="E120" t="s">
        <v>169</v>
      </c>
      <c r="G120" t="s">
        <v>372</v>
      </c>
      <c r="I120" t="s">
        <v>96</v>
      </c>
      <c r="J120" t="s">
        <v>180</v>
      </c>
      <c r="K120" t="s">
        <v>107</v>
      </c>
      <c r="L120" t="s">
        <v>214</v>
      </c>
    </row>
    <row r="121" spans="1:12" x14ac:dyDescent="0.25">
      <c r="A121" t="s">
        <v>213</v>
      </c>
      <c r="B121">
        <v>143</v>
      </c>
      <c r="C121" t="s">
        <v>27</v>
      </c>
      <c r="D121">
        <v>3</v>
      </c>
      <c r="E121" t="s">
        <v>169</v>
      </c>
      <c r="G121" t="s">
        <v>372</v>
      </c>
      <c r="I121" t="s">
        <v>96</v>
      </c>
      <c r="J121" t="s">
        <v>180</v>
      </c>
      <c r="K121" t="s">
        <v>107</v>
      </c>
      <c r="L121" t="s">
        <v>214</v>
      </c>
    </row>
    <row r="122" spans="1:12" x14ac:dyDescent="0.25">
      <c r="A122" t="s">
        <v>213</v>
      </c>
      <c r="B122">
        <v>147</v>
      </c>
      <c r="C122" t="s">
        <v>12</v>
      </c>
      <c r="D122">
        <v>1</v>
      </c>
      <c r="E122" t="s">
        <v>14</v>
      </c>
      <c r="F122">
        <v>15</v>
      </c>
      <c r="G122" t="s">
        <v>372</v>
      </c>
      <c r="H122">
        <v>8</v>
      </c>
      <c r="I122" t="s">
        <v>108</v>
      </c>
      <c r="J122" t="s">
        <v>16</v>
      </c>
      <c r="K122" t="s">
        <v>110</v>
      </c>
      <c r="L122" t="s">
        <v>214</v>
      </c>
    </row>
    <row r="123" spans="1:12" x14ac:dyDescent="0.25">
      <c r="A123" t="s">
        <v>213</v>
      </c>
      <c r="B123">
        <v>148</v>
      </c>
      <c r="C123" t="s">
        <v>12</v>
      </c>
      <c r="D123">
        <v>2</v>
      </c>
      <c r="E123" t="s">
        <v>14</v>
      </c>
      <c r="F123">
        <v>15</v>
      </c>
      <c r="G123" t="s">
        <v>372</v>
      </c>
      <c r="H123">
        <v>9</v>
      </c>
      <c r="I123" t="s">
        <v>108</v>
      </c>
      <c r="J123" t="s">
        <v>16</v>
      </c>
      <c r="K123" t="s">
        <v>110</v>
      </c>
      <c r="L123" t="s">
        <v>214</v>
      </c>
    </row>
    <row r="124" spans="1:12" x14ac:dyDescent="0.25">
      <c r="A124" t="s">
        <v>213</v>
      </c>
      <c r="B124">
        <v>149</v>
      </c>
      <c r="C124" t="s">
        <v>12</v>
      </c>
      <c r="D124">
        <v>3</v>
      </c>
      <c r="E124" t="s">
        <v>14</v>
      </c>
      <c r="G124" t="s">
        <v>372</v>
      </c>
      <c r="I124" t="s">
        <v>108</v>
      </c>
      <c r="J124" t="s">
        <v>16</v>
      </c>
      <c r="K124" t="s">
        <v>110</v>
      </c>
      <c r="L124" t="s">
        <v>214</v>
      </c>
    </row>
    <row r="125" spans="1:12" x14ac:dyDescent="0.25">
      <c r="A125" t="s">
        <v>213</v>
      </c>
      <c r="B125">
        <v>150</v>
      </c>
      <c r="C125" t="s">
        <v>18</v>
      </c>
      <c r="D125">
        <v>1</v>
      </c>
      <c r="E125" t="s">
        <v>14</v>
      </c>
      <c r="F125">
        <v>15</v>
      </c>
      <c r="G125" t="s">
        <v>372</v>
      </c>
      <c r="H125">
        <v>6</v>
      </c>
      <c r="I125" t="s">
        <v>108</v>
      </c>
      <c r="J125" t="s">
        <v>20</v>
      </c>
      <c r="K125" t="s">
        <v>113</v>
      </c>
      <c r="L125" t="s">
        <v>214</v>
      </c>
    </row>
    <row r="126" spans="1:12" x14ac:dyDescent="0.25">
      <c r="A126" t="s">
        <v>213</v>
      </c>
      <c r="B126">
        <v>151</v>
      </c>
      <c r="C126" t="s">
        <v>18</v>
      </c>
      <c r="D126">
        <v>2</v>
      </c>
      <c r="E126" t="s">
        <v>14</v>
      </c>
      <c r="F126">
        <v>15</v>
      </c>
      <c r="G126" t="s">
        <v>372</v>
      </c>
      <c r="H126">
        <v>9</v>
      </c>
      <c r="I126" t="s">
        <v>108</v>
      </c>
      <c r="J126" t="s">
        <v>20</v>
      </c>
      <c r="K126" t="s">
        <v>113</v>
      </c>
      <c r="L126" t="s">
        <v>214</v>
      </c>
    </row>
    <row r="127" spans="1:12" x14ac:dyDescent="0.25">
      <c r="A127" t="s">
        <v>213</v>
      </c>
      <c r="B127">
        <v>152</v>
      </c>
      <c r="C127" t="s">
        <v>18</v>
      </c>
      <c r="D127">
        <v>3</v>
      </c>
      <c r="E127" t="s">
        <v>14</v>
      </c>
      <c r="G127" t="s">
        <v>372</v>
      </c>
      <c r="I127" t="s">
        <v>108</v>
      </c>
      <c r="J127" t="s">
        <v>20</v>
      </c>
      <c r="K127" t="s">
        <v>113</v>
      </c>
      <c r="L127" t="s">
        <v>214</v>
      </c>
    </row>
    <row r="128" spans="1:12" x14ac:dyDescent="0.25">
      <c r="A128" t="s">
        <v>213</v>
      </c>
      <c r="B128">
        <v>153</v>
      </c>
      <c r="C128" t="s">
        <v>21</v>
      </c>
      <c r="D128">
        <v>1</v>
      </c>
      <c r="E128" t="s">
        <v>14</v>
      </c>
      <c r="F128">
        <v>15</v>
      </c>
      <c r="G128" t="s">
        <v>372</v>
      </c>
      <c r="H128">
        <v>8</v>
      </c>
      <c r="I128" t="s">
        <v>108</v>
      </c>
      <c r="J128" t="s">
        <v>23</v>
      </c>
      <c r="K128" t="s">
        <v>115</v>
      </c>
      <c r="L128" t="s">
        <v>214</v>
      </c>
    </row>
    <row r="129" spans="1:12" x14ac:dyDescent="0.25">
      <c r="A129" t="s">
        <v>213</v>
      </c>
      <c r="B129">
        <v>154</v>
      </c>
      <c r="C129" t="s">
        <v>21</v>
      </c>
      <c r="D129">
        <v>2</v>
      </c>
      <c r="E129" t="s">
        <v>14</v>
      </c>
      <c r="F129">
        <v>15</v>
      </c>
      <c r="G129" t="s">
        <v>372</v>
      </c>
      <c r="H129">
        <v>9</v>
      </c>
      <c r="I129" t="s">
        <v>108</v>
      </c>
      <c r="J129" t="s">
        <v>23</v>
      </c>
      <c r="K129" t="s">
        <v>115</v>
      </c>
      <c r="L129" t="s">
        <v>214</v>
      </c>
    </row>
    <row r="130" spans="1:12" x14ac:dyDescent="0.25">
      <c r="A130" t="s">
        <v>213</v>
      </c>
      <c r="B130">
        <v>155</v>
      </c>
      <c r="C130" t="s">
        <v>21</v>
      </c>
      <c r="D130">
        <v>3</v>
      </c>
      <c r="E130" t="s">
        <v>14</v>
      </c>
      <c r="G130" t="s">
        <v>372</v>
      </c>
      <c r="I130" t="s">
        <v>108</v>
      </c>
      <c r="J130" t="s">
        <v>23</v>
      </c>
      <c r="K130" t="s">
        <v>115</v>
      </c>
      <c r="L130" t="s">
        <v>214</v>
      </c>
    </row>
    <row r="131" spans="1:12" x14ac:dyDescent="0.25">
      <c r="A131" t="s">
        <v>213</v>
      </c>
      <c r="B131">
        <v>156</v>
      </c>
      <c r="C131" t="s">
        <v>24</v>
      </c>
      <c r="D131">
        <v>1</v>
      </c>
      <c r="E131" t="s">
        <v>14</v>
      </c>
      <c r="F131">
        <v>15</v>
      </c>
      <c r="G131" t="s">
        <v>372</v>
      </c>
      <c r="H131">
        <v>12</v>
      </c>
      <c r="I131" t="s">
        <v>108</v>
      </c>
      <c r="J131" t="s">
        <v>26</v>
      </c>
      <c r="K131" t="s">
        <v>117</v>
      </c>
      <c r="L131" t="s">
        <v>214</v>
      </c>
    </row>
    <row r="132" spans="1:12" x14ac:dyDescent="0.25">
      <c r="A132" t="s">
        <v>213</v>
      </c>
      <c r="B132">
        <v>157</v>
      </c>
      <c r="C132" t="s">
        <v>24</v>
      </c>
      <c r="D132">
        <v>2</v>
      </c>
      <c r="E132" t="s">
        <v>14</v>
      </c>
      <c r="F132">
        <v>15</v>
      </c>
      <c r="G132" t="s">
        <v>372</v>
      </c>
      <c r="H132">
        <v>12</v>
      </c>
      <c r="I132" t="s">
        <v>108</v>
      </c>
      <c r="J132" t="s">
        <v>26</v>
      </c>
      <c r="K132" t="s">
        <v>117</v>
      </c>
      <c r="L132" t="s">
        <v>214</v>
      </c>
    </row>
    <row r="133" spans="1:12" x14ac:dyDescent="0.25">
      <c r="A133" t="s">
        <v>213</v>
      </c>
      <c r="B133">
        <v>158</v>
      </c>
      <c r="C133" t="s">
        <v>24</v>
      </c>
      <c r="D133">
        <v>3</v>
      </c>
      <c r="E133" t="s">
        <v>14</v>
      </c>
      <c r="G133" t="s">
        <v>372</v>
      </c>
      <c r="I133" t="s">
        <v>108</v>
      </c>
      <c r="J133" t="s">
        <v>26</v>
      </c>
      <c r="K133" t="s">
        <v>117</v>
      </c>
      <c r="L133" t="s">
        <v>214</v>
      </c>
    </row>
    <row r="134" spans="1:12" x14ac:dyDescent="0.25">
      <c r="A134" t="s">
        <v>213</v>
      </c>
      <c r="B134">
        <v>159</v>
      </c>
      <c r="C134" t="s">
        <v>27</v>
      </c>
      <c r="D134">
        <v>1</v>
      </c>
      <c r="E134" t="s">
        <v>14</v>
      </c>
      <c r="F134">
        <v>15</v>
      </c>
      <c r="G134" t="s">
        <v>372</v>
      </c>
      <c r="H134">
        <v>10</v>
      </c>
      <c r="I134" t="s">
        <v>108</v>
      </c>
      <c r="J134" t="s">
        <v>29</v>
      </c>
      <c r="K134" t="s">
        <v>119</v>
      </c>
      <c r="L134" t="s">
        <v>214</v>
      </c>
    </row>
    <row r="135" spans="1:12" x14ac:dyDescent="0.25">
      <c r="A135" t="s">
        <v>213</v>
      </c>
      <c r="B135">
        <v>160</v>
      </c>
      <c r="C135" t="s">
        <v>27</v>
      </c>
      <c r="D135">
        <v>2</v>
      </c>
      <c r="E135" t="s">
        <v>14</v>
      </c>
      <c r="F135">
        <v>15</v>
      </c>
      <c r="G135" t="s">
        <v>372</v>
      </c>
      <c r="H135">
        <v>10</v>
      </c>
      <c r="I135" t="s">
        <v>108</v>
      </c>
      <c r="J135" t="s">
        <v>29</v>
      </c>
      <c r="K135" t="s">
        <v>119</v>
      </c>
      <c r="L135" t="s">
        <v>214</v>
      </c>
    </row>
    <row r="136" spans="1:12" x14ac:dyDescent="0.25">
      <c r="A136" t="s">
        <v>213</v>
      </c>
      <c r="B136">
        <v>161</v>
      </c>
      <c r="C136" t="s">
        <v>27</v>
      </c>
      <c r="D136">
        <v>3</v>
      </c>
      <c r="E136" t="s">
        <v>14</v>
      </c>
      <c r="G136" t="s">
        <v>372</v>
      </c>
      <c r="I136" t="s">
        <v>108</v>
      </c>
      <c r="J136" t="s">
        <v>29</v>
      </c>
      <c r="K136" t="s">
        <v>119</v>
      </c>
      <c r="L136" t="s">
        <v>214</v>
      </c>
    </row>
    <row r="137" spans="1:12" x14ac:dyDescent="0.25">
      <c r="A137" t="s">
        <v>213</v>
      </c>
      <c r="B137">
        <v>165</v>
      </c>
      <c r="C137" t="s">
        <v>12</v>
      </c>
      <c r="D137">
        <v>1</v>
      </c>
      <c r="E137" t="s">
        <v>182</v>
      </c>
      <c r="F137">
        <v>17</v>
      </c>
      <c r="G137" t="s">
        <v>372</v>
      </c>
      <c r="H137">
        <v>15</v>
      </c>
      <c r="I137" t="s">
        <v>83</v>
      </c>
      <c r="J137" t="s">
        <v>184</v>
      </c>
      <c r="K137" t="s">
        <v>85</v>
      </c>
      <c r="L137" t="s">
        <v>214</v>
      </c>
    </row>
    <row r="138" spans="1:12" x14ac:dyDescent="0.25">
      <c r="A138" t="s">
        <v>213</v>
      </c>
      <c r="B138">
        <v>166</v>
      </c>
      <c r="C138" t="s">
        <v>12</v>
      </c>
      <c r="D138">
        <v>2</v>
      </c>
      <c r="E138" t="s">
        <v>182</v>
      </c>
      <c r="F138">
        <v>15</v>
      </c>
      <c r="G138" t="s">
        <v>372</v>
      </c>
      <c r="H138">
        <v>12</v>
      </c>
      <c r="I138" t="s">
        <v>83</v>
      </c>
      <c r="J138" t="s">
        <v>184</v>
      </c>
      <c r="K138" t="s">
        <v>85</v>
      </c>
      <c r="L138" t="s">
        <v>214</v>
      </c>
    </row>
    <row r="139" spans="1:12" x14ac:dyDescent="0.25">
      <c r="A139" t="s">
        <v>213</v>
      </c>
      <c r="B139">
        <v>167</v>
      </c>
      <c r="C139" t="s">
        <v>12</v>
      </c>
      <c r="D139">
        <v>3</v>
      </c>
      <c r="E139" t="s">
        <v>182</v>
      </c>
      <c r="G139" t="s">
        <v>372</v>
      </c>
      <c r="I139" t="s">
        <v>83</v>
      </c>
      <c r="J139" t="s">
        <v>184</v>
      </c>
      <c r="K139" t="s">
        <v>85</v>
      </c>
      <c r="L139" t="s">
        <v>214</v>
      </c>
    </row>
    <row r="140" spans="1:12" x14ac:dyDescent="0.25">
      <c r="A140" t="s">
        <v>213</v>
      </c>
      <c r="B140">
        <v>168</v>
      </c>
      <c r="C140" t="s">
        <v>18</v>
      </c>
      <c r="D140">
        <v>1</v>
      </c>
      <c r="E140" t="s">
        <v>182</v>
      </c>
      <c r="F140">
        <v>20</v>
      </c>
      <c r="G140" t="s">
        <v>372</v>
      </c>
      <c r="H140">
        <v>21</v>
      </c>
      <c r="I140" t="s">
        <v>83</v>
      </c>
      <c r="J140" t="s">
        <v>187</v>
      </c>
      <c r="K140" t="s">
        <v>88</v>
      </c>
      <c r="L140" t="s">
        <v>214</v>
      </c>
    </row>
    <row r="141" spans="1:12" x14ac:dyDescent="0.25">
      <c r="A141" t="s">
        <v>213</v>
      </c>
      <c r="B141">
        <v>169</v>
      </c>
      <c r="C141" t="s">
        <v>18</v>
      </c>
      <c r="D141">
        <v>2</v>
      </c>
      <c r="E141" t="s">
        <v>182</v>
      </c>
      <c r="F141">
        <v>9</v>
      </c>
      <c r="G141" t="s">
        <v>372</v>
      </c>
      <c r="H141">
        <v>9</v>
      </c>
      <c r="I141" t="s">
        <v>83</v>
      </c>
      <c r="J141" t="s">
        <v>187</v>
      </c>
      <c r="K141" t="s">
        <v>88</v>
      </c>
      <c r="L141" t="s">
        <v>214</v>
      </c>
    </row>
    <row r="142" spans="1:12" x14ac:dyDescent="0.25">
      <c r="A142" t="s">
        <v>213</v>
      </c>
      <c r="B142">
        <v>170</v>
      </c>
      <c r="C142" t="s">
        <v>18</v>
      </c>
      <c r="D142">
        <v>3</v>
      </c>
      <c r="E142" t="s">
        <v>182</v>
      </c>
      <c r="G142" t="s">
        <v>372</v>
      </c>
      <c r="I142" t="s">
        <v>83</v>
      </c>
      <c r="J142" t="s">
        <v>187</v>
      </c>
      <c r="K142" t="s">
        <v>88</v>
      </c>
      <c r="L142" t="s">
        <v>214</v>
      </c>
    </row>
    <row r="143" spans="1:12" x14ac:dyDescent="0.25">
      <c r="A143" t="s">
        <v>213</v>
      </c>
      <c r="B143">
        <v>171</v>
      </c>
      <c r="C143" t="s">
        <v>21</v>
      </c>
      <c r="D143">
        <v>1</v>
      </c>
      <c r="E143" t="s">
        <v>182</v>
      </c>
      <c r="F143">
        <v>15</v>
      </c>
      <c r="G143" t="s">
        <v>372</v>
      </c>
      <c r="H143">
        <v>8</v>
      </c>
      <c r="I143" t="s">
        <v>83</v>
      </c>
      <c r="J143" t="s">
        <v>189</v>
      </c>
      <c r="K143" t="s">
        <v>90</v>
      </c>
      <c r="L143" t="s">
        <v>214</v>
      </c>
    </row>
    <row r="144" spans="1:12" x14ac:dyDescent="0.25">
      <c r="A144" t="s">
        <v>213</v>
      </c>
      <c r="B144">
        <v>172</v>
      </c>
      <c r="C144" t="s">
        <v>21</v>
      </c>
      <c r="D144">
        <v>2</v>
      </c>
      <c r="E144" t="s">
        <v>182</v>
      </c>
      <c r="F144">
        <v>10</v>
      </c>
      <c r="G144" t="s">
        <v>372</v>
      </c>
      <c r="H144">
        <v>10</v>
      </c>
      <c r="I144" t="s">
        <v>83</v>
      </c>
      <c r="J144" t="s">
        <v>189</v>
      </c>
      <c r="K144" t="s">
        <v>90</v>
      </c>
      <c r="L144" t="s">
        <v>214</v>
      </c>
    </row>
    <row r="145" spans="1:12" x14ac:dyDescent="0.25">
      <c r="A145" t="s">
        <v>213</v>
      </c>
      <c r="B145">
        <v>173</v>
      </c>
      <c r="C145" t="s">
        <v>21</v>
      </c>
      <c r="D145">
        <v>3</v>
      </c>
      <c r="E145" t="s">
        <v>182</v>
      </c>
      <c r="F145">
        <v>11</v>
      </c>
      <c r="G145" t="s">
        <v>372</v>
      </c>
      <c r="H145">
        <v>11</v>
      </c>
      <c r="I145" t="s">
        <v>83</v>
      </c>
      <c r="J145" t="s">
        <v>189</v>
      </c>
      <c r="K145" t="s">
        <v>90</v>
      </c>
      <c r="L145" t="s">
        <v>214</v>
      </c>
    </row>
    <row r="146" spans="1:12" x14ac:dyDescent="0.25">
      <c r="A146" t="s">
        <v>213</v>
      </c>
      <c r="B146">
        <v>174</v>
      </c>
      <c r="C146" t="s">
        <v>24</v>
      </c>
      <c r="D146">
        <v>1</v>
      </c>
      <c r="E146" t="s">
        <v>182</v>
      </c>
      <c r="F146">
        <v>15</v>
      </c>
      <c r="G146" t="s">
        <v>372</v>
      </c>
      <c r="H146">
        <v>11</v>
      </c>
      <c r="I146" t="s">
        <v>83</v>
      </c>
      <c r="J146" t="s">
        <v>191</v>
      </c>
      <c r="K146" t="s">
        <v>92</v>
      </c>
      <c r="L146" t="s">
        <v>214</v>
      </c>
    </row>
    <row r="147" spans="1:12" x14ac:dyDescent="0.25">
      <c r="A147" t="s">
        <v>213</v>
      </c>
      <c r="B147">
        <v>175</v>
      </c>
      <c r="C147" t="s">
        <v>24</v>
      </c>
      <c r="D147">
        <v>2</v>
      </c>
      <c r="E147" t="s">
        <v>182</v>
      </c>
      <c r="F147">
        <v>15</v>
      </c>
      <c r="G147" t="s">
        <v>372</v>
      </c>
      <c r="H147">
        <v>12</v>
      </c>
      <c r="I147" t="s">
        <v>83</v>
      </c>
      <c r="J147" t="s">
        <v>191</v>
      </c>
      <c r="K147" t="s">
        <v>92</v>
      </c>
      <c r="L147" t="s">
        <v>214</v>
      </c>
    </row>
    <row r="148" spans="1:12" x14ac:dyDescent="0.25">
      <c r="A148" t="s">
        <v>213</v>
      </c>
      <c r="B148">
        <v>176</v>
      </c>
      <c r="C148" t="s">
        <v>24</v>
      </c>
      <c r="D148">
        <v>3</v>
      </c>
      <c r="E148" t="s">
        <v>182</v>
      </c>
      <c r="G148" t="s">
        <v>372</v>
      </c>
      <c r="I148" t="s">
        <v>83</v>
      </c>
      <c r="J148" t="s">
        <v>191</v>
      </c>
      <c r="K148" t="s">
        <v>92</v>
      </c>
      <c r="L148" t="s">
        <v>214</v>
      </c>
    </row>
    <row r="149" spans="1:12" x14ac:dyDescent="0.25">
      <c r="A149" t="s">
        <v>213</v>
      </c>
      <c r="B149">
        <v>177</v>
      </c>
      <c r="C149" t="s">
        <v>27</v>
      </c>
      <c r="D149">
        <v>1</v>
      </c>
      <c r="E149" t="s">
        <v>182</v>
      </c>
      <c r="F149">
        <v>15</v>
      </c>
      <c r="G149" t="s">
        <v>372</v>
      </c>
      <c r="H149">
        <v>8</v>
      </c>
      <c r="I149" t="s">
        <v>83</v>
      </c>
      <c r="J149" t="s">
        <v>193</v>
      </c>
      <c r="K149" t="s">
        <v>94</v>
      </c>
      <c r="L149" t="s">
        <v>214</v>
      </c>
    </row>
    <row r="150" spans="1:12" x14ac:dyDescent="0.25">
      <c r="A150" t="s">
        <v>213</v>
      </c>
      <c r="B150">
        <v>178</v>
      </c>
      <c r="C150" t="s">
        <v>27</v>
      </c>
      <c r="D150">
        <v>2</v>
      </c>
      <c r="E150" t="s">
        <v>182</v>
      </c>
      <c r="F150">
        <v>15</v>
      </c>
      <c r="G150" t="s">
        <v>372</v>
      </c>
      <c r="H150">
        <v>9</v>
      </c>
      <c r="I150" t="s">
        <v>83</v>
      </c>
      <c r="J150" t="s">
        <v>193</v>
      </c>
      <c r="K150" t="s">
        <v>94</v>
      </c>
      <c r="L150" t="s">
        <v>214</v>
      </c>
    </row>
    <row r="151" spans="1:12" x14ac:dyDescent="0.25">
      <c r="A151" t="s">
        <v>213</v>
      </c>
      <c r="B151">
        <v>179</v>
      </c>
      <c r="C151" t="s">
        <v>27</v>
      </c>
      <c r="D151">
        <v>3</v>
      </c>
      <c r="E151" t="s">
        <v>182</v>
      </c>
      <c r="G151" t="s">
        <v>372</v>
      </c>
      <c r="I151" t="s">
        <v>83</v>
      </c>
      <c r="J151" t="s">
        <v>193</v>
      </c>
      <c r="K151" t="s">
        <v>94</v>
      </c>
      <c r="L151" t="s">
        <v>214</v>
      </c>
    </row>
    <row r="152" spans="1:12" x14ac:dyDescent="0.25">
      <c r="A152" t="s">
        <v>213</v>
      </c>
      <c r="B152">
        <v>183</v>
      </c>
      <c r="C152" t="s">
        <v>12</v>
      </c>
      <c r="D152">
        <v>1</v>
      </c>
      <c r="E152" t="s">
        <v>13</v>
      </c>
      <c r="F152">
        <v>15</v>
      </c>
      <c r="G152" t="s">
        <v>372</v>
      </c>
      <c r="H152">
        <v>12</v>
      </c>
      <c r="I152" t="s">
        <v>69</v>
      </c>
      <c r="J152" t="s">
        <v>15</v>
      </c>
      <c r="K152" t="s">
        <v>71</v>
      </c>
      <c r="L152" t="s">
        <v>214</v>
      </c>
    </row>
    <row r="153" spans="1:12" x14ac:dyDescent="0.25">
      <c r="A153" t="s">
        <v>213</v>
      </c>
      <c r="B153">
        <v>184</v>
      </c>
      <c r="C153" t="s">
        <v>12</v>
      </c>
      <c r="D153">
        <v>2</v>
      </c>
      <c r="E153" t="s">
        <v>13</v>
      </c>
      <c r="F153">
        <v>5</v>
      </c>
      <c r="G153" t="s">
        <v>372</v>
      </c>
      <c r="H153">
        <v>6</v>
      </c>
      <c r="I153" t="s">
        <v>69</v>
      </c>
      <c r="J153" t="s">
        <v>15</v>
      </c>
      <c r="K153" t="s">
        <v>71</v>
      </c>
      <c r="L153" t="s">
        <v>214</v>
      </c>
    </row>
    <row r="154" spans="1:12" x14ac:dyDescent="0.25">
      <c r="A154" t="s">
        <v>213</v>
      </c>
      <c r="B154">
        <v>185</v>
      </c>
      <c r="C154" t="s">
        <v>12</v>
      </c>
      <c r="D154">
        <v>3</v>
      </c>
      <c r="E154" t="s">
        <v>13</v>
      </c>
      <c r="G154" t="s">
        <v>372</v>
      </c>
      <c r="I154" t="s">
        <v>69</v>
      </c>
      <c r="J154" t="s">
        <v>15</v>
      </c>
      <c r="K154" t="s">
        <v>71</v>
      </c>
      <c r="L154" t="s">
        <v>214</v>
      </c>
    </row>
    <row r="155" spans="1:12" x14ac:dyDescent="0.25">
      <c r="A155" t="s">
        <v>213</v>
      </c>
      <c r="B155">
        <v>186</v>
      </c>
      <c r="C155" t="s">
        <v>18</v>
      </c>
      <c r="D155">
        <v>1</v>
      </c>
      <c r="E155" t="s">
        <v>13</v>
      </c>
      <c r="F155">
        <v>15</v>
      </c>
      <c r="G155" t="s">
        <v>372</v>
      </c>
      <c r="H155">
        <v>5</v>
      </c>
      <c r="I155" t="s">
        <v>69</v>
      </c>
      <c r="J155" t="s">
        <v>19</v>
      </c>
      <c r="K155" t="s">
        <v>74</v>
      </c>
      <c r="L155" t="s">
        <v>214</v>
      </c>
    </row>
    <row r="156" spans="1:12" x14ac:dyDescent="0.25">
      <c r="A156" t="s">
        <v>213</v>
      </c>
      <c r="B156">
        <v>187</v>
      </c>
      <c r="C156" t="s">
        <v>18</v>
      </c>
      <c r="D156">
        <v>2</v>
      </c>
      <c r="E156" t="s">
        <v>13</v>
      </c>
      <c r="F156">
        <v>15</v>
      </c>
      <c r="G156" t="s">
        <v>372</v>
      </c>
      <c r="H156">
        <v>11</v>
      </c>
      <c r="I156" t="s">
        <v>69</v>
      </c>
      <c r="J156" t="s">
        <v>19</v>
      </c>
      <c r="K156" t="s">
        <v>74</v>
      </c>
      <c r="L156" t="s">
        <v>214</v>
      </c>
    </row>
    <row r="157" spans="1:12" x14ac:dyDescent="0.25">
      <c r="A157" t="s">
        <v>213</v>
      </c>
      <c r="B157">
        <v>188</v>
      </c>
      <c r="C157" t="s">
        <v>18</v>
      </c>
      <c r="D157">
        <v>3</v>
      </c>
      <c r="E157" t="s">
        <v>13</v>
      </c>
      <c r="G157" t="s">
        <v>372</v>
      </c>
      <c r="I157" t="s">
        <v>69</v>
      </c>
      <c r="J157" t="s">
        <v>19</v>
      </c>
      <c r="K157" t="s">
        <v>74</v>
      </c>
      <c r="L157" t="s">
        <v>214</v>
      </c>
    </row>
    <row r="158" spans="1:12" x14ac:dyDescent="0.25">
      <c r="A158" t="s">
        <v>213</v>
      </c>
      <c r="B158">
        <v>189</v>
      </c>
      <c r="C158" t="s">
        <v>21</v>
      </c>
      <c r="D158">
        <v>1</v>
      </c>
      <c r="E158" t="s">
        <v>13</v>
      </c>
      <c r="F158">
        <v>15</v>
      </c>
      <c r="G158" t="s">
        <v>372</v>
      </c>
      <c r="H158">
        <v>10</v>
      </c>
      <c r="I158" t="s">
        <v>69</v>
      </c>
      <c r="J158" t="s">
        <v>22</v>
      </c>
      <c r="K158" t="s">
        <v>76</v>
      </c>
      <c r="L158" t="s">
        <v>214</v>
      </c>
    </row>
    <row r="159" spans="1:12" x14ac:dyDescent="0.25">
      <c r="A159" t="s">
        <v>213</v>
      </c>
      <c r="B159">
        <v>190</v>
      </c>
      <c r="C159" t="s">
        <v>21</v>
      </c>
      <c r="D159">
        <v>2</v>
      </c>
      <c r="E159" t="s">
        <v>13</v>
      </c>
      <c r="F159">
        <v>12</v>
      </c>
      <c r="G159" t="s">
        <v>372</v>
      </c>
      <c r="H159">
        <v>7</v>
      </c>
      <c r="I159" t="s">
        <v>69</v>
      </c>
      <c r="J159" t="s">
        <v>22</v>
      </c>
      <c r="K159" t="s">
        <v>76</v>
      </c>
      <c r="L159" t="s">
        <v>214</v>
      </c>
    </row>
    <row r="160" spans="1:12" x14ac:dyDescent="0.25">
      <c r="A160" t="s">
        <v>213</v>
      </c>
      <c r="B160">
        <v>191</v>
      </c>
      <c r="C160" t="s">
        <v>21</v>
      </c>
      <c r="D160">
        <v>3</v>
      </c>
      <c r="E160" t="s">
        <v>13</v>
      </c>
      <c r="G160" t="s">
        <v>372</v>
      </c>
      <c r="I160" t="s">
        <v>69</v>
      </c>
      <c r="J160" t="s">
        <v>22</v>
      </c>
      <c r="K160" t="s">
        <v>76</v>
      </c>
      <c r="L160" t="s">
        <v>214</v>
      </c>
    </row>
    <row r="161" spans="1:12" x14ac:dyDescent="0.25">
      <c r="A161" t="s">
        <v>213</v>
      </c>
      <c r="B161">
        <v>192</v>
      </c>
      <c r="C161" t="s">
        <v>24</v>
      </c>
      <c r="D161">
        <v>1</v>
      </c>
      <c r="E161" t="s">
        <v>13</v>
      </c>
      <c r="F161">
        <v>15</v>
      </c>
      <c r="G161" t="s">
        <v>372</v>
      </c>
      <c r="H161">
        <v>6</v>
      </c>
      <c r="I161" t="s">
        <v>69</v>
      </c>
      <c r="J161" t="s">
        <v>25</v>
      </c>
      <c r="K161" t="s">
        <v>78</v>
      </c>
      <c r="L161" t="s">
        <v>214</v>
      </c>
    </row>
    <row r="162" spans="1:12" x14ac:dyDescent="0.25">
      <c r="A162" t="s">
        <v>213</v>
      </c>
      <c r="B162">
        <v>193</v>
      </c>
      <c r="C162" t="s">
        <v>24</v>
      </c>
      <c r="D162">
        <v>2</v>
      </c>
      <c r="E162" t="s">
        <v>13</v>
      </c>
      <c r="F162">
        <v>15</v>
      </c>
      <c r="G162" t="s">
        <v>372</v>
      </c>
      <c r="H162">
        <v>7</v>
      </c>
      <c r="I162" t="s">
        <v>69</v>
      </c>
      <c r="J162" t="s">
        <v>25</v>
      </c>
      <c r="K162" t="s">
        <v>78</v>
      </c>
      <c r="L162" t="s">
        <v>214</v>
      </c>
    </row>
    <row r="163" spans="1:12" x14ac:dyDescent="0.25">
      <c r="A163" t="s">
        <v>213</v>
      </c>
      <c r="B163">
        <v>194</v>
      </c>
      <c r="C163" t="s">
        <v>24</v>
      </c>
      <c r="D163">
        <v>3</v>
      </c>
      <c r="E163" t="s">
        <v>13</v>
      </c>
      <c r="G163" t="s">
        <v>372</v>
      </c>
      <c r="I163" t="s">
        <v>69</v>
      </c>
      <c r="J163" t="s">
        <v>25</v>
      </c>
      <c r="K163" t="s">
        <v>78</v>
      </c>
      <c r="L163" t="s">
        <v>214</v>
      </c>
    </row>
    <row r="164" spans="1:12" x14ac:dyDescent="0.25">
      <c r="A164" t="s">
        <v>213</v>
      </c>
      <c r="B164">
        <v>195</v>
      </c>
      <c r="C164" t="s">
        <v>27</v>
      </c>
      <c r="D164">
        <v>1</v>
      </c>
      <c r="E164" t="s">
        <v>13</v>
      </c>
      <c r="F164">
        <v>15</v>
      </c>
      <c r="G164" t="s">
        <v>372</v>
      </c>
      <c r="H164">
        <v>9</v>
      </c>
      <c r="I164" t="s">
        <v>69</v>
      </c>
      <c r="J164" t="s">
        <v>28</v>
      </c>
      <c r="K164" t="s">
        <v>80</v>
      </c>
      <c r="L164" t="s">
        <v>214</v>
      </c>
    </row>
    <row r="165" spans="1:12" x14ac:dyDescent="0.25">
      <c r="A165" t="s">
        <v>213</v>
      </c>
      <c r="B165">
        <v>196</v>
      </c>
      <c r="C165" t="s">
        <v>27</v>
      </c>
      <c r="D165">
        <v>2</v>
      </c>
      <c r="E165" t="s">
        <v>13</v>
      </c>
      <c r="F165">
        <v>15</v>
      </c>
      <c r="G165" t="s">
        <v>372</v>
      </c>
      <c r="H165">
        <v>6</v>
      </c>
      <c r="I165" t="s">
        <v>69</v>
      </c>
      <c r="J165" t="s">
        <v>28</v>
      </c>
      <c r="K165" t="s">
        <v>80</v>
      </c>
      <c r="L165" t="s">
        <v>214</v>
      </c>
    </row>
    <row r="166" spans="1:12" x14ac:dyDescent="0.25">
      <c r="A166" t="s">
        <v>213</v>
      </c>
      <c r="B166">
        <v>197</v>
      </c>
      <c r="C166" t="s">
        <v>27</v>
      </c>
      <c r="D166">
        <v>3</v>
      </c>
      <c r="E166" t="s">
        <v>13</v>
      </c>
      <c r="G166" t="s">
        <v>372</v>
      </c>
      <c r="I166" t="s">
        <v>69</v>
      </c>
      <c r="J166" t="s">
        <v>28</v>
      </c>
      <c r="K166" t="s">
        <v>80</v>
      </c>
      <c r="L166" t="s">
        <v>214</v>
      </c>
    </row>
    <row r="167" spans="1:12" x14ac:dyDescent="0.25">
      <c r="A167" t="s">
        <v>213</v>
      </c>
      <c r="B167">
        <v>201</v>
      </c>
      <c r="C167" t="s">
        <v>12</v>
      </c>
      <c r="D167">
        <v>1</v>
      </c>
      <c r="E167" t="s">
        <v>30</v>
      </c>
      <c r="F167">
        <v>15</v>
      </c>
      <c r="G167" t="s">
        <v>372</v>
      </c>
      <c r="H167">
        <v>10</v>
      </c>
      <c r="I167" t="s">
        <v>56</v>
      </c>
      <c r="J167" t="s">
        <v>32</v>
      </c>
      <c r="K167" t="s">
        <v>58</v>
      </c>
      <c r="L167" t="s">
        <v>214</v>
      </c>
    </row>
    <row r="168" spans="1:12" x14ac:dyDescent="0.25">
      <c r="A168" t="s">
        <v>213</v>
      </c>
      <c r="B168">
        <v>202</v>
      </c>
      <c r="C168" t="s">
        <v>12</v>
      </c>
      <c r="D168">
        <v>2</v>
      </c>
      <c r="E168" t="s">
        <v>30</v>
      </c>
      <c r="F168">
        <v>15</v>
      </c>
      <c r="G168" t="s">
        <v>372</v>
      </c>
      <c r="H168">
        <v>8</v>
      </c>
      <c r="I168" t="s">
        <v>56</v>
      </c>
      <c r="J168" t="s">
        <v>32</v>
      </c>
      <c r="K168" t="s">
        <v>58</v>
      </c>
      <c r="L168" t="s">
        <v>214</v>
      </c>
    </row>
    <row r="169" spans="1:12" x14ac:dyDescent="0.25">
      <c r="A169" t="s">
        <v>213</v>
      </c>
      <c r="B169">
        <v>203</v>
      </c>
      <c r="C169" t="s">
        <v>12</v>
      </c>
      <c r="D169">
        <v>3</v>
      </c>
      <c r="E169" t="s">
        <v>30</v>
      </c>
      <c r="G169" t="s">
        <v>372</v>
      </c>
      <c r="I169" t="s">
        <v>56</v>
      </c>
      <c r="J169" t="s">
        <v>32</v>
      </c>
      <c r="K169" t="s">
        <v>58</v>
      </c>
      <c r="L169" t="s">
        <v>214</v>
      </c>
    </row>
    <row r="170" spans="1:12" x14ac:dyDescent="0.25">
      <c r="A170" t="s">
        <v>213</v>
      </c>
      <c r="B170">
        <v>204</v>
      </c>
      <c r="C170" t="s">
        <v>18</v>
      </c>
      <c r="D170">
        <v>1</v>
      </c>
      <c r="E170" t="s">
        <v>30</v>
      </c>
      <c r="F170">
        <v>15</v>
      </c>
      <c r="G170" t="s">
        <v>372</v>
      </c>
      <c r="H170">
        <v>11</v>
      </c>
      <c r="I170" t="s">
        <v>56</v>
      </c>
      <c r="J170" t="s">
        <v>35</v>
      </c>
      <c r="K170" t="s">
        <v>61</v>
      </c>
      <c r="L170" t="s">
        <v>214</v>
      </c>
    </row>
    <row r="171" spans="1:12" x14ac:dyDescent="0.25">
      <c r="A171" t="s">
        <v>213</v>
      </c>
      <c r="B171">
        <v>205</v>
      </c>
      <c r="C171" t="s">
        <v>18</v>
      </c>
      <c r="D171">
        <v>2</v>
      </c>
      <c r="E171" t="s">
        <v>30</v>
      </c>
      <c r="F171">
        <v>15</v>
      </c>
      <c r="G171" t="s">
        <v>372</v>
      </c>
      <c r="H171">
        <v>12</v>
      </c>
      <c r="I171" t="s">
        <v>56</v>
      </c>
      <c r="J171" t="s">
        <v>35</v>
      </c>
      <c r="K171" t="s">
        <v>61</v>
      </c>
      <c r="L171" t="s">
        <v>214</v>
      </c>
    </row>
    <row r="172" spans="1:12" x14ac:dyDescent="0.25">
      <c r="A172" t="s">
        <v>213</v>
      </c>
      <c r="B172">
        <v>206</v>
      </c>
      <c r="C172" t="s">
        <v>18</v>
      </c>
      <c r="D172">
        <v>3</v>
      </c>
      <c r="E172" t="s">
        <v>30</v>
      </c>
      <c r="G172" t="s">
        <v>372</v>
      </c>
      <c r="I172" t="s">
        <v>56</v>
      </c>
      <c r="J172" t="s">
        <v>35</v>
      </c>
      <c r="K172" t="s">
        <v>61</v>
      </c>
      <c r="L172" t="s">
        <v>214</v>
      </c>
    </row>
    <row r="173" spans="1:12" x14ac:dyDescent="0.25">
      <c r="A173" t="s">
        <v>213</v>
      </c>
      <c r="B173">
        <v>207</v>
      </c>
      <c r="C173" t="s">
        <v>21</v>
      </c>
      <c r="D173">
        <v>1</v>
      </c>
      <c r="E173" t="s">
        <v>30</v>
      </c>
      <c r="F173">
        <v>13</v>
      </c>
      <c r="G173" t="s">
        <v>372</v>
      </c>
      <c r="H173">
        <v>15</v>
      </c>
      <c r="I173" t="s">
        <v>56</v>
      </c>
      <c r="J173" t="s">
        <v>37</v>
      </c>
      <c r="K173" t="s">
        <v>63</v>
      </c>
      <c r="L173" t="s">
        <v>214</v>
      </c>
    </row>
    <row r="174" spans="1:12" x14ac:dyDescent="0.25">
      <c r="A174" t="s">
        <v>213</v>
      </c>
      <c r="B174">
        <v>208</v>
      </c>
      <c r="C174" t="s">
        <v>21</v>
      </c>
      <c r="D174">
        <v>2</v>
      </c>
      <c r="E174" t="s">
        <v>30</v>
      </c>
      <c r="F174">
        <v>15</v>
      </c>
      <c r="G174" t="s">
        <v>372</v>
      </c>
      <c r="H174">
        <v>9</v>
      </c>
      <c r="I174" t="s">
        <v>56</v>
      </c>
      <c r="J174" t="s">
        <v>37</v>
      </c>
      <c r="K174" t="s">
        <v>63</v>
      </c>
      <c r="L174" t="s">
        <v>214</v>
      </c>
    </row>
    <row r="175" spans="1:12" x14ac:dyDescent="0.25">
      <c r="A175" t="s">
        <v>213</v>
      </c>
      <c r="B175">
        <v>209</v>
      </c>
      <c r="C175" t="s">
        <v>21</v>
      </c>
      <c r="D175">
        <v>3</v>
      </c>
      <c r="E175" t="s">
        <v>30</v>
      </c>
      <c r="G175" t="s">
        <v>372</v>
      </c>
      <c r="I175" t="s">
        <v>56</v>
      </c>
      <c r="J175" t="s">
        <v>37</v>
      </c>
      <c r="K175" t="s">
        <v>63</v>
      </c>
      <c r="L175" t="s">
        <v>214</v>
      </c>
    </row>
    <row r="176" spans="1:12" x14ac:dyDescent="0.25">
      <c r="A176" t="s">
        <v>213</v>
      </c>
      <c r="B176">
        <v>210</v>
      </c>
      <c r="C176" t="s">
        <v>24</v>
      </c>
      <c r="D176">
        <v>1</v>
      </c>
      <c r="E176" t="s">
        <v>30</v>
      </c>
      <c r="F176">
        <v>15</v>
      </c>
      <c r="G176" t="s">
        <v>372</v>
      </c>
      <c r="H176">
        <v>8</v>
      </c>
      <c r="I176" t="s">
        <v>56</v>
      </c>
      <c r="J176" t="s">
        <v>39</v>
      </c>
      <c r="K176" t="s">
        <v>65</v>
      </c>
      <c r="L176" t="s">
        <v>214</v>
      </c>
    </row>
    <row r="177" spans="1:12" x14ac:dyDescent="0.25">
      <c r="A177" t="s">
        <v>213</v>
      </c>
      <c r="B177">
        <v>211</v>
      </c>
      <c r="C177" t="s">
        <v>24</v>
      </c>
      <c r="D177">
        <v>2</v>
      </c>
      <c r="E177" t="s">
        <v>30</v>
      </c>
      <c r="F177">
        <v>15</v>
      </c>
      <c r="G177" t="s">
        <v>372</v>
      </c>
      <c r="H177">
        <v>13</v>
      </c>
      <c r="I177" t="s">
        <v>56</v>
      </c>
      <c r="J177" t="s">
        <v>39</v>
      </c>
      <c r="K177" t="s">
        <v>65</v>
      </c>
      <c r="L177" t="s">
        <v>214</v>
      </c>
    </row>
    <row r="178" spans="1:12" x14ac:dyDescent="0.25">
      <c r="A178" t="s">
        <v>213</v>
      </c>
      <c r="B178">
        <v>212</v>
      </c>
      <c r="C178" t="s">
        <v>24</v>
      </c>
      <c r="D178">
        <v>3</v>
      </c>
      <c r="E178" t="s">
        <v>30</v>
      </c>
      <c r="G178" t="s">
        <v>372</v>
      </c>
      <c r="I178" t="s">
        <v>56</v>
      </c>
      <c r="J178" t="s">
        <v>39</v>
      </c>
      <c r="K178" t="s">
        <v>65</v>
      </c>
      <c r="L178" t="s">
        <v>214</v>
      </c>
    </row>
    <row r="179" spans="1:12" x14ac:dyDescent="0.25">
      <c r="A179" t="s">
        <v>213</v>
      </c>
      <c r="B179">
        <v>213</v>
      </c>
      <c r="C179" t="s">
        <v>27</v>
      </c>
      <c r="D179">
        <v>1</v>
      </c>
      <c r="E179" t="s">
        <v>30</v>
      </c>
      <c r="F179">
        <v>15</v>
      </c>
      <c r="G179" t="s">
        <v>372</v>
      </c>
      <c r="H179">
        <v>5</v>
      </c>
      <c r="I179" t="s">
        <v>56</v>
      </c>
      <c r="J179" t="s">
        <v>41</v>
      </c>
      <c r="K179" t="s">
        <v>67</v>
      </c>
      <c r="L179" t="s">
        <v>214</v>
      </c>
    </row>
    <row r="180" spans="1:12" x14ac:dyDescent="0.25">
      <c r="A180" t="s">
        <v>213</v>
      </c>
      <c r="B180">
        <v>214</v>
      </c>
      <c r="C180" t="s">
        <v>27</v>
      </c>
      <c r="D180">
        <v>2</v>
      </c>
      <c r="E180" t="s">
        <v>30</v>
      </c>
      <c r="F180">
        <v>15</v>
      </c>
      <c r="G180" t="s">
        <v>372</v>
      </c>
      <c r="H180">
        <v>11</v>
      </c>
      <c r="I180" t="s">
        <v>56</v>
      </c>
      <c r="J180" t="s">
        <v>41</v>
      </c>
      <c r="K180" t="s">
        <v>67</v>
      </c>
      <c r="L180" t="s">
        <v>214</v>
      </c>
    </row>
    <row r="181" spans="1:12" x14ac:dyDescent="0.25">
      <c r="A181" t="s">
        <v>213</v>
      </c>
      <c r="B181">
        <v>215</v>
      </c>
      <c r="C181" t="s">
        <v>27</v>
      </c>
      <c r="D181">
        <v>3</v>
      </c>
      <c r="E181" t="s">
        <v>30</v>
      </c>
      <c r="G181" t="s">
        <v>372</v>
      </c>
      <c r="I181" t="s">
        <v>56</v>
      </c>
      <c r="J181" t="s">
        <v>41</v>
      </c>
      <c r="K181" t="s">
        <v>67</v>
      </c>
      <c r="L181" t="s">
        <v>214</v>
      </c>
    </row>
    <row r="182" spans="1:12" x14ac:dyDescent="0.25">
      <c r="A182" t="s">
        <v>213</v>
      </c>
      <c r="B182">
        <v>219</v>
      </c>
      <c r="C182" t="s">
        <v>12</v>
      </c>
      <c r="D182">
        <v>1</v>
      </c>
      <c r="E182" t="s">
        <v>181</v>
      </c>
      <c r="F182">
        <v>15</v>
      </c>
      <c r="G182" t="s">
        <v>372</v>
      </c>
      <c r="H182">
        <v>8</v>
      </c>
      <c r="I182" t="s">
        <v>82</v>
      </c>
      <c r="J182" t="s">
        <v>183</v>
      </c>
      <c r="K182" t="s">
        <v>84</v>
      </c>
      <c r="L182" t="s">
        <v>214</v>
      </c>
    </row>
    <row r="183" spans="1:12" x14ac:dyDescent="0.25">
      <c r="A183" t="s">
        <v>213</v>
      </c>
      <c r="B183">
        <v>220</v>
      </c>
      <c r="C183" t="s">
        <v>12</v>
      </c>
      <c r="D183">
        <v>2</v>
      </c>
      <c r="E183" t="s">
        <v>181</v>
      </c>
      <c r="F183">
        <v>15</v>
      </c>
      <c r="G183" t="s">
        <v>372</v>
      </c>
      <c r="H183">
        <v>13</v>
      </c>
      <c r="I183" t="s">
        <v>82</v>
      </c>
      <c r="J183" t="s">
        <v>183</v>
      </c>
      <c r="K183" t="s">
        <v>84</v>
      </c>
      <c r="L183" t="s">
        <v>214</v>
      </c>
    </row>
    <row r="184" spans="1:12" x14ac:dyDescent="0.25">
      <c r="A184" t="s">
        <v>213</v>
      </c>
      <c r="B184">
        <v>221</v>
      </c>
      <c r="C184" t="s">
        <v>12</v>
      </c>
      <c r="D184">
        <v>3</v>
      </c>
      <c r="E184" t="s">
        <v>181</v>
      </c>
      <c r="G184" t="s">
        <v>372</v>
      </c>
      <c r="I184" t="s">
        <v>82</v>
      </c>
      <c r="J184" t="s">
        <v>183</v>
      </c>
      <c r="K184" t="s">
        <v>84</v>
      </c>
      <c r="L184" t="s">
        <v>214</v>
      </c>
    </row>
    <row r="185" spans="1:12" x14ac:dyDescent="0.25">
      <c r="A185" t="s">
        <v>213</v>
      </c>
      <c r="B185">
        <v>222</v>
      </c>
      <c r="C185" t="s">
        <v>18</v>
      </c>
      <c r="D185">
        <v>1</v>
      </c>
      <c r="E185" t="s">
        <v>181</v>
      </c>
      <c r="F185">
        <v>17</v>
      </c>
      <c r="G185" t="s">
        <v>372</v>
      </c>
      <c r="H185">
        <v>15</v>
      </c>
      <c r="I185" t="s">
        <v>82</v>
      </c>
      <c r="J185" t="s">
        <v>186</v>
      </c>
      <c r="K185" t="s">
        <v>87</v>
      </c>
      <c r="L185" t="s">
        <v>214</v>
      </c>
    </row>
    <row r="186" spans="1:12" x14ac:dyDescent="0.25">
      <c r="A186" t="s">
        <v>213</v>
      </c>
      <c r="B186">
        <v>223</v>
      </c>
      <c r="C186" t="s">
        <v>18</v>
      </c>
      <c r="D186">
        <v>2</v>
      </c>
      <c r="E186" t="s">
        <v>181</v>
      </c>
      <c r="F186">
        <v>8</v>
      </c>
      <c r="G186" t="s">
        <v>372</v>
      </c>
      <c r="H186">
        <v>5</v>
      </c>
      <c r="I186" t="s">
        <v>82</v>
      </c>
      <c r="J186" t="s">
        <v>186</v>
      </c>
      <c r="K186" t="s">
        <v>87</v>
      </c>
      <c r="L186" t="s">
        <v>214</v>
      </c>
    </row>
    <row r="187" spans="1:12" x14ac:dyDescent="0.25">
      <c r="A187" t="s">
        <v>213</v>
      </c>
      <c r="B187">
        <v>224</v>
      </c>
      <c r="C187" t="s">
        <v>18</v>
      </c>
      <c r="D187">
        <v>3</v>
      </c>
      <c r="E187" t="s">
        <v>181</v>
      </c>
      <c r="G187" t="s">
        <v>372</v>
      </c>
      <c r="I187" t="s">
        <v>82</v>
      </c>
      <c r="J187" t="s">
        <v>186</v>
      </c>
      <c r="K187" t="s">
        <v>87</v>
      </c>
      <c r="L187" t="s">
        <v>214</v>
      </c>
    </row>
    <row r="188" spans="1:12" x14ac:dyDescent="0.25">
      <c r="A188" t="s">
        <v>213</v>
      </c>
      <c r="B188">
        <v>225</v>
      </c>
      <c r="C188" t="s">
        <v>21</v>
      </c>
      <c r="D188">
        <v>1</v>
      </c>
      <c r="E188" t="s">
        <v>181</v>
      </c>
      <c r="F188">
        <v>19</v>
      </c>
      <c r="G188" t="s">
        <v>372</v>
      </c>
      <c r="H188">
        <v>17</v>
      </c>
      <c r="I188" t="s">
        <v>82</v>
      </c>
      <c r="J188" t="s">
        <v>188</v>
      </c>
      <c r="K188" t="s">
        <v>89</v>
      </c>
      <c r="L188" t="s">
        <v>214</v>
      </c>
    </row>
    <row r="189" spans="1:12" x14ac:dyDescent="0.25">
      <c r="A189" t="s">
        <v>213</v>
      </c>
      <c r="B189">
        <v>226</v>
      </c>
      <c r="C189" t="s">
        <v>21</v>
      </c>
      <c r="D189">
        <v>2</v>
      </c>
      <c r="E189" t="s">
        <v>181</v>
      </c>
      <c r="F189">
        <v>5</v>
      </c>
      <c r="G189" t="s">
        <v>372</v>
      </c>
      <c r="H189">
        <v>3</v>
      </c>
      <c r="I189" t="s">
        <v>82</v>
      </c>
      <c r="J189" t="s">
        <v>188</v>
      </c>
      <c r="K189" t="s">
        <v>89</v>
      </c>
      <c r="L189" t="s">
        <v>214</v>
      </c>
    </row>
    <row r="190" spans="1:12" x14ac:dyDescent="0.25">
      <c r="A190" t="s">
        <v>213</v>
      </c>
      <c r="B190">
        <v>227</v>
      </c>
      <c r="C190" t="s">
        <v>21</v>
      </c>
      <c r="D190">
        <v>3</v>
      </c>
      <c r="E190" t="s">
        <v>181</v>
      </c>
      <c r="G190" t="s">
        <v>372</v>
      </c>
      <c r="I190" t="s">
        <v>82</v>
      </c>
      <c r="J190" t="s">
        <v>188</v>
      </c>
      <c r="K190" t="s">
        <v>89</v>
      </c>
      <c r="L190" t="s">
        <v>214</v>
      </c>
    </row>
    <row r="191" spans="1:12" x14ac:dyDescent="0.25">
      <c r="A191" t="s">
        <v>213</v>
      </c>
      <c r="B191">
        <v>228</v>
      </c>
      <c r="C191" t="s">
        <v>24</v>
      </c>
      <c r="D191">
        <v>1</v>
      </c>
      <c r="E191" t="s">
        <v>181</v>
      </c>
      <c r="F191">
        <v>15</v>
      </c>
      <c r="G191" t="s">
        <v>372</v>
      </c>
      <c r="H191">
        <v>8</v>
      </c>
      <c r="I191" t="s">
        <v>82</v>
      </c>
      <c r="J191" t="s">
        <v>190</v>
      </c>
      <c r="K191" t="s">
        <v>91</v>
      </c>
      <c r="L191" t="s">
        <v>214</v>
      </c>
    </row>
    <row r="192" spans="1:12" x14ac:dyDescent="0.25">
      <c r="A192" t="s">
        <v>213</v>
      </c>
      <c r="B192">
        <v>229</v>
      </c>
      <c r="C192" t="s">
        <v>24</v>
      </c>
      <c r="D192">
        <v>2</v>
      </c>
      <c r="E192" t="s">
        <v>181</v>
      </c>
      <c r="F192">
        <v>15</v>
      </c>
      <c r="G192" t="s">
        <v>372</v>
      </c>
      <c r="H192">
        <v>12</v>
      </c>
      <c r="I192" t="s">
        <v>82</v>
      </c>
      <c r="J192" t="s">
        <v>190</v>
      </c>
      <c r="K192" t="s">
        <v>91</v>
      </c>
      <c r="L192" t="s">
        <v>214</v>
      </c>
    </row>
    <row r="193" spans="1:12" x14ac:dyDescent="0.25">
      <c r="A193" t="s">
        <v>213</v>
      </c>
      <c r="B193">
        <v>230</v>
      </c>
      <c r="C193" t="s">
        <v>24</v>
      </c>
      <c r="D193">
        <v>3</v>
      </c>
      <c r="E193" t="s">
        <v>181</v>
      </c>
      <c r="G193" t="s">
        <v>372</v>
      </c>
      <c r="I193" t="s">
        <v>82</v>
      </c>
      <c r="J193" t="s">
        <v>190</v>
      </c>
      <c r="K193" t="s">
        <v>91</v>
      </c>
      <c r="L193" t="s">
        <v>214</v>
      </c>
    </row>
    <row r="194" spans="1:12" x14ac:dyDescent="0.25">
      <c r="A194" t="s">
        <v>213</v>
      </c>
      <c r="B194">
        <v>231</v>
      </c>
      <c r="C194" t="s">
        <v>27</v>
      </c>
      <c r="D194">
        <v>1</v>
      </c>
      <c r="E194" t="s">
        <v>181</v>
      </c>
      <c r="F194">
        <v>15</v>
      </c>
      <c r="G194" t="s">
        <v>372</v>
      </c>
      <c r="H194">
        <v>11</v>
      </c>
      <c r="I194" t="s">
        <v>82</v>
      </c>
      <c r="J194" t="s">
        <v>192</v>
      </c>
      <c r="K194" t="s">
        <v>93</v>
      </c>
      <c r="L194" t="s">
        <v>214</v>
      </c>
    </row>
    <row r="195" spans="1:12" x14ac:dyDescent="0.25">
      <c r="A195" t="s">
        <v>213</v>
      </c>
      <c r="B195">
        <v>232</v>
      </c>
      <c r="C195" t="s">
        <v>27</v>
      </c>
      <c r="D195">
        <v>2</v>
      </c>
      <c r="E195" t="s">
        <v>181</v>
      </c>
      <c r="F195">
        <v>17</v>
      </c>
      <c r="G195" t="s">
        <v>372</v>
      </c>
      <c r="H195">
        <v>15</v>
      </c>
      <c r="I195" t="s">
        <v>82</v>
      </c>
      <c r="J195" t="s">
        <v>192</v>
      </c>
      <c r="K195" t="s">
        <v>93</v>
      </c>
      <c r="L195" t="s">
        <v>214</v>
      </c>
    </row>
    <row r="196" spans="1:12" x14ac:dyDescent="0.25">
      <c r="A196" t="s">
        <v>213</v>
      </c>
      <c r="B196">
        <v>233</v>
      </c>
      <c r="C196" t="s">
        <v>27</v>
      </c>
      <c r="D196">
        <v>3</v>
      </c>
      <c r="E196" t="s">
        <v>181</v>
      </c>
      <c r="G196" t="s">
        <v>372</v>
      </c>
      <c r="I196" t="s">
        <v>82</v>
      </c>
      <c r="J196" t="s">
        <v>192</v>
      </c>
      <c r="K196" t="s">
        <v>93</v>
      </c>
      <c r="L196" t="s">
        <v>214</v>
      </c>
    </row>
    <row r="197" spans="1:12" x14ac:dyDescent="0.25">
      <c r="A197" t="s">
        <v>213</v>
      </c>
      <c r="B197">
        <v>237</v>
      </c>
      <c r="C197" t="s">
        <v>12</v>
      </c>
      <c r="D197">
        <v>1</v>
      </c>
      <c r="E197" t="s">
        <v>43</v>
      </c>
      <c r="F197">
        <v>15</v>
      </c>
      <c r="G197" t="s">
        <v>372</v>
      </c>
      <c r="H197">
        <v>10</v>
      </c>
      <c r="I197" t="s">
        <v>95</v>
      </c>
      <c r="J197" t="s">
        <v>45</v>
      </c>
      <c r="K197" t="s">
        <v>97</v>
      </c>
      <c r="L197" t="s">
        <v>214</v>
      </c>
    </row>
    <row r="198" spans="1:12" x14ac:dyDescent="0.25">
      <c r="A198" t="s">
        <v>213</v>
      </c>
      <c r="B198">
        <v>238</v>
      </c>
      <c r="C198" t="s">
        <v>12</v>
      </c>
      <c r="D198">
        <v>2</v>
      </c>
      <c r="E198" t="s">
        <v>43</v>
      </c>
      <c r="F198">
        <v>15</v>
      </c>
      <c r="G198" t="s">
        <v>372</v>
      </c>
      <c r="H198">
        <v>12</v>
      </c>
      <c r="I198" t="s">
        <v>95</v>
      </c>
      <c r="J198" t="s">
        <v>45</v>
      </c>
      <c r="K198" t="s">
        <v>97</v>
      </c>
      <c r="L198" t="s">
        <v>214</v>
      </c>
    </row>
    <row r="199" spans="1:12" x14ac:dyDescent="0.25">
      <c r="A199" t="s">
        <v>213</v>
      </c>
      <c r="B199">
        <v>239</v>
      </c>
      <c r="C199" t="s">
        <v>12</v>
      </c>
      <c r="D199">
        <v>3</v>
      </c>
      <c r="E199" t="s">
        <v>43</v>
      </c>
      <c r="G199" t="s">
        <v>372</v>
      </c>
      <c r="I199" t="s">
        <v>95</v>
      </c>
      <c r="J199" t="s">
        <v>45</v>
      </c>
      <c r="K199" t="s">
        <v>97</v>
      </c>
      <c r="L199" t="s">
        <v>214</v>
      </c>
    </row>
    <row r="200" spans="1:12" x14ac:dyDescent="0.25">
      <c r="A200" t="s">
        <v>213</v>
      </c>
      <c r="B200">
        <v>240</v>
      </c>
      <c r="C200" t="s">
        <v>18</v>
      </c>
      <c r="D200">
        <v>1</v>
      </c>
      <c r="E200" t="s">
        <v>43</v>
      </c>
      <c r="F200">
        <v>15</v>
      </c>
      <c r="G200" t="s">
        <v>372</v>
      </c>
      <c r="H200">
        <v>11</v>
      </c>
      <c r="I200" t="s">
        <v>95</v>
      </c>
      <c r="J200" t="s">
        <v>48</v>
      </c>
      <c r="K200" t="s">
        <v>100</v>
      </c>
      <c r="L200" t="s">
        <v>214</v>
      </c>
    </row>
    <row r="201" spans="1:12" x14ac:dyDescent="0.25">
      <c r="A201" t="s">
        <v>213</v>
      </c>
      <c r="B201">
        <v>241</v>
      </c>
      <c r="C201" t="s">
        <v>18</v>
      </c>
      <c r="D201">
        <v>2</v>
      </c>
      <c r="E201" t="s">
        <v>43</v>
      </c>
      <c r="F201">
        <v>12</v>
      </c>
      <c r="G201" t="s">
        <v>372</v>
      </c>
      <c r="H201">
        <v>15</v>
      </c>
      <c r="I201" t="s">
        <v>95</v>
      </c>
      <c r="J201" t="s">
        <v>48</v>
      </c>
      <c r="K201" t="s">
        <v>100</v>
      </c>
      <c r="L201" t="s">
        <v>214</v>
      </c>
    </row>
    <row r="202" spans="1:12" x14ac:dyDescent="0.25">
      <c r="A202" t="s">
        <v>213</v>
      </c>
      <c r="B202">
        <v>242</v>
      </c>
      <c r="C202" t="s">
        <v>18</v>
      </c>
      <c r="D202">
        <v>3</v>
      </c>
      <c r="E202" t="s">
        <v>43</v>
      </c>
      <c r="F202">
        <v>16</v>
      </c>
      <c r="G202" t="s">
        <v>372</v>
      </c>
      <c r="H202">
        <v>14</v>
      </c>
      <c r="I202" t="s">
        <v>95</v>
      </c>
      <c r="J202" t="s">
        <v>48</v>
      </c>
      <c r="K202" t="s">
        <v>100</v>
      </c>
      <c r="L202" t="s">
        <v>214</v>
      </c>
    </row>
    <row r="203" spans="1:12" x14ac:dyDescent="0.25">
      <c r="A203" t="s">
        <v>213</v>
      </c>
      <c r="B203">
        <v>243</v>
      </c>
      <c r="C203" t="s">
        <v>21</v>
      </c>
      <c r="D203">
        <v>1</v>
      </c>
      <c r="E203" t="s">
        <v>43</v>
      </c>
      <c r="F203">
        <v>13</v>
      </c>
      <c r="G203" t="s">
        <v>372</v>
      </c>
      <c r="H203">
        <v>15</v>
      </c>
      <c r="I203" t="s">
        <v>95</v>
      </c>
      <c r="J203" t="s">
        <v>50</v>
      </c>
      <c r="K203" t="s">
        <v>102</v>
      </c>
      <c r="L203" t="s">
        <v>214</v>
      </c>
    </row>
    <row r="204" spans="1:12" x14ac:dyDescent="0.25">
      <c r="A204" t="s">
        <v>213</v>
      </c>
      <c r="B204">
        <v>244</v>
      </c>
      <c r="C204" t="s">
        <v>21</v>
      </c>
      <c r="D204">
        <v>2</v>
      </c>
      <c r="E204" t="s">
        <v>43</v>
      </c>
      <c r="F204">
        <v>19</v>
      </c>
      <c r="G204" t="s">
        <v>372</v>
      </c>
      <c r="H204">
        <v>17</v>
      </c>
      <c r="I204" t="s">
        <v>95</v>
      </c>
      <c r="J204" t="s">
        <v>50</v>
      </c>
      <c r="K204" t="s">
        <v>102</v>
      </c>
      <c r="L204" t="s">
        <v>214</v>
      </c>
    </row>
    <row r="205" spans="1:12" x14ac:dyDescent="0.25">
      <c r="A205" t="s">
        <v>213</v>
      </c>
      <c r="B205">
        <v>245</v>
      </c>
      <c r="C205" t="s">
        <v>21</v>
      </c>
      <c r="D205">
        <v>3</v>
      </c>
      <c r="E205" t="s">
        <v>43</v>
      </c>
      <c r="F205">
        <v>8</v>
      </c>
      <c r="G205" t="s">
        <v>372</v>
      </c>
      <c r="H205">
        <v>7</v>
      </c>
      <c r="I205" t="s">
        <v>95</v>
      </c>
      <c r="J205" t="s">
        <v>50</v>
      </c>
      <c r="K205" t="s">
        <v>102</v>
      </c>
      <c r="L205" t="s">
        <v>214</v>
      </c>
    </row>
    <row r="206" spans="1:12" x14ac:dyDescent="0.25">
      <c r="A206" t="s">
        <v>213</v>
      </c>
      <c r="B206">
        <v>246</v>
      </c>
      <c r="C206" t="s">
        <v>24</v>
      </c>
      <c r="D206">
        <v>1</v>
      </c>
      <c r="E206" t="s">
        <v>43</v>
      </c>
      <c r="F206">
        <v>12</v>
      </c>
      <c r="G206" t="s">
        <v>372</v>
      </c>
      <c r="H206">
        <v>15</v>
      </c>
      <c r="I206" t="s">
        <v>95</v>
      </c>
      <c r="J206" t="s">
        <v>52</v>
      </c>
      <c r="K206" t="s">
        <v>104</v>
      </c>
      <c r="L206" t="s">
        <v>214</v>
      </c>
    </row>
    <row r="207" spans="1:12" x14ac:dyDescent="0.25">
      <c r="A207" t="s">
        <v>213</v>
      </c>
      <c r="B207">
        <v>247</v>
      </c>
      <c r="C207" t="s">
        <v>24</v>
      </c>
      <c r="D207">
        <v>2</v>
      </c>
      <c r="E207" t="s">
        <v>43</v>
      </c>
      <c r="F207">
        <v>15</v>
      </c>
      <c r="G207" t="s">
        <v>372</v>
      </c>
      <c r="H207">
        <v>10</v>
      </c>
      <c r="I207" t="s">
        <v>95</v>
      </c>
      <c r="J207" t="s">
        <v>52</v>
      </c>
      <c r="K207" t="s">
        <v>104</v>
      </c>
      <c r="L207" t="s">
        <v>214</v>
      </c>
    </row>
    <row r="208" spans="1:12" x14ac:dyDescent="0.25">
      <c r="A208" t="s">
        <v>213</v>
      </c>
      <c r="B208">
        <v>248</v>
      </c>
      <c r="C208" t="s">
        <v>24</v>
      </c>
      <c r="D208">
        <v>3</v>
      </c>
      <c r="E208" t="s">
        <v>43</v>
      </c>
      <c r="F208">
        <v>12</v>
      </c>
      <c r="G208" t="s">
        <v>372</v>
      </c>
      <c r="H208">
        <v>12</v>
      </c>
      <c r="I208" t="s">
        <v>95</v>
      </c>
      <c r="J208" t="s">
        <v>52</v>
      </c>
      <c r="K208" t="s">
        <v>104</v>
      </c>
      <c r="L208" t="s">
        <v>214</v>
      </c>
    </row>
    <row r="209" spans="1:12" x14ac:dyDescent="0.25">
      <c r="A209" t="s">
        <v>213</v>
      </c>
      <c r="B209">
        <v>249</v>
      </c>
      <c r="C209" t="s">
        <v>27</v>
      </c>
      <c r="D209">
        <v>1</v>
      </c>
      <c r="E209" t="s">
        <v>43</v>
      </c>
      <c r="F209">
        <v>8</v>
      </c>
      <c r="G209" t="s">
        <v>372</v>
      </c>
      <c r="H209">
        <v>15</v>
      </c>
      <c r="I209" t="s">
        <v>95</v>
      </c>
      <c r="J209" t="s">
        <v>54</v>
      </c>
      <c r="K209" t="s">
        <v>106</v>
      </c>
      <c r="L209" t="s">
        <v>214</v>
      </c>
    </row>
    <row r="210" spans="1:12" x14ac:dyDescent="0.25">
      <c r="A210" t="s">
        <v>213</v>
      </c>
      <c r="B210">
        <v>250</v>
      </c>
      <c r="C210" t="s">
        <v>27</v>
      </c>
      <c r="D210">
        <v>2</v>
      </c>
      <c r="E210" t="s">
        <v>43</v>
      </c>
      <c r="F210">
        <v>10</v>
      </c>
      <c r="G210" t="s">
        <v>372</v>
      </c>
      <c r="H210">
        <v>15</v>
      </c>
      <c r="I210" t="s">
        <v>95</v>
      </c>
      <c r="J210" t="s">
        <v>54</v>
      </c>
      <c r="K210" t="s">
        <v>106</v>
      </c>
      <c r="L210" t="s">
        <v>214</v>
      </c>
    </row>
    <row r="211" spans="1:12" x14ac:dyDescent="0.25">
      <c r="A211" t="s">
        <v>213</v>
      </c>
      <c r="B211">
        <v>251</v>
      </c>
      <c r="C211" t="s">
        <v>27</v>
      </c>
      <c r="D211">
        <v>3</v>
      </c>
      <c r="E211" t="s">
        <v>43</v>
      </c>
      <c r="G211" t="s">
        <v>372</v>
      </c>
      <c r="I211" t="s">
        <v>95</v>
      </c>
      <c r="J211" t="s">
        <v>54</v>
      </c>
      <c r="K211" t="s">
        <v>106</v>
      </c>
      <c r="L211" t="s">
        <v>214</v>
      </c>
    </row>
    <row r="212" spans="1:12" x14ac:dyDescent="0.25">
      <c r="A212" t="s">
        <v>213</v>
      </c>
      <c r="B212">
        <v>255</v>
      </c>
      <c r="C212" t="s">
        <v>12</v>
      </c>
      <c r="D212">
        <v>1</v>
      </c>
      <c r="E212" t="s">
        <v>31</v>
      </c>
      <c r="F212">
        <v>11</v>
      </c>
      <c r="G212" t="s">
        <v>372</v>
      </c>
      <c r="H212">
        <v>15</v>
      </c>
      <c r="I212" t="s">
        <v>57</v>
      </c>
      <c r="J212" t="s">
        <v>33</v>
      </c>
      <c r="K212" t="s">
        <v>59</v>
      </c>
      <c r="L212" t="s">
        <v>214</v>
      </c>
    </row>
    <row r="213" spans="1:12" x14ac:dyDescent="0.25">
      <c r="A213" t="s">
        <v>213</v>
      </c>
      <c r="B213">
        <v>256</v>
      </c>
      <c r="C213" t="s">
        <v>12</v>
      </c>
      <c r="D213">
        <v>2</v>
      </c>
      <c r="E213" t="s">
        <v>31</v>
      </c>
      <c r="F213">
        <v>13</v>
      </c>
      <c r="G213" t="s">
        <v>372</v>
      </c>
      <c r="H213">
        <v>15</v>
      </c>
      <c r="I213" t="s">
        <v>57</v>
      </c>
      <c r="J213" t="s">
        <v>33</v>
      </c>
      <c r="K213" t="s">
        <v>59</v>
      </c>
      <c r="L213" t="s">
        <v>214</v>
      </c>
    </row>
    <row r="214" spans="1:12" x14ac:dyDescent="0.25">
      <c r="A214" t="s">
        <v>213</v>
      </c>
      <c r="B214">
        <v>257</v>
      </c>
      <c r="C214" t="s">
        <v>12</v>
      </c>
      <c r="D214">
        <v>3</v>
      </c>
      <c r="E214" t="s">
        <v>31</v>
      </c>
      <c r="G214" t="s">
        <v>372</v>
      </c>
      <c r="I214" t="s">
        <v>57</v>
      </c>
      <c r="J214" t="s">
        <v>33</v>
      </c>
      <c r="K214" t="s">
        <v>59</v>
      </c>
      <c r="L214" t="s">
        <v>214</v>
      </c>
    </row>
    <row r="215" spans="1:12" x14ac:dyDescent="0.25">
      <c r="A215" t="s">
        <v>213</v>
      </c>
      <c r="B215">
        <v>258</v>
      </c>
      <c r="C215" t="s">
        <v>18</v>
      </c>
      <c r="D215">
        <v>1</v>
      </c>
      <c r="E215" t="s">
        <v>31</v>
      </c>
      <c r="F215">
        <v>15</v>
      </c>
      <c r="G215" t="s">
        <v>372</v>
      </c>
      <c r="H215">
        <v>12</v>
      </c>
      <c r="I215" t="s">
        <v>57</v>
      </c>
      <c r="J215" t="s">
        <v>36</v>
      </c>
      <c r="K215" t="s">
        <v>62</v>
      </c>
      <c r="L215" t="s">
        <v>214</v>
      </c>
    </row>
    <row r="216" spans="1:12" x14ac:dyDescent="0.25">
      <c r="A216" t="s">
        <v>213</v>
      </c>
      <c r="B216">
        <v>259</v>
      </c>
      <c r="C216" t="s">
        <v>18</v>
      </c>
      <c r="D216">
        <v>2</v>
      </c>
      <c r="E216" t="s">
        <v>31</v>
      </c>
      <c r="F216">
        <v>15</v>
      </c>
      <c r="G216" t="s">
        <v>372</v>
      </c>
      <c r="H216">
        <v>9</v>
      </c>
      <c r="I216" t="s">
        <v>57</v>
      </c>
      <c r="J216" t="s">
        <v>36</v>
      </c>
      <c r="K216" t="s">
        <v>62</v>
      </c>
      <c r="L216" t="s">
        <v>214</v>
      </c>
    </row>
    <row r="217" spans="1:12" x14ac:dyDescent="0.25">
      <c r="A217" t="s">
        <v>213</v>
      </c>
      <c r="B217">
        <v>260</v>
      </c>
      <c r="C217" t="s">
        <v>18</v>
      </c>
      <c r="D217">
        <v>3</v>
      </c>
      <c r="E217" t="s">
        <v>31</v>
      </c>
      <c r="G217" t="s">
        <v>372</v>
      </c>
      <c r="I217" t="s">
        <v>57</v>
      </c>
      <c r="J217" t="s">
        <v>36</v>
      </c>
      <c r="K217" t="s">
        <v>62</v>
      </c>
      <c r="L217" t="s">
        <v>214</v>
      </c>
    </row>
    <row r="218" spans="1:12" x14ac:dyDescent="0.25">
      <c r="A218" t="s">
        <v>213</v>
      </c>
      <c r="B218">
        <v>261</v>
      </c>
      <c r="C218" t="s">
        <v>21</v>
      </c>
      <c r="D218">
        <v>1</v>
      </c>
      <c r="E218" t="s">
        <v>31</v>
      </c>
      <c r="F218">
        <v>15</v>
      </c>
      <c r="G218" t="s">
        <v>372</v>
      </c>
      <c r="H218">
        <v>13</v>
      </c>
      <c r="I218" t="s">
        <v>57</v>
      </c>
      <c r="J218" t="s">
        <v>38</v>
      </c>
      <c r="K218" t="s">
        <v>64</v>
      </c>
      <c r="L218" t="s">
        <v>214</v>
      </c>
    </row>
    <row r="219" spans="1:12" x14ac:dyDescent="0.25">
      <c r="A219" t="s">
        <v>213</v>
      </c>
      <c r="B219">
        <v>262</v>
      </c>
      <c r="C219" t="s">
        <v>21</v>
      </c>
      <c r="D219">
        <v>2</v>
      </c>
      <c r="E219" t="s">
        <v>31</v>
      </c>
      <c r="F219">
        <v>11</v>
      </c>
      <c r="G219" t="s">
        <v>372</v>
      </c>
      <c r="H219">
        <v>15</v>
      </c>
      <c r="I219" t="s">
        <v>57</v>
      </c>
      <c r="J219" t="s">
        <v>38</v>
      </c>
      <c r="K219" t="s">
        <v>64</v>
      </c>
      <c r="L219" t="s">
        <v>214</v>
      </c>
    </row>
    <row r="220" spans="1:12" x14ac:dyDescent="0.25">
      <c r="A220" t="s">
        <v>213</v>
      </c>
      <c r="B220">
        <v>263</v>
      </c>
      <c r="C220" t="s">
        <v>21</v>
      </c>
      <c r="D220">
        <v>3</v>
      </c>
      <c r="E220" t="s">
        <v>31</v>
      </c>
      <c r="F220">
        <v>21</v>
      </c>
      <c r="G220" t="s">
        <v>372</v>
      </c>
      <c r="H220">
        <v>20</v>
      </c>
      <c r="I220" t="s">
        <v>57</v>
      </c>
      <c r="J220" t="s">
        <v>38</v>
      </c>
      <c r="K220" t="s">
        <v>64</v>
      </c>
      <c r="L220" t="s">
        <v>214</v>
      </c>
    </row>
    <row r="221" spans="1:12" x14ac:dyDescent="0.25">
      <c r="A221" t="s">
        <v>213</v>
      </c>
      <c r="B221">
        <v>264</v>
      </c>
      <c r="C221" t="s">
        <v>24</v>
      </c>
      <c r="D221">
        <v>1</v>
      </c>
      <c r="E221" t="s">
        <v>31</v>
      </c>
      <c r="F221">
        <v>10</v>
      </c>
      <c r="G221" t="s">
        <v>372</v>
      </c>
      <c r="H221">
        <v>15</v>
      </c>
      <c r="I221" t="s">
        <v>57</v>
      </c>
      <c r="J221" t="s">
        <v>40</v>
      </c>
      <c r="K221" t="s">
        <v>66</v>
      </c>
      <c r="L221" t="s">
        <v>214</v>
      </c>
    </row>
    <row r="222" spans="1:12" x14ac:dyDescent="0.25">
      <c r="A222" t="s">
        <v>213</v>
      </c>
      <c r="B222">
        <v>265</v>
      </c>
      <c r="C222" t="s">
        <v>24</v>
      </c>
      <c r="D222">
        <v>2</v>
      </c>
      <c r="E222" t="s">
        <v>31</v>
      </c>
      <c r="F222">
        <v>15</v>
      </c>
      <c r="G222" t="s">
        <v>372</v>
      </c>
      <c r="H222">
        <v>11</v>
      </c>
      <c r="I222" t="s">
        <v>57</v>
      </c>
      <c r="J222" t="s">
        <v>40</v>
      </c>
      <c r="K222" t="s">
        <v>66</v>
      </c>
      <c r="L222" t="s">
        <v>214</v>
      </c>
    </row>
    <row r="223" spans="1:12" x14ac:dyDescent="0.25">
      <c r="A223" t="s">
        <v>213</v>
      </c>
      <c r="B223">
        <v>266</v>
      </c>
      <c r="C223" t="s">
        <v>24</v>
      </c>
      <c r="D223">
        <v>3</v>
      </c>
      <c r="E223" t="s">
        <v>31</v>
      </c>
      <c r="F223">
        <v>14</v>
      </c>
      <c r="G223" t="s">
        <v>372</v>
      </c>
      <c r="H223">
        <v>10</v>
      </c>
      <c r="I223" t="s">
        <v>57</v>
      </c>
      <c r="J223" t="s">
        <v>40</v>
      </c>
      <c r="K223" t="s">
        <v>66</v>
      </c>
      <c r="L223" t="s">
        <v>214</v>
      </c>
    </row>
    <row r="224" spans="1:12" x14ac:dyDescent="0.25">
      <c r="A224" t="s">
        <v>213</v>
      </c>
      <c r="B224">
        <v>267</v>
      </c>
      <c r="C224" t="s">
        <v>27</v>
      </c>
      <c r="D224">
        <v>1</v>
      </c>
      <c r="E224" t="s">
        <v>31</v>
      </c>
      <c r="F224">
        <v>15</v>
      </c>
      <c r="G224" t="s">
        <v>372</v>
      </c>
      <c r="H224">
        <v>8</v>
      </c>
      <c r="I224" t="s">
        <v>57</v>
      </c>
      <c r="J224" t="s">
        <v>42</v>
      </c>
      <c r="K224" t="s">
        <v>68</v>
      </c>
      <c r="L224" t="s">
        <v>214</v>
      </c>
    </row>
    <row r="225" spans="1:12" x14ac:dyDescent="0.25">
      <c r="A225" t="s">
        <v>213</v>
      </c>
      <c r="B225">
        <v>268</v>
      </c>
      <c r="C225" t="s">
        <v>27</v>
      </c>
      <c r="D225">
        <v>2</v>
      </c>
      <c r="E225" t="s">
        <v>31</v>
      </c>
      <c r="F225">
        <v>15</v>
      </c>
      <c r="G225" t="s">
        <v>372</v>
      </c>
      <c r="H225">
        <v>11</v>
      </c>
      <c r="I225" t="s">
        <v>57</v>
      </c>
      <c r="J225" t="s">
        <v>42</v>
      </c>
      <c r="K225" t="s">
        <v>68</v>
      </c>
      <c r="L225" t="s">
        <v>214</v>
      </c>
    </row>
    <row r="226" spans="1:12" x14ac:dyDescent="0.25">
      <c r="A226" t="s">
        <v>213</v>
      </c>
      <c r="B226">
        <v>269</v>
      </c>
      <c r="C226" t="s">
        <v>27</v>
      </c>
      <c r="D226">
        <v>3</v>
      </c>
      <c r="E226" t="s">
        <v>31</v>
      </c>
      <c r="G226" t="s">
        <v>372</v>
      </c>
      <c r="I226" t="s">
        <v>57</v>
      </c>
      <c r="J226" t="s">
        <v>42</v>
      </c>
      <c r="K226" t="s">
        <v>68</v>
      </c>
      <c r="L226" t="s">
        <v>214</v>
      </c>
    </row>
    <row r="227" spans="1:12" x14ac:dyDescent="0.25">
      <c r="A227" t="s">
        <v>213</v>
      </c>
      <c r="B227">
        <v>273</v>
      </c>
      <c r="C227" t="s">
        <v>12</v>
      </c>
      <c r="D227">
        <v>1</v>
      </c>
      <c r="E227" t="s">
        <v>44</v>
      </c>
      <c r="F227">
        <v>15</v>
      </c>
      <c r="G227" t="s">
        <v>372</v>
      </c>
      <c r="H227">
        <v>10</v>
      </c>
      <c r="I227" t="s">
        <v>70</v>
      </c>
      <c r="J227" t="s">
        <v>46</v>
      </c>
      <c r="K227" t="s">
        <v>72</v>
      </c>
      <c r="L227" t="s">
        <v>214</v>
      </c>
    </row>
    <row r="228" spans="1:12" x14ac:dyDescent="0.25">
      <c r="A228" t="s">
        <v>213</v>
      </c>
      <c r="B228">
        <v>274</v>
      </c>
      <c r="C228" t="s">
        <v>12</v>
      </c>
      <c r="D228">
        <v>2</v>
      </c>
      <c r="E228" t="s">
        <v>44</v>
      </c>
      <c r="F228">
        <v>15</v>
      </c>
      <c r="G228" t="s">
        <v>372</v>
      </c>
      <c r="H228">
        <v>11</v>
      </c>
      <c r="I228" t="s">
        <v>70</v>
      </c>
      <c r="J228" t="s">
        <v>46</v>
      </c>
      <c r="K228" t="s">
        <v>72</v>
      </c>
      <c r="L228" t="s">
        <v>214</v>
      </c>
    </row>
    <row r="229" spans="1:12" x14ac:dyDescent="0.25">
      <c r="A229" t="s">
        <v>213</v>
      </c>
      <c r="B229">
        <v>275</v>
      </c>
      <c r="C229" t="s">
        <v>12</v>
      </c>
      <c r="D229">
        <v>3</v>
      </c>
      <c r="E229" t="s">
        <v>44</v>
      </c>
      <c r="G229" t="s">
        <v>372</v>
      </c>
      <c r="I229" t="s">
        <v>70</v>
      </c>
      <c r="J229" t="s">
        <v>46</v>
      </c>
      <c r="K229" t="s">
        <v>72</v>
      </c>
      <c r="L229" t="s">
        <v>214</v>
      </c>
    </row>
    <row r="230" spans="1:12" x14ac:dyDescent="0.25">
      <c r="A230" t="s">
        <v>213</v>
      </c>
      <c r="B230">
        <v>276</v>
      </c>
      <c r="C230" t="s">
        <v>18</v>
      </c>
      <c r="D230">
        <v>1</v>
      </c>
      <c r="E230" t="s">
        <v>44</v>
      </c>
      <c r="F230">
        <v>12</v>
      </c>
      <c r="G230" t="s">
        <v>372</v>
      </c>
      <c r="H230">
        <v>15</v>
      </c>
      <c r="I230" t="s">
        <v>70</v>
      </c>
      <c r="J230" t="s">
        <v>49</v>
      </c>
      <c r="K230" t="s">
        <v>75</v>
      </c>
      <c r="L230" t="s">
        <v>214</v>
      </c>
    </row>
    <row r="231" spans="1:12" x14ac:dyDescent="0.25">
      <c r="A231" t="s">
        <v>213</v>
      </c>
      <c r="B231">
        <v>277</v>
      </c>
      <c r="C231" t="s">
        <v>18</v>
      </c>
      <c r="D231">
        <v>2</v>
      </c>
      <c r="E231" t="s">
        <v>44</v>
      </c>
      <c r="F231">
        <v>15</v>
      </c>
      <c r="G231" t="s">
        <v>372</v>
      </c>
      <c r="H231">
        <v>13</v>
      </c>
      <c r="I231" t="s">
        <v>70</v>
      </c>
      <c r="J231" t="s">
        <v>49</v>
      </c>
      <c r="K231" t="s">
        <v>75</v>
      </c>
      <c r="L231" t="s">
        <v>214</v>
      </c>
    </row>
    <row r="232" spans="1:12" x14ac:dyDescent="0.25">
      <c r="A232" t="s">
        <v>213</v>
      </c>
      <c r="B232">
        <v>278</v>
      </c>
      <c r="C232" t="s">
        <v>18</v>
      </c>
      <c r="D232">
        <v>3</v>
      </c>
      <c r="E232" t="s">
        <v>44</v>
      </c>
      <c r="G232" t="s">
        <v>372</v>
      </c>
      <c r="I232" t="s">
        <v>70</v>
      </c>
      <c r="J232" t="s">
        <v>49</v>
      </c>
      <c r="K232" t="s">
        <v>75</v>
      </c>
      <c r="L232" t="s">
        <v>214</v>
      </c>
    </row>
    <row r="233" spans="1:12" x14ac:dyDescent="0.25">
      <c r="A233" t="s">
        <v>213</v>
      </c>
      <c r="B233">
        <v>279</v>
      </c>
      <c r="C233" t="s">
        <v>21</v>
      </c>
      <c r="D233">
        <v>1</v>
      </c>
      <c r="E233" t="s">
        <v>44</v>
      </c>
      <c r="F233">
        <v>15</v>
      </c>
      <c r="G233" t="s">
        <v>372</v>
      </c>
      <c r="H233">
        <v>12</v>
      </c>
      <c r="I233" t="s">
        <v>70</v>
      </c>
      <c r="J233" t="s">
        <v>51</v>
      </c>
      <c r="K233" t="s">
        <v>77</v>
      </c>
      <c r="L233" t="s">
        <v>214</v>
      </c>
    </row>
    <row r="234" spans="1:12" x14ac:dyDescent="0.25">
      <c r="A234" t="s">
        <v>213</v>
      </c>
      <c r="B234">
        <v>280</v>
      </c>
      <c r="C234" t="s">
        <v>21</v>
      </c>
      <c r="D234">
        <v>2</v>
      </c>
      <c r="E234" t="s">
        <v>44</v>
      </c>
      <c r="F234">
        <v>15</v>
      </c>
      <c r="G234" t="s">
        <v>372</v>
      </c>
      <c r="H234">
        <v>13</v>
      </c>
      <c r="I234" t="s">
        <v>70</v>
      </c>
      <c r="J234" t="s">
        <v>51</v>
      </c>
      <c r="K234" t="s">
        <v>77</v>
      </c>
      <c r="L234" t="s">
        <v>214</v>
      </c>
    </row>
    <row r="235" spans="1:12" x14ac:dyDescent="0.25">
      <c r="A235" t="s">
        <v>213</v>
      </c>
      <c r="B235">
        <v>281</v>
      </c>
      <c r="C235" t="s">
        <v>21</v>
      </c>
      <c r="D235">
        <v>3</v>
      </c>
      <c r="E235" t="s">
        <v>44</v>
      </c>
      <c r="G235" t="s">
        <v>372</v>
      </c>
      <c r="I235" t="s">
        <v>70</v>
      </c>
      <c r="J235" t="s">
        <v>51</v>
      </c>
      <c r="K235" t="s">
        <v>77</v>
      </c>
      <c r="L235" t="s">
        <v>214</v>
      </c>
    </row>
    <row r="236" spans="1:12" x14ac:dyDescent="0.25">
      <c r="A236" t="s">
        <v>213</v>
      </c>
      <c r="B236">
        <v>282</v>
      </c>
      <c r="C236" t="s">
        <v>24</v>
      </c>
      <c r="D236">
        <v>1</v>
      </c>
      <c r="E236" t="s">
        <v>44</v>
      </c>
      <c r="F236">
        <v>16</v>
      </c>
      <c r="G236" t="s">
        <v>372</v>
      </c>
      <c r="H236">
        <v>14</v>
      </c>
      <c r="I236" t="s">
        <v>70</v>
      </c>
      <c r="J236" t="s">
        <v>53</v>
      </c>
      <c r="K236" t="s">
        <v>79</v>
      </c>
      <c r="L236" t="s">
        <v>214</v>
      </c>
    </row>
    <row r="237" spans="1:12" x14ac:dyDescent="0.25">
      <c r="A237" t="s">
        <v>213</v>
      </c>
      <c r="B237">
        <v>283</v>
      </c>
      <c r="C237" t="s">
        <v>24</v>
      </c>
      <c r="D237">
        <v>2</v>
      </c>
      <c r="E237" t="s">
        <v>44</v>
      </c>
      <c r="F237">
        <v>13</v>
      </c>
      <c r="G237" t="s">
        <v>372</v>
      </c>
      <c r="H237">
        <v>15</v>
      </c>
      <c r="I237" t="s">
        <v>70</v>
      </c>
      <c r="J237" t="s">
        <v>53</v>
      </c>
      <c r="K237" t="s">
        <v>79</v>
      </c>
      <c r="L237" t="s">
        <v>214</v>
      </c>
    </row>
    <row r="238" spans="1:12" x14ac:dyDescent="0.25">
      <c r="A238" t="s">
        <v>213</v>
      </c>
      <c r="B238">
        <v>284</v>
      </c>
      <c r="C238" t="s">
        <v>24</v>
      </c>
      <c r="D238">
        <v>3</v>
      </c>
      <c r="E238" t="s">
        <v>44</v>
      </c>
      <c r="G238" t="s">
        <v>372</v>
      </c>
      <c r="I238" t="s">
        <v>70</v>
      </c>
      <c r="J238" t="s">
        <v>53</v>
      </c>
      <c r="K238" t="s">
        <v>79</v>
      </c>
      <c r="L238" t="s">
        <v>214</v>
      </c>
    </row>
    <row r="239" spans="1:12" x14ac:dyDescent="0.25">
      <c r="A239" t="s">
        <v>213</v>
      </c>
      <c r="B239">
        <v>285</v>
      </c>
      <c r="C239" t="s">
        <v>27</v>
      </c>
      <c r="D239">
        <v>1</v>
      </c>
      <c r="E239" t="s">
        <v>44</v>
      </c>
      <c r="F239">
        <v>15</v>
      </c>
      <c r="G239" t="s">
        <v>372</v>
      </c>
      <c r="H239">
        <v>7</v>
      </c>
      <c r="I239" t="s">
        <v>70</v>
      </c>
      <c r="J239" t="s">
        <v>55</v>
      </c>
      <c r="K239" t="s">
        <v>81</v>
      </c>
      <c r="L239" t="s">
        <v>214</v>
      </c>
    </row>
    <row r="240" spans="1:12" x14ac:dyDescent="0.25">
      <c r="A240" t="s">
        <v>213</v>
      </c>
      <c r="B240">
        <v>286</v>
      </c>
      <c r="C240" t="s">
        <v>27</v>
      </c>
      <c r="D240">
        <v>2</v>
      </c>
      <c r="E240" t="s">
        <v>44</v>
      </c>
      <c r="F240">
        <v>15</v>
      </c>
      <c r="G240" t="s">
        <v>372</v>
      </c>
      <c r="H240">
        <v>11</v>
      </c>
      <c r="I240" t="s">
        <v>70</v>
      </c>
      <c r="J240" t="s">
        <v>55</v>
      </c>
      <c r="K240" t="s">
        <v>81</v>
      </c>
      <c r="L240" t="s">
        <v>214</v>
      </c>
    </row>
    <row r="241" spans="1:12" x14ac:dyDescent="0.25">
      <c r="A241" t="s">
        <v>213</v>
      </c>
      <c r="B241">
        <v>287</v>
      </c>
      <c r="C241" t="s">
        <v>27</v>
      </c>
      <c r="D241">
        <v>3</v>
      </c>
      <c r="E241" t="s">
        <v>44</v>
      </c>
      <c r="G241" t="s">
        <v>372</v>
      </c>
      <c r="I241" t="s">
        <v>70</v>
      </c>
      <c r="J241" t="s">
        <v>55</v>
      </c>
      <c r="K241" t="s">
        <v>81</v>
      </c>
      <c r="L241" t="s">
        <v>214</v>
      </c>
    </row>
    <row r="242" spans="1:12" x14ac:dyDescent="0.25">
      <c r="A242" t="s">
        <v>207</v>
      </c>
      <c r="B242">
        <v>3</v>
      </c>
      <c r="C242" t="s">
        <v>12</v>
      </c>
      <c r="D242">
        <v>1</v>
      </c>
      <c r="E242" t="s">
        <v>194</v>
      </c>
      <c r="F242">
        <v>15</v>
      </c>
      <c r="G242" t="s">
        <v>372</v>
      </c>
      <c r="H242">
        <v>10</v>
      </c>
      <c r="I242" t="s">
        <v>44</v>
      </c>
      <c r="J242" t="s">
        <v>196</v>
      </c>
      <c r="K242" t="s">
        <v>46</v>
      </c>
      <c r="L242" t="s">
        <v>208</v>
      </c>
    </row>
    <row r="243" spans="1:12" x14ac:dyDescent="0.25">
      <c r="A243" t="s">
        <v>207</v>
      </c>
      <c r="B243">
        <v>4</v>
      </c>
      <c r="C243" t="s">
        <v>12</v>
      </c>
      <c r="D243">
        <v>2</v>
      </c>
      <c r="E243" t="s">
        <v>194</v>
      </c>
      <c r="F243">
        <v>10</v>
      </c>
      <c r="G243" t="s">
        <v>372</v>
      </c>
      <c r="H243">
        <v>12</v>
      </c>
      <c r="I243" t="s">
        <v>44</v>
      </c>
      <c r="J243" t="s">
        <v>196</v>
      </c>
      <c r="K243" t="s">
        <v>46</v>
      </c>
      <c r="L243" t="s">
        <v>208</v>
      </c>
    </row>
    <row r="244" spans="1:12" x14ac:dyDescent="0.25">
      <c r="A244" t="s">
        <v>207</v>
      </c>
      <c r="B244">
        <v>5</v>
      </c>
      <c r="C244" t="s">
        <v>12</v>
      </c>
      <c r="D244">
        <v>3</v>
      </c>
      <c r="E244" t="s">
        <v>194</v>
      </c>
      <c r="G244" t="s">
        <v>372</v>
      </c>
      <c r="I244" t="s">
        <v>44</v>
      </c>
      <c r="J244" t="s">
        <v>196</v>
      </c>
      <c r="K244" t="s">
        <v>46</v>
      </c>
      <c r="L244" t="s">
        <v>208</v>
      </c>
    </row>
    <row r="245" spans="1:12" x14ac:dyDescent="0.25">
      <c r="A245" t="s">
        <v>207</v>
      </c>
      <c r="B245">
        <v>6</v>
      </c>
      <c r="C245" t="s">
        <v>18</v>
      </c>
      <c r="D245">
        <v>1</v>
      </c>
      <c r="E245" t="s">
        <v>194</v>
      </c>
      <c r="F245">
        <v>15</v>
      </c>
      <c r="G245" t="s">
        <v>372</v>
      </c>
      <c r="H245">
        <v>8</v>
      </c>
      <c r="I245" t="s">
        <v>44</v>
      </c>
      <c r="J245" t="s">
        <v>199</v>
      </c>
      <c r="K245" t="s">
        <v>49</v>
      </c>
      <c r="L245" t="s">
        <v>208</v>
      </c>
    </row>
    <row r="246" spans="1:12" x14ac:dyDescent="0.25">
      <c r="A246" t="s">
        <v>207</v>
      </c>
      <c r="B246">
        <v>7</v>
      </c>
      <c r="C246" t="s">
        <v>18</v>
      </c>
      <c r="D246">
        <v>2</v>
      </c>
      <c r="E246" t="s">
        <v>194</v>
      </c>
      <c r="F246">
        <v>15</v>
      </c>
      <c r="G246" t="s">
        <v>372</v>
      </c>
      <c r="H246">
        <v>8</v>
      </c>
      <c r="I246" t="s">
        <v>44</v>
      </c>
      <c r="J246" t="s">
        <v>199</v>
      </c>
      <c r="K246" t="s">
        <v>49</v>
      </c>
      <c r="L246" t="s">
        <v>208</v>
      </c>
    </row>
    <row r="247" spans="1:12" x14ac:dyDescent="0.25">
      <c r="A247" t="s">
        <v>207</v>
      </c>
      <c r="B247">
        <v>8</v>
      </c>
      <c r="C247" t="s">
        <v>18</v>
      </c>
      <c r="D247">
        <v>3</v>
      </c>
      <c r="E247" t="s">
        <v>194</v>
      </c>
      <c r="G247" t="s">
        <v>372</v>
      </c>
      <c r="I247" t="s">
        <v>44</v>
      </c>
      <c r="J247" t="s">
        <v>199</v>
      </c>
      <c r="K247" t="s">
        <v>49</v>
      </c>
      <c r="L247" t="s">
        <v>208</v>
      </c>
    </row>
    <row r="248" spans="1:12" x14ac:dyDescent="0.25">
      <c r="A248" t="s">
        <v>207</v>
      </c>
      <c r="B248">
        <v>9</v>
      </c>
      <c r="C248" t="s">
        <v>21</v>
      </c>
      <c r="D248">
        <v>1</v>
      </c>
      <c r="E248" t="s">
        <v>194</v>
      </c>
      <c r="F248">
        <v>15</v>
      </c>
      <c r="G248" t="s">
        <v>372</v>
      </c>
      <c r="H248">
        <v>6</v>
      </c>
      <c r="I248" t="s">
        <v>44</v>
      </c>
      <c r="J248" t="s">
        <v>201</v>
      </c>
      <c r="K248" t="s">
        <v>51</v>
      </c>
      <c r="L248" t="s">
        <v>208</v>
      </c>
    </row>
    <row r="249" spans="1:12" x14ac:dyDescent="0.25">
      <c r="A249" t="s">
        <v>207</v>
      </c>
      <c r="B249">
        <v>10</v>
      </c>
      <c r="C249" t="s">
        <v>21</v>
      </c>
      <c r="D249">
        <v>2</v>
      </c>
      <c r="E249" t="s">
        <v>194</v>
      </c>
      <c r="F249">
        <v>15</v>
      </c>
      <c r="G249" t="s">
        <v>372</v>
      </c>
      <c r="H249">
        <v>10</v>
      </c>
      <c r="I249" t="s">
        <v>44</v>
      </c>
      <c r="J249" t="s">
        <v>201</v>
      </c>
      <c r="K249" t="s">
        <v>51</v>
      </c>
      <c r="L249" t="s">
        <v>208</v>
      </c>
    </row>
    <row r="250" spans="1:12" x14ac:dyDescent="0.25">
      <c r="A250" t="s">
        <v>207</v>
      </c>
      <c r="B250">
        <v>11</v>
      </c>
      <c r="C250" t="s">
        <v>21</v>
      </c>
      <c r="D250">
        <v>3</v>
      </c>
      <c r="E250" t="s">
        <v>194</v>
      </c>
      <c r="G250" t="s">
        <v>372</v>
      </c>
      <c r="I250" t="s">
        <v>44</v>
      </c>
      <c r="J250" t="s">
        <v>201</v>
      </c>
      <c r="K250" t="s">
        <v>51</v>
      </c>
      <c r="L250" t="s">
        <v>208</v>
      </c>
    </row>
    <row r="251" spans="1:12" x14ac:dyDescent="0.25">
      <c r="A251" t="s">
        <v>207</v>
      </c>
      <c r="B251">
        <v>12</v>
      </c>
      <c r="C251" t="s">
        <v>24</v>
      </c>
      <c r="D251">
        <v>1</v>
      </c>
      <c r="E251" t="s">
        <v>194</v>
      </c>
      <c r="F251">
        <v>15</v>
      </c>
      <c r="G251" t="s">
        <v>372</v>
      </c>
      <c r="H251">
        <v>6</v>
      </c>
      <c r="I251" t="s">
        <v>44</v>
      </c>
      <c r="J251" t="s">
        <v>203</v>
      </c>
      <c r="K251" t="s">
        <v>53</v>
      </c>
      <c r="L251" t="s">
        <v>208</v>
      </c>
    </row>
    <row r="252" spans="1:12" x14ac:dyDescent="0.25">
      <c r="A252" t="s">
        <v>207</v>
      </c>
      <c r="B252">
        <v>13</v>
      </c>
      <c r="C252" t="s">
        <v>24</v>
      </c>
      <c r="D252">
        <v>2</v>
      </c>
      <c r="E252" t="s">
        <v>194</v>
      </c>
      <c r="F252">
        <v>15</v>
      </c>
      <c r="G252" t="s">
        <v>372</v>
      </c>
      <c r="H252">
        <v>8</v>
      </c>
      <c r="I252" t="s">
        <v>44</v>
      </c>
      <c r="J252" t="s">
        <v>203</v>
      </c>
      <c r="K252" t="s">
        <v>53</v>
      </c>
      <c r="L252" t="s">
        <v>208</v>
      </c>
    </row>
    <row r="253" spans="1:12" x14ac:dyDescent="0.25">
      <c r="A253" t="s">
        <v>207</v>
      </c>
      <c r="B253">
        <v>14</v>
      </c>
      <c r="C253" t="s">
        <v>24</v>
      </c>
      <c r="D253">
        <v>3</v>
      </c>
      <c r="E253" t="s">
        <v>194</v>
      </c>
      <c r="G253" t="s">
        <v>372</v>
      </c>
      <c r="I253" t="s">
        <v>44</v>
      </c>
      <c r="J253" t="s">
        <v>203</v>
      </c>
      <c r="K253" t="s">
        <v>53</v>
      </c>
      <c r="L253" t="s">
        <v>208</v>
      </c>
    </row>
    <row r="254" spans="1:12" x14ac:dyDescent="0.25">
      <c r="A254" t="s">
        <v>207</v>
      </c>
      <c r="B254">
        <v>15</v>
      </c>
      <c r="C254" t="s">
        <v>27</v>
      </c>
      <c r="D254">
        <v>1</v>
      </c>
      <c r="E254" t="s">
        <v>194</v>
      </c>
      <c r="F254">
        <v>15</v>
      </c>
      <c r="G254" t="s">
        <v>372</v>
      </c>
      <c r="H254">
        <v>3</v>
      </c>
      <c r="I254" t="s">
        <v>44</v>
      </c>
      <c r="J254" t="s">
        <v>205</v>
      </c>
      <c r="K254" t="s">
        <v>55</v>
      </c>
      <c r="L254" t="s">
        <v>208</v>
      </c>
    </row>
    <row r="255" spans="1:12" x14ac:dyDescent="0.25">
      <c r="A255" t="s">
        <v>207</v>
      </c>
      <c r="B255">
        <v>16</v>
      </c>
      <c r="C255" t="s">
        <v>27</v>
      </c>
      <c r="D255">
        <v>2</v>
      </c>
      <c r="E255" t="s">
        <v>194</v>
      </c>
      <c r="F255">
        <v>15</v>
      </c>
      <c r="G255" t="s">
        <v>372</v>
      </c>
      <c r="H255">
        <v>9</v>
      </c>
      <c r="I255" t="s">
        <v>44</v>
      </c>
      <c r="J255" t="s">
        <v>205</v>
      </c>
      <c r="K255" t="s">
        <v>55</v>
      </c>
      <c r="L255" t="s">
        <v>208</v>
      </c>
    </row>
    <row r="256" spans="1:12" x14ac:dyDescent="0.25">
      <c r="A256" t="s">
        <v>207</v>
      </c>
      <c r="B256">
        <v>17</v>
      </c>
      <c r="C256" t="s">
        <v>27</v>
      </c>
      <c r="D256">
        <v>3</v>
      </c>
      <c r="E256" t="s">
        <v>194</v>
      </c>
      <c r="G256" t="s">
        <v>372</v>
      </c>
      <c r="I256" t="s">
        <v>44</v>
      </c>
      <c r="J256" t="s">
        <v>205</v>
      </c>
      <c r="K256" t="s">
        <v>55</v>
      </c>
      <c r="L256" t="s">
        <v>208</v>
      </c>
    </row>
    <row r="257" spans="1:12" x14ac:dyDescent="0.25">
      <c r="A257" t="s">
        <v>207</v>
      </c>
      <c r="B257">
        <v>21</v>
      </c>
      <c r="C257" t="s">
        <v>12</v>
      </c>
      <c r="D257">
        <v>1</v>
      </c>
      <c r="E257" t="s">
        <v>195</v>
      </c>
      <c r="F257">
        <v>15</v>
      </c>
      <c r="G257" t="s">
        <v>372</v>
      </c>
      <c r="H257">
        <v>7</v>
      </c>
      <c r="I257" t="s">
        <v>31</v>
      </c>
      <c r="J257" t="s">
        <v>197</v>
      </c>
      <c r="K257" t="s">
        <v>33</v>
      </c>
      <c r="L257" t="s">
        <v>208</v>
      </c>
    </row>
    <row r="258" spans="1:12" x14ac:dyDescent="0.25">
      <c r="A258" t="s">
        <v>207</v>
      </c>
      <c r="B258">
        <v>22</v>
      </c>
      <c r="C258" t="s">
        <v>12</v>
      </c>
      <c r="D258">
        <v>2</v>
      </c>
      <c r="E258" t="s">
        <v>195</v>
      </c>
      <c r="F258">
        <v>15</v>
      </c>
      <c r="G258" t="s">
        <v>372</v>
      </c>
      <c r="H258">
        <v>13</v>
      </c>
      <c r="I258" t="s">
        <v>31</v>
      </c>
      <c r="J258" t="s">
        <v>197</v>
      </c>
      <c r="K258" t="s">
        <v>33</v>
      </c>
      <c r="L258" t="s">
        <v>208</v>
      </c>
    </row>
    <row r="259" spans="1:12" x14ac:dyDescent="0.25">
      <c r="A259" t="s">
        <v>207</v>
      </c>
      <c r="B259">
        <v>23</v>
      </c>
      <c r="C259" t="s">
        <v>12</v>
      </c>
      <c r="D259">
        <v>3</v>
      </c>
      <c r="E259" t="s">
        <v>195</v>
      </c>
      <c r="G259" t="s">
        <v>372</v>
      </c>
      <c r="I259" t="s">
        <v>31</v>
      </c>
      <c r="J259" t="s">
        <v>197</v>
      </c>
      <c r="K259" t="s">
        <v>33</v>
      </c>
      <c r="L259" t="s">
        <v>208</v>
      </c>
    </row>
    <row r="260" spans="1:12" x14ac:dyDescent="0.25">
      <c r="A260" t="s">
        <v>207</v>
      </c>
      <c r="B260">
        <v>24</v>
      </c>
      <c r="C260" t="s">
        <v>18</v>
      </c>
      <c r="D260">
        <v>1</v>
      </c>
      <c r="E260" t="s">
        <v>195</v>
      </c>
      <c r="F260">
        <v>15</v>
      </c>
      <c r="G260" t="s">
        <v>372</v>
      </c>
      <c r="H260">
        <v>7</v>
      </c>
      <c r="I260" t="s">
        <v>31</v>
      </c>
      <c r="J260" t="s">
        <v>200</v>
      </c>
      <c r="K260" t="s">
        <v>36</v>
      </c>
      <c r="L260" t="s">
        <v>208</v>
      </c>
    </row>
    <row r="261" spans="1:12" x14ac:dyDescent="0.25">
      <c r="A261" t="s">
        <v>207</v>
      </c>
      <c r="B261">
        <v>25</v>
      </c>
      <c r="C261" t="s">
        <v>18</v>
      </c>
      <c r="D261">
        <v>2</v>
      </c>
      <c r="E261" t="s">
        <v>195</v>
      </c>
      <c r="F261">
        <v>12</v>
      </c>
      <c r="G261" t="s">
        <v>372</v>
      </c>
      <c r="H261">
        <v>9</v>
      </c>
      <c r="I261" t="s">
        <v>31</v>
      </c>
      <c r="J261" t="s">
        <v>200</v>
      </c>
      <c r="K261" t="s">
        <v>36</v>
      </c>
      <c r="L261" t="s">
        <v>208</v>
      </c>
    </row>
    <row r="262" spans="1:12" x14ac:dyDescent="0.25">
      <c r="A262" t="s">
        <v>207</v>
      </c>
      <c r="B262">
        <v>26</v>
      </c>
      <c r="C262" t="s">
        <v>18</v>
      </c>
      <c r="D262">
        <v>3</v>
      </c>
      <c r="E262" t="s">
        <v>195</v>
      </c>
      <c r="G262" t="s">
        <v>372</v>
      </c>
      <c r="I262" t="s">
        <v>31</v>
      </c>
      <c r="J262" t="s">
        <v>200</v>
      </c>
      <c r="K262" t="s">
        <v>36</v>
      </c>
      <c r="L262" t="s">
        <v>208</v>
      </c>
    </row>
    <row r="263" spans="1:12" x14ac:dyDescent="0.25">
      <c r="A263" t="s">
        <v>207</v>
      </c>
      <c r="B263">
        <v>27</v>
      </c>
      <c r="C263" t="s">
        <v>21</v>
      </c>
      <c r="D263">
        <v>1</v>
      </c>
      <c r="E263" t="s">
        <v>195</v>
      </c>
      <c r="F263">
        <v>15</v>
      </c>
      <c r="G263" t="s">
        <v>372</v>
      </c>
      <c r="H263">
        <v>8</v>
      </c>
      <c r="I263" t="s">
        <v>31</v>
      </c>
      <c r="J263" t="s">
        <v>202</v>
      </c>
      <c r="K263" t="s">
        <v>38</v>
      </c>
      <c r="L263" t="s">
        <v>208</v>
      </c>
    </row>
    <row r="264" spans="1:12" x14ac:dyDescent="0.25">
      <c r="A264" t="s">
        <v>207</v>
      </c>
      <c r="B264">
        <v>28</v>
      </c>
      <c r="C264" t="s">
        <v>21</v>
      </c>
      <c r="D264">
        <v>2</v>
      </c>
      <c r="E264" t="s">
        <v>195</v>
      </c>
      <c r="F264">
        <v>15</v>
      </c>
      <c r="G264" t="s">
        <v>372</v>
      </c>
      <c r="H264">
        <v>7</v>
      </c>
      <c r="I264" t="s">
        <v>31</v>
      </c>
      <c r="J264" t="s">
        <v>202</v>
      </c>
      <c r="K264" t="s">
        <v>38</v>
      </c>
      <c r="L264" t="s">
        <v>208</v>
      </c>
    </row>
    <row r="265" spans="1:12" x14ac:dyDescent="0.25">
      <c r="A265" t="s">
        <v>207</v>
      </c>
      <c r="B265">
        <v>29</v>
      </c>
      <c r="C265" t="s">
        <v>21</v>
      </c>
      <c r="D265">
        <v>3</v>
      </c>
      <c r="E265" t="s">
        <v>195</v>
      </c>
      <c r="G265" t="s">
        <v>372</v>
      </c>
      <c r="I265" t="s">
        <v>31</v>
      </c>
      <c r="J265" t="s">
        <v>202</v>
      </c>
      <c r="K265" t="s">
        <v>38</v>
      </c>
      <c r="L265" t="s">
        <v>208</v>
      </c>
    </row>
    <row r="266" spans="1:12" x14ac:dyDescent="0.25">
      <c r="A266" t="s">
        <v>207</v>
      </c>
      <c r="B266">
        <v>30</v>
      </c>
      <c r="C266" t="s">
        <v>24</v>
      </c>
      <c r="D266">
        <v>1</v>
      </c>
      <c r="E266" t="s">
        <v>195</v>
      </c>
      <c r="F266">
        <v>15</v>
      </c>
      <c r="G266" t="s">
        <v>372</v>
      </c>
      <c r="H266">
        <v>5</v>
      </c>
      <c r="I266" t="s">
        <v>31</v>
      </c>
      <c r="J266" t="s">
        <v>204</v>
      </c>
      <c r="K266" t="s">
        <v>40</v>
      </c>
      <c r="L266" t="s">
        <v>208</v>
      </c>
    </row>
    <row r="267" spans="1:12" x14ac:dyDescent="0.25">
      <c r="A267" t="s">
        <v>207</v>
      </c>
      <c r="B267">
        <v>31</v>
      </c>
      <c r="C267" t="s">
        <v>24</v>
      </c>
      <c r="D267">
        <v>2</v>
      </c>
      <c r="E267" t="s">
        <v>195</v>
      </c>
      <c r="F267">
        <v>15</v>
      </c>
      <c r="G267" t="s">
        <v>372</v>
      </c>
      <c r="H267">
        <v>12</v>
      </c>
      <c r="I267" t="s">
        <v>31</v>
      </c>
      <c r="J267" t="s">
        <v>204</v>
      </c>
      <c r="K267" t="s">
        <v>40</v>
      </c>
      <c r="L267" t="s">
        <v>208</v>
      </c>
    </row>
    <row r="268" spans="1:12" x14ac:dyDescent="0.25">
      <c r="A268" t="s">
        <v>207</v>
      </c>
      <c r="B268">
        <v>32</v>
      </c>
      <c r="C268" t="s">
        <v>24</v>
      </c>
      <c r="D268">
        <v>3</v>
      </c>
      <c r="E268" t="s">
        <v>195</v>
      </c>
      <c r="G268" t="s">
        <v>372</v>
      </c>
      <c r="I268" t="s">
        <v>31</v>
      </c>
      <c r="J268" t="s">
        <v>204</v>
      </c>
      <c r="K268" t="s">
        <v>40</v>
      </c>
      <c r="L268" t="s">
        <v>208</v>
      </c>
    </row>
    <row r="269" spans="1:12" x14ac:dyDescent="0.25">
      <c r="A269" t="s">
        <v>207</v>
      </c>
      <c r="B269">
        <v>33</v>
      </c>
      <c r="C269" t="s">
        <v>27</v>
      </c>
      <c r="D269">
        <v>1</v>
      </c>
      <c r="E269" t="s">
        <v>195</v>
      </c>
      <c r="F269">
        <v>15</v>
      </c>
      <c r="G269" t="s">
        <v>372</v>
      </c>
      <c r="H269">
        <v>2</v>
      </c>
      <c r="I269" t="s">
        <v>31</v>
      </c>
      <c r="J269" t="s">
        <v>206</v>
      </c>
      <c r="K269" t="s">
        <v>42</v>
      </c>
      <c r="L269" t="s">
        <v>208</v>
      </c>
    </row>
    <row r="270" spans="1:12" x14ac:dyDescent="0.25">
      <c r="A270" t="s">
        <v>207</v>
      </c>
      <c r="B270">
        <v>34</v>
      </c>
      <c r="C270" t="s">
        <v>27</v>
      </c>
      <c r="D270">
        <v>2</v>
      </c>
      <c r="E270" t="s">
        <v>195</v>
      </c>
      <c r="F270">
        <v>15</v>
      </c>
      <c r="G270" t="s">
        <v>372</v>
      </c>
      <c r="H270">
        <v>4</v>
      </c>
      <c r="I270" t="s">
        <v>31</v>
      </c>
      <c r="J270" t="s">
        <v>206</v>
      </c>
      <c r="K270" t="s">
        <v>42</v>
      </c>
      <c r="L270" t="s">
        <v>208</v>
      </c>
    </row>
    <row r="271" spans="1:12" x14ac:dyDescent="0.25">
      <c r="A271" t="s">
        <v>207</v>
      </c>
      <c r="B271">
        <v>35</v>
      </c>
      <c r="C271" t="s">
        <v>27</v>
      </c>
      <c r="D271">
        <v>3</v>
      </c>
      <c r="E271" t="s">
        <v>195</v>
      </c>
      <c r="G271" t="s">
        <v>372</v>
      </c>
      <c r="I271" t="s">
        <v>31</v>
      </c>
      <c r="J271" t="s">
        <v>206</v>
      </c>
      <c r="K271" t="s">
        <v>42</v>
      </c>
      <c r="L271" t="s">
        <v>208</v>
      </c>
    </row>
    <row r="272" spans="1:12" x14ac:dyDescent="0.25">
      <c r="A272" t="s">
        <v>207</v>
      </c>
      <c r="B272">
        <v>39</v>
      </c>
      <c r="C272" t="s">
        <v>12</v>
      </c>
      <c r="D272">
        <v>1</v>
      </c>
      <c r="E272" t="s">
        <v>146</v>
      </c>
      <c r="F272">
        <v>15</v>
      </c>
      <c r="G272" t="s">
        <v>372</v>
      </c>
      <c r="H272">
        <v>8</v>
      </c>
      <c r="I272" t="s">
        <v>43</v>
      </c>
      <c r="J272" t="s">
        <v>148</v>
      </c>
      <c r="K272" t="s">
        <v>45</v>
      </c>
      <c r="L272" t="s">
        <v>208</v>
      </c>
    </row>
    <row r="273" spans="1:12" x14ac:dyDescent="0.25">
      <c r="A273" t="s">
        <v>207</v>
      </c>
      <c r="B273">
        <v>40</v>
      </c>
      <c r="C273" t="s">
        <v>12</v>
      </c>
      <c r="D273">
        <v>2</v>
      </c>
      <c r="E273" t="s">
        <v>146</v>
      </c>
      <c r="F273">
        <v>15</v>
      </c>
      <c r="G273" t="s">
        <v>372</v>
      </c>
      <c r="H273">
        <v>9</v>
      </c>
      <c r="I273" t="s">
        <v>43</v>
      </c>
      <c r="J273" t="s">
        <v>148</v>
      </c>
      <c r="K273" t="s">
        <v>45</v>
      </c>
      <c r="L273" t="s">
        <v>208</v>
      </c>
    </row>
    <row r="274" spans="1:12" x14ac:dyDescent="0.25">
      <c r="A274" t="s">
        <v>207</v>
      </c>
      <c r="B274">
        <v>41</v>
      </c>
      <c r="C274" t="s">
        <v>12</v>
      </c>
      <c r="D274">
        <v>3</v>
      </c>
      <c r="E274" t="s">
        <v>146</v>
      </c>
      <c r="G274" t="s">
        <v>372</v>
      </c>
      <c r="I274" t="s">
        <v>43</v>
      </c>
      <c r="J274" t="s">
        <v>148</v>
      </c>
      <c r="K274" t="s">
        <v>45</v>
      </c>
      <c r="L274" t="s">
        <v>208</v>
      </c>
    </row>
    <row r="275" spans="1:12" x14ac:dyDescent="0.25">
      <c r="A275" t="s">
        <v>207</v>
      </c>
      <c r="B275">
        <v>42</v>
      </c>
      <c r="C275" t="s">
        <v>18</v>
      </c>
      <c r="D275">
        <v>1</v>
      </c>
      <c r="E275" t="s">
        <v>146</v>
      </c>
      <c r="F275">
        <v>15</v>
      </c>
      <c r="G275" t="s">
        <v>372</v>
      </c>
      <c r="H275">
        <v>9</v>
      </c>
      <c r="I275" t="s">
        <v>43</v>
      </c>
      <c r="J275" t="s">
        <v>151</v>
      </c>
      <c r="K275" t="s">
        <v>48</v>
      </c>
      <c r="L275" t="s">
        <v>208</v>
      </c>
    </row>
    <row r="276" spans="1:12" x14ac:dyDescent="0.25">
      <c r="A276" t="s">
        <v>207</v>
      </c>
      <c r="B276">
        <v>43</v>
      </c>
      <c r="C276" t="s">
        <v>18</v>
      </c>
      <c r="D276">
        <v>2</v>
      </c>
      <c r="E276" t="s">
        <v>146</v>
      </c>
      <c r="F276">
        <v>15</v>
      </c>
      <c r="G276" t="s">
        <v>372</v>
      </c>
      <c r="H276">
        <v>7</v>
      </c>
      <c r="I276" t="s">
        <v>43</v>
      </c>
      <c r="J276" t="s">
        <v>151</v>
      </c>
      <c r="K276" t="s">
        <v>48</v>
      </c>
      <c r="L276" t="s">
        <v>208</v>
      </c>
    </row>
    <row r="277" spans="1:12" x14ac:dyDescent="0.25">
      <c r="A277" t="s">
        <v>207</v>
      </c>
      <c r="B277">
        <v>44</v>
      </c>
      <c r="C277" t="s">
        <v>18</v>
      </c>
      <c r="D277">
        <v>3</v>
      </c>
      <c r="E277" t="s">
        <v>146</v>
      </c>
      <c r="G277" t="s">
        <v>372</v>
      </c>
      <c r="I277" t="s">
        <v>43</v>
      </c>
      <c r="J277" t="s">
        <v>151</v>
      </c>
      <c r="K277" t="s">
        <v>48</v>
      </c>
      <c r="L277" t="s">
        <v>208</v>
      </c>
    </row>
    <row r="278" spans="1:12" x14ac:dyDescent="0.25">
      <c r="A278" t="s">
        <v>207</v>
      </c>
      <c r="B278">
        <v>45</v>
      </c>
      <c r="C278" t="s">
        <v>21</v>
      </c>
      <c r="D278">
        <v>1</v>
      </c>
      <c r="E278" t="s">
        <v>146</v>
      </c>
      <c r="F278">
        <v>15</v>
      </c>
      <c r="G278" t="s">
        <v>372</v>
      </c>
      <c r="H278">
        <v>9</v>
      </c>
      <c r="I278" t="s">
        <v>43</v>
      </c>
      <c r="J278" t="s">
        <v>153</v>
      </c>
      <c r="K278" t="s">
        <v>50</v>
      </c>
      <c r="L278" t="s">
        <v>208</v>
      </c>
    </row>
    <row r="279" spans="1:12" x14ac:dyDescent="0.25">
      <c r="A279" t="s">
        <v>207</v>
      </c>
      <c r="B279">
        <v>46</v>
      </c>
      <c r="C279" t="s">
        <v>21</v>
      </c>
      <c r="D279">
        <v>2</v>
      </c>
      <c r="E279" t="s">
        <v>146</v>
      </c>
      <c r="F279">
        <v>15</v>
      </c>
      <c r="G279" t="s">
        <v>372</v>
      </c>
      <c r="H279">
        <v>6</v>
      </c>
      <c r="I279" t="s">
        <v>43</v>
      </c>
      <c r="J279" t="s">
        <v>153</v>
      </c>
      <c r="K279" t="s">
        <v>50</v>
      </c>
      <c r="L279" t="s">
        <v>208</v>
      </c>
    </row>
    <row r="280" spans="1:12" x14ac:dyDescent="0.25">
      <c r="A280" t="s">
        <v>207</v>
      </c>
      <c r="B280">
        <v>47</v>
      </c>
      <c r="C280" t="s">
        <v>21</v>
      </c>
      <c r="D280">
        <v>3</v>
      </c>
      <c r="E280" t="s">
        <v>146</v>
      </c>
      <c r="G280" t="s">
        <v>372</v>
      </c>
      <c r="I280" t="s">
        <v>43</v>
      </c>
      <c r="J280" t="s">
        <v>153</v>
      </c>
      <c r="K280" t="s">
        <v>50</v>
      </c>
      <c r="L280" t="s">
        <v>208</v>
      </c>
    </row>
    <row r="281" spans="1:12" x14ac:dyDescent="0.25">
      <c r="A281" t="s">
        <v>207</v>
      </c>
      <c r="B281">
        <v>48</v>
      </c>
      <c r="C281" t="s">
        <v>24</v>
      </c>
      <c r="D281">
        <v>1</v>
      </c>
      <c r="E281" t="s">
        <v>146</v>
      </c>
      <c r="F281">
        <v>15</v>
      </c>
      <c r="G281" t="s">
        <v>372</v>
      </c>
      <c r="H281">
        <v>8</v>
      </c>
      <c r="I281" t="s">
        <v>43</v>
      </c>
      <c r="J281" t="s">
        <v>209</v>
      </c>
      <c r="K281" t="s">
        <v>52</v>
      </c>
      <c r="L281" t="s">
        <v>208</v>
      </c>
    </row>
    <row r="282" spans="1:12" x14ac:dyDescent="0.25">
      <c r="A282" t="s">
        <v>207</v>
      </c>
      <c r="B282">
        <v>49</v>
      </c>
      <c r="C282" t="s">
        <v>24</v>
      </c>
      <c r="D282">
        <v>2</v>
      </c>
      <c r="E282" t="s">
        <v>146</v>
      </c>
      <c r="F282">
        <v>15</v>
      </c>
      <c r="G282" t="s">
        <v>372</v>
      </c>
      <c r="H282">
        <v>6</v>
      </c>
      <c r="I282" t="s">
        <v>43</v>
      </c>
      <c r="J282" t="s">
        <v>209</v>
      </c>
      <c r="K282" t="s">
        <v>52</v>
      </c>
      <c r="L282" t="s">
        <v>208</v>
      </c>
    </row>
    <row r="283" spans="1:12" x14ac:dyDescent="0.25">
      <c r="A283" t="s">
        <v>207</v>
      </c>
      <c r="B283">
        <v>50</v>
      </c>
      <c r="C283" t="s">
        <v>24</v>
      </c>
      <c r="D283">
        <v>3</v>
      </c>
      <c r="E283" t="s">
        <v>146</v>
      </c>
      <c r="G283" t="s">
        <v>372</v>
      </c>
      <c r="I283" t="s">
        <v>43</v>
      </c>
      <c r="J283" t="s">
        <v>209</v>
      </c>
      <c r="K283" t="s">
        <v>52</v>
      </c>
      <c r="L283" t="s">
        <v>208</v>
      </c>
    </row>
    <row r="284" spans="1:12" x14ac:dyDescent="0.25">
      <c r="A284" t="s">
        <v>207</v>
      </c>
      <c r="B284">
        <v>51</v>
      </c>
      <c r="C284" t="s">
        <v>27</v>
      </c>
      <c r="D284">
        <v>1</v>
      </c>
      <c r="E284" t="s">
        <v>146</v>
      </c>
      <c r="F284">
        <v>15</v>
      </c>
      <c r="G284" t="s">
        <v>372</v>
      </c>
      <c r="H284">
        <v>1</v>
      </c>
      <c r="I284" t="s">
        <v>43</v>
      </c>
      <c r="J284" t="s">
        <v>210</v>
      </c>
      <c r="K284" t="s">
        <v>54</v>
      </c>
      <c r="L284" t="s">
        <v>208</v>
      </c>
    </row>
    <row r="285" spans="1:12" x14ac:dyDescent="0.25">
      <c r="A285" t="s">
        <v>207</v>
      </c>
      <c r="B285">
        <v>52</v>
      </c>
      <c r="C285" t="s">
        <v>27</v>
      </c>
      <c r="D285">
        <v>2</v>
      </c>
      <c r="E285" t="s">
        <v>146</v>
      </c>
      <c r="F285">
        <v>15</v>
      </c>
      <c r="G285" t="s">
        <v>372</v>
      </c>
      <c r="H285">
        <v>4</v>
      </c>
      <c r="I285" t="s">
        <v>43</v>
      </c>
      <c r="J285" t="s">
        <v>210</v>
      </c>
      <c r="K285" t="s">
        <v>54</v>
      </c>
      <c r="L285" t="s">
        <v>208</v>
      </c>
    </row>
    <row r="286" spans="1:12" x14ac:dyDescent="0.25">
      <c r="A286" t="s">
        <v>207</v>
      </c>
      <c r="B286">
        <v>53</v>
      </c>
      <c r="C286" t="s">
        <v>27</v>
      </c>
      <c r="D286">
        <v>3</v>
      </c>
      <c r="E286" t="s">
        <v>146</v>
      </c>
      <c r="G286" t="s">
        <v>372</v>
      </c>
      <c r="I286" t="s">
        <v>43</v>
      </c>
      <c r="J286" t="s">
        <v>210</v>
      </c>
      <c r="K286" t="s">
        <v>54</v>
      </c>
      <c r="L286" t="s">
        <v>208</v>
      </c>
    </row>
    <row r="287" spans="1:12" x14ac:dyDescent="0.25">
      <c r="A287" t="s">
        <v>207</v>
      </c>
      <c r="B287">
        <v>57</v>
      </c>
      <c r="C287" t="s">
        <v>12</v>
      </c>
      <c r="D287">
        <v>1</v>
      </c>
      <c r="E287" t="s">
        <v>147</v>
      </c>
      <c r="F287">
        <v>13</v>
      </c>
      <c r="G287" t="s">
        <v>372</v>
      </c>
      <c r="H287">
        <v>15</v>
      </c>
      <c r="I287" t="s">
        <v>181</v>
      </c>
      <c r="J287" t="s">
        <v>149</v>
      </c>
      <c r="K287" t="s">
        <v>183</v>
      </c>
      <c r="L287" t="s">
        <v>208</v>
      </c>
    </row>
    <row r="288" spans="1:12" x14ac:dyDescent="0.25">
      <c r="A288" t="s">
        <v>207</v>
      </c>
      <c r="B288">
        <v>58</v>
      </c>
      <c r="C288" t="s">
        <v>12</v>
      </c>
      <c r="D288">
        <v>2</v>
      </c>
      <c r="E288" t="s">
        <v>147</v>
      </c>
      <c r="F288">
        <v>13</v>
      </c>
      <c r="G288" t="s">
        <v>372</v>
      </c>
      <c r="H288">
        <v>15</v>
      </c>
      <c r="I288" t="s">
        <v>181</v>
      </c>
      <c r="J288" t="s">
        <v>149</v>
      </c>
      <c r="K288" t="s">
        <v>183</v>
      </c>
      <c r="L288" t="s">
        <v>208</v>
      </c>
    </row>
    <row r="289" spans="1:12" x14ac:dyDescent="0.25">
      <c r="A289" t="s">
        <v>207</v>
      </c>
      <c r="B289">
        <v>59</v>
      </c>
      <c r="C289" t="s">
        <v>12</v>
      </c>
      <c r="D289">
        <v>3</v>
      </c>
      <c r="E289" t="s">
        <v>147</v>
      </c>
      <c r="G289" t="s">
        <v>372</v>
      </c>
      <c r="I289" t="s">
        <v>181</v>
      </c>
      <c r="J289" t="s">
        <v>149</v>
      </c>
      <c r="K289" t="s">
        <v>183</v>
      </c>
      <c r="L289" t="s">
        <v>208</v>
      </c>
    </row>
    <row r="290" spans="1:12" x14ac:dyDescent="0.25">
      <c r="A290" t="s">
        <v>207</v>
      </c>
      <c r="B290">
        <v>60</v>
      </c>
      <c r="C290" t="s">
        <v>18</v>
      </c>
      <c r="D290">
        <v>1</v>
      </c>
      <c r="E290" t="s">
        <v>147</v>
      </c>
      <c r="F290">
        <v>15</v>
      </c>
      <c r="G290" t="s">
        <v>372</v>
      </c>
      <c r="H290">
        <v>9</v>
      </c>
      <c r="I290" t="s">
        <v>181</v>
      </c>
      <c r="J290" t="s">
        <v>152</v>
      </c>
      <c r="K290" t="s">
        <v>186</v>
      </c>
      <c r="L290" t="s">
        <v>208</v>
      </c>
    </row>
    <row r="291" spans="1:12" x14ac:dyDescent="0.25">
      <c r="A291" t="s">
        <v>207</v>
      </c>
      <c r="B291">
        <v>61</v>
      </c>
      <c r="C291" t="s">
        <v>18</v>
      </c>
      <c r="D291">
        <v>2</v>
      </c>
      <c r="E291" t="s">
        <v>147</v>
      </c>
      <c r="F291">
        <v>15</v>
      </c>
      <c r="G291" t="s">
        <v>372</v>
      </c>
      <c r="H291">
        <v>10</v>
      </c>
      <c r="I291" t="s">
        <v>181</v>
      </c>
      <c r="J291" t="s">
        <v>152</v>
      </c>
      <c r="K291" t="s">
        <v>186</v>
      </c>
      <c r="L291" t="s">
        <v>208</v>
      </c>
    </row>
    <row r="292" spans="1:12" x14ac:dyDescent="0.25">
      <c r="A292" t="s">
        <v>207</v>
      </c>
      <c r="B292">
        <v>62</v>
      </c>
      <c r="C292" t="s">
        <v>18</v>
      </c>
      <c r="D292">
        <v>3</v>
      </c>
      <c r="E292" t="s">
        <v>147</v>
      </c>
      <c r="G292" t="s">
        <v>372</v>
      </c>
      <c r="I292" t="s">
        <v>181</v>
      </c>
      <c r="J292" t="s">
        <v>152</v>
      </c>
      <c r="K292" t="s">
        <v>186</v>
      </c>
      <c r="L292" t="s">
        <v>208</v>
      </c>
    </row>
    <row r="293" spans="1:12" x14ac:dyDescent="0.25">
      <c r="A293" t="s">
        <v>207</v>
      </c>
      <c r="B293">
        <v>63</v>
      </c>
      <c r="C293" t="s">
        <v>21</v>
      </c>
      <c r="D293">
        <v>1</v>
      </c>
      <c r="E293" t="s">
        <v>147</v>
      </c>
      <c r="F293">
        <v>13</v>
      </c>
      <c r="G293" t="s">
        <v>372</v>
      </c>
      <c r="H293">
        <v>15</v>
      </c>
      <c r="I293" t="s">
        <v>181</v>
      </c>
      <c r="J293" t="s">
        <v>154</v>
      </c>
      <c r="K293" t="s">
        <v>188</v>
      </c>
      <c r="L293" t="s">
        <v>208</v>
      </c>
    </row>
    <row r="294" spans="1:12" x14ac:dyDescent="0.25">
      <c r="A294" t="s">
        <v>207</v>
      </c>
      <c r="B294">
        <v>64</v>
      </c>
      <c r="C294" t="s">
        <v>21</v>
      </c>
      <c r="D294">
        <v>2</v>
      </c>
      <c r="E294" t="s">
        <v>147</v>
      </c>
      <c r="F294">
        <v>15</v>
      </c>
      <c r="G294" t="s">
        <v>372</v>
      </c>
      <c r="H294">
        <v>12</v>
      </c>
      <c r="I294" t="s">
        <v>181</v>
      </c>
      <c r="J294" t="s">
        <v>154</v>
      </c>
      <c r="K294" t="s">
        <v>188</v>
      </c>
      <c r="L294" t="s">
        <v>208</v>
      </c>
    </row>
    <row r="295" spans="1:12" x14ac:dyDescent="0.25">
      <c r="A295" t="s">
        <v>207</v>
      </c>
      <c r="B295">
        <v>65</v>
      </c>
      <c r="C295" t="s">
        <v>21</v>
      </c>
      <c r="D295">
        <v>3</v>
      </c>
      <c r="E295" t="s">
        <v>147</v>
      </c>
      <c r="F295">
        <v>15</v>
      </c>
      <c r="G295" t="s">
        <v>372</v>
      </c>
      <c r="H295">
        <v>17</v>
      </c>
      <c r="I295" t="s">
        <v>181</v>
      </c>
      <c r="J295" t="s">
        <v>154</v>
      </c>
      <c r="K295" t="s">
        <v>188</v>
      </c>
      <c r="L295" t="s">
        <v>208</v>
      </c>
    </row>
    <row r="296" spans="1:12" x14ac:dyDescent="0.25">
      <c r="A296" t="s">
        <v>207</v>
      </c>
      <c r="B296">
        <v>66</v>
      </c>
      <c r="C296" t="s">
        <v>24</v>
      </c>
      <c r="D296">
        <v>1</v>
      </c>
      <c r="E296" t="s">
        <v>147</v>
      </c>
      <c r="F296">
        <v>15</v>
      </c>
      <c r="G296" t="s">
        <v>372</v>
      </c>
      <c r="H296">
        <v>11</v>
      </c>
      <c r="I296" t="s">
        <v>181</v>
      </c>
      <c r="J296" t="s">
        <v>211</v>
      </c>
      <c r="K296" t="s">
        <v>190</v>
      </c>
      <c r="L296" t="s">
        <v>208</v>
      </c>
    </row>
    <row r="297" spans="1:12" x14ac:dyDescent="0.25">
      <c r="A297" t="s">
        <v>207</v>
      </c>
      <c r="B297">
        <v>67</v>
      </c>
      <c r="C297" t="s">
        <v>24</v>
      </c>
      <c r="D297">
        <v>2</v>
      </c>
      <c r="E297" t="s">
        <v>147</v>
      </c>
      <c r="F297">
        <v>13</v>
      </c>
      <c r="G297" t="s">
        <v>372</v>
      </c>
      <c r="H297">
        <v>15</v>
      </c>
      <c r="I297" t="s">
        <v>181</v>
      </c>
      <c r="J297" t="s">
        <v>211</v>
      </c>
      <c r="K297" t="s">
        <v>190</v>
      </c>
      <c r="L297" t="s">
        <v>208</v>
      </c>
    </row>
    <row r="298" spans="1:12" x14ac:dyDescent="0.25">
      <c r="A298" t="s">
        <v>207</v>
      </c>
      <c r="B298">
        <v>68</v>
      </c>
      <c r="C298" t="s">
        <v>24</v>
      </c>
      <c r="D298">
        <v>3</v>
      </c>
      <c r="E298" t="s">
        <v>147</v>
      </c>
      <c r="F298">
        <v>21</v>
      </c>
      <c r="G298" t="s">
        <v>372</v>
      </c>
      <c r="H298">
        <v>19</v>
      </c>
      <c r="I298" t="s">
        <v>181</v>
      </c>
      <c r="J298" t="s">
        <v>211</v>
      </c>
      <c r="K298" t="s">
        <v>190</v>
      </c>
      <c r="L298" t="s">
        <v>208</v>
      </c>
    </row>
    <row r="299" spans="1:12" x14ac:dyDescent="0.25">
      <c r="A299" t="s">
        <v>207</v>
      </c>
      <c r="B299">
        <v>69</v>
      </c>
      <c r="C299" t="s">
        <v>27</v>
      </c>
      <c r="D299">
        <v>1</v>
      </c>
      <c r="E299" t="s">
        <v>147</v>
      </c>
      <c r="F299">
        <v>15</v>
      </c>
      <c r="G299" t="s">
        <v>372</v>
      </c>
      <c r="H299">
        <v>11</v>
      </c>
      <c r="I299" t="s">
        <v>181</v>
      </c>
      <c r="J299" t="s">
        <v>212</v>
      </c>
      <c r="K299" t="s">
        <v>192</v>
      </c>
      <c r="L299" t="s">
        <v>208</v>
      </c>
    </row>
    <row r="300" spans="1:12" x14ac:dyDescent="0.25">
      <c r="A300" t="s">
        <v>207</v>
      </c>
      <c r="B300">
        <v>70</v>
      </c>
      <c r="C300" t="s">
        <v>27</v>
      </c>
      <c r="D300">
        <v>2</v>
      </c>
      <c r="E300" t="s">
        <v>147</v>
      </c>
      <c r="F300">
        <v>15</v>
      </c>
      <c r="G300" t="s">
        <v>372</v>
      </c>
      <c r="H300">
        <v>12</v>
      </c>
      <c r="I300" t="s">
        <v>181</v>
      </c>
      <c r="J300" t="s">
        <v>212</v>
      </c>
      <c r="K300" t="s">
        <v>192</v>
      </c>
      <c r="L300" t="s">
        <v>208</v>
      </c>
    </row>
    <row r="301" spans="1:12" x14ac:dyDescent="0.25">
      <c r="A301" t="s">
        <v>207</v>
      </c>
      <c r="B301">
        <v>71</v>
      </c>
      <c r="C301" t="s">
        <v>27</v>
      </c>
      <c r="D301">
        <v>3</v>
      </c>
      <c r="E301" t="s">
        <v>147</v>
      </c>
      <c r="G301" t="s">
        <v>372</v>
      </c>
      <c r="I301" t="s">
        <v>181</v>
      </c>
      <c r="J301" t="s">
        <v>212</v>
      </c>
      <c r="K301" t="s">
        <v>192</v>
      </c>
      <c r="L301" t="s">
        <v>208</v>
      </c>
    </row>
    <row r="302" spans="1:12" x14ac:dyDescent="0.25">
      <c r="A302" t="s">
        <v>207</v>
      </c>
      <c r="B302">
        <v>75</v>
      </c>
      <c r="C302" t="s">
        <v>12</v>
      </c>
      <c r="D302">
        <v>1</v>
      </c>
      <c r="E302" t="s">
        <v>155</v>
      </c>
      <c r="F302">
        <v>15</v>
      </c>
      <c r="G302" t="s">
        <v>372</v>
      </c>
      <c r="H302">
        <v>17</v>
      </c>
      <c r="I302" t="s">
        <v>30</v>
      </c>
      <c r="J302" t="s">
        <v>157</v>
      </c>
      <c r="K302" t="s">
        <v>32</v>
      </c>
      <c r="L302" t="s">
        <v>208</v>
      </c>
    </row>
    <row r="303" spans="1:12" x14ac:dyDescent="0.25">
      <c r="A303" t="s">
        <v>207</v>
      </c>
      <c r="B303">
        <v>76</v>
      </c>
      <c r="C303" t="s">
        <v>12</v>
      </c>
      <c r="D303">
        <v>2</v>
      </c>
      <c r="E303" t="s">
        <v>155</v>
      </c>
      <c r="F303">
        <v>15</v>
      </c>
      <c r="G303" t="s">
        <v>372</v>
      </c>
      <c r="H303">
        <v>12</v>
      </c>
      <c r="I303" t="s">
        <v>30</v>
      </c>
      <c r="J303" t="s">
        <v>157</v>
      </c>
      <c r="K303" t="s">
        <v>32</v>
      </c>
      <c r="L303" t="s">
        <v>208</v>
      </c>
    </row>
    <row r="304" spans="1:12" x14ac:dyDescent="0.25">
      <c r="A304" t="s">
        <v>207</v>
      </c>
      <c r="B304">
        <v>77</v>
      </c>
      <c r="C304" t="s">
        <v>12</v>
      </c>
      <c r="D304">
        <v>3</v>
      </c>
      <c r="E304" t="s">
        <v>155</v>
      </c>
      <c r="F304">
        <v>19</v>
      </c>
      <c r="G304" t="s">
        <v>372</v>
      </c>
      <c r="H304">
        <v>21</v>
      </c>
      <c r="I304" t="s">
        <v>30</v>
      </c>
      <c r="J304" t="s">
        <v>157</v>
      </c>
      <c r="K304" t="s">
        <v>32</v>
      </c>
      <c r="L304" t="s">
        <v>208</v>
      </c>
    </row>
    <row r="305" spans="1:12" x14ac:dyDescent="0.25">
      <c r="A305" t="s">
        <v>207</v>
      </c>
      <c r="B305">
        <v>78</v>
      </c>
      <c r="C305" t="s">
        <v>18</v>
      </c>
      <c r="D305">
        <v>1</v>
      </c>
      <c r="E305" t="s">
        <v>155</v>
      </c>
      <c r="F305">
        <v>15</v>
      </c>
      <c r="G305" t="s">
        <v>372</v>
      </c>
      <c r="H305">
        <v>6</v>
      </c>
      <c r="I305" t="s">
        <v>30</v>
      </c>
      <c r="J305" t="s">
        <v>160</v>
      </c>
      <c r="K305" t="s">
        <v>35</v>
      </c>
      <c r="L305" t="s">
        <v>208</v>
      </c>
    </row>
    <row r="306" spans="1:12" x14ac:dyDescent="0.25">
      <c r="A306" t="s">
        <v>207</v>
      </c>
      <c r="B306">
        <v>79</v>
      </c>
      <c r="C306" t="s">
        <v>18</v>
      </c>
      <c r="D306">
        <v>2</v>
      </c>
      <c r="E306" t="s">
        <v>155</v>
      </c>
      <c r="F306">
        <v>21</v>
      </c>
      <c r="G306" t="s">
        <v>372</v>
      </c>
      <c r="H306">
        <v>20</v>
      </c>
      <c r="I306" t="s">
        <v>30</v>
      </c>
      <c r="J306" t="s">
        <v>160</v>
      </c>
      <c r="K306" t="s">
        <v>35</v>
      </c>
      <c r="L306" t="s">
        <v>208</v>
      </c>
    </row>
    <row r="307" spans="1:12" x14ac:dyDescent="0.25">
      <c r="A307" t="s">
        <v>207</v>
      </c>
      <c r="B307">
        <v>80</v>
      </c>
      <c r="C307" t="s">
        <v>18</v>
      </c>
      <c r="D307">
        <v>3</v>
      </c>
      <c r="E307" t="s">
        <v>155</v>
      </c>
      <c r="G307" t="s">
        <v>372</v>
      </c>
      <c r="I307" t="s">
        <v>30</v>
      </c>
      <c r="J307" t="s">
        <v>160</v>
      </c>
      <c r="K307" t="s">
        <v>35</v>
      </c>
      <c r="L307" t="s">
        <v>208</v>
      </c>
    </row>
    <row r="308" spans="1:12" x14ac:dyDescent="0.25">
      <c r="A308" t="s">
        <v>207</v>
      </c>
      <c r="B308">
        <v>81</v>
      </c>
      <c r="C308" t="s">
        <v>21</v>
      </c>
      <c r="D308">
        <v>1</v>
      </c>
      <c r="E308" t="s">
        <v>155</v>
      </c>
      <c r="F308">
        <v>21</v>
      </c>
      <c r="G308" t="s">
        <v>372</v>
      </c>
      <c r="H308">
        <v>20</v>
      </c>
      <c r="I308" t="s">
        <v>30</v>
      </c>
      <c r="J308" t="s">
        <v>162</v>
      </c>
      <c r="K308" t="s">
        <v>37</v>
      </c>
      <c r="L308" t="s">
        <v>208</v>
      </c>
    </row>
    <row r="309" spans="1:12" x14ac:dyDescent="0.25">
      <c r="A309" t="s">
        <v>207</v>
      </c>
      <c r="B309">
        <v>82</v>
      </c>
      <c r="C309" t="s">
        <v>21</v>
      </c>
      <c r="D309">
        <v>2</v>
      </c>
      <c r="E309" t="s">
        <v>155</v>
      </c>
      <c r="F309">
        <v>12</v>
      </c>
      <c r="G309" t="s">
        <v>372</v>
      </c>
      <c r="H309">
        <v>15</v>
      </c>
      <c r="I309" t="s">
        <v>30</v>
      </c>
      <c r="J309" t="s">
        <v>162</v>
      </c>
      <c r="K309" t="s">
        <v>37</v>
      </c>
      <c r="L309" t="s">
        <v>208</v>
      </c>
    </row>
    <row r="310" spans="1:12" x14ac:dyDescent="0.25">
      <c r="A310" t="s">
        <v>207</v>
      </c>
      <c r="B310">
        <v>83</v>
      </c>
      <c r="C310" t="s">
        <v>21</v>
      </c>
      <c r="D310">
        <v>3</v>
      </c>
      <c r="E310" t="s">
        <v>155</v>
      </c>
      <c r="G310" t="s">
        <v>372</v>
      </c>
      <c r="I310" t="s">
        <v>30</v>
      </c>
      <c r="J310" t="s">
        <v>162</v>
      </c>
      <c r="K310" t="s">
        <v>37</v>
      </c>
      <c r="L310" t="s">
        <v>208</v>
      </c>
    </row>
    <row r="311" spans="1:12" x14ac:dyDescent="0.25">
      <c r="A311" t="s">
        <v>207</v>
      </c>
      <c r="B311">
        <v>84</v>
      </c>
      <c r="C311" t="s">
        <v>24</v>
      </c>
      <c r="D311">
        <v>1</v>
      </c>
      <c r="E311" t="s">
        <v>155</v>
      </c>
      <c r="F311">
        <v>15</v>
      </c>
      <c r="G311" t="s">
        <v>372</v>
      </c>
      <c r="H311">
        <v>12</v>
      </c>
      <c r="I311" t="s">
        <v>30</v>
      </c>
      <c r="J311" t="s">
        <v>164</v>
      </c>
      <c r="K311" t="s">
        <v>39</v>
      </c>
      <c r="L311" t="s">
        <v>208</v>
      </c>
    </row>
    <row r="312" spans="1:12" x14ac:dyDescent="0.25">
      <c r="A312" t="s">
        <v>207</v>
      </c>
      <c r="B312">
        <v>85</v>
      </c>
      <c r="C312" t="s">
        <v>24</v>
      </c>
      <c r="D312">
        <v>2</v>
      </c>
      <c r="E312" t="s">
        <v>155</v>
      </c>
      <c r="F312">
        <v>13</v>
      </c>
      <c r="G312" t="s">
        <v>372</v>
      </c>
      <c r="H312">
        <v>15</v>
      </c>
      <c r="I312" t="s">
        <v>30</v>
      </c>
      <c r="J312" t="s">
        <v>164</v>
      </c>
      <c r="K312" t="s">
        <v>39</v>
      </c>
      <c r="L312" t="s">
        <v>208</v>
      </c>
    </row>
    <row r="313" spans="1:12" x14ac:dyDescent="0.25">
      <c r="A313" t="s">
        <v>207</v>
      </c>
      <c r="B313">
        <v>86</v>
      </c>
      <c r="C313" t="s">
        <v>24</v>
      </c>
      <c r="D313">
        <v>3</v>
      </c>
      <c r="E313" t="s">
        <v>155</v>
      </c>
      <c r="F313">
        <v>15</v>
      </c>
      <c r="G313" t="s">
        <v>372</v>
      </c>
      <c r="H313">
        <v>13</v>
      </c>
      <c r="I313" t="s">
        <v>30</v>
      </c>
      <c r="J313" t="s">
        <v>164</v>
      </c>
      <c r="K313" t="s">
        <v>39</v>
      </c>
      <c r="L313" t="s">
        <v>208</v>
      </c>
    </row>
    <row r="314" spans="1:12" x14ac:dyDescent="0.25">
      <c r="A314" t="s">
        <v>207</v>
      </c>
      <c r="B314">
        <v>87</v>
      </c>
      <c r="C314" t="s">
        <v>27</v>
      </c>
      <c r="D314">
        <v>1</v>
      </c>
      <c r="E314" t="s">
        <v>155</v>
      </c>
      <c r="F314">
        <v>15</v>
      </c>
      <c r="G314" t="s">
        <v>372</v>
      </c>
      <c r="H314">
        <v>11</v>
      </c>
      <c r="I314" t="s">
        <v>30</v>
      </c>
      <c r="J314" t="s">
        <v>166</v>
      </c>
      <c r="K314" t="s">
        <v>41</v>
      </c>
      <c r="L314" t="s">
        <v>208</v>
      </c>
    </row>
    <row r="315" spans="1:12" x14ac:dyDescent="0.25">
      <c r="A315" t="s">
        <v>207</v>
      </c>
      <c r="B315">
        <v>88</v>
      </c>
      <c r="C315" t="s">
        <v>27</v>
      </c>
      <c r="D315">
        <v>2</v>
      </c>
      <c r="E315" t="s">
        <v>155</v>
      </c>
      <c r="F315">
        <v>15</v>
      </c>
      <c r="G315" t="s">
        <v>372</v>
      </c>
      <c r="H315">
        <v>10</v>
      </c>
      <c r="I315" t="s">
        <v>30</v>
      </c>
      <c r="J315" t="s">
        <v>166</v>
      </c>
      <c r="K315" t="s">
        <v>41</v>
      </c>
      <c r="L315" t="s">
        <v>208</v>
      </c>
    </row>
    <row r="316" spans="1:12" x14ac:dyDescent="0.25">
      <c r="A316" t="s">
        <v>207</v>
      </c>
      <c r="B316">
        <v>89</v>
      </c>
      <c r="C316" t="s">
        <v>27</v>
      </c>
      <c r="D316">
        <v>3</v>
      </c>
      <c r="E316" t="s">
        <v>155</v>
      </c>
      <c r="G316" t="s">
        <v>372</v>
      </c>
      <c r="I316" t="s">
        <v>30</v>
      </c>
      <c r="J316" t="s">
        <v>166</v>
      </c>
      <c r="K316" t="s">
        <v>41</v>
      </c>
      <c r="L316" t="s">
        <v>208</v>
      </c>
    </row>
    <row r="317" spans="1:12" x14ac:dyDescent="0.25">
      <c r="A317" t="s">
        <v>207</v>
      </c>
      <c r="B317">
        <v>93</v>
      </c>
      <c r="C317" t="s">
        <v>12</v>
      </c>
      <c r="D317">
        <v>1</v>
      </c>
      <c r="E317" t="s">
        <v>156</v>
      </c>
      <c r="F317">
        <v>13</v>
      </c>
      <c r="G317" t="s">
        <v>372</v>
      </c>
      <c r="H317">
        <v>15</v>
      </c>
      <c r="I317" t="s">
        <v>13</v>
      </c>
      <c r="J317" t="s">
        <v>158</v>
      </c>
      <c r="K317" t="s">
        <v>15</v>
      </c>
      <c r="L317" t="s">
        <v>208</v>
      </c>
    </row>
    <row r="318" spans="1:12" x14ac:dyDescent="0.25">
      <c r="A318" t="s">
        <v>207</v>
      </c>
      <c r="B318">
        <v>94</v>
      </c>
      <c r="C318" t="s">
        <v>12</v>
      </c>
      <c r="D318">
        <v>2</v>
      </c>
      <c r="E318" t="s">
        <v>156</v>
      </c>
      <c r="F318">
        <v>15</v>
      </c>
      <c r="G318" t="s">
        <v>372</v>
      </c>
      <c r="H318">
        <v>13</v>
      </c>
      <c r="I318" t="s">
        <v>13</v>
      </c>
      <c r="J318" t="s">
        <v>158</v>
      </c>
      <c r="K318" t="s">
        <v>15</v>
      </c>
      <c r="L318" t="s">
        <v>208</v>
      </c>
    </row>
    <row r="319" spans="1:12" x14ac:dyDescent="0.25">
      <c r="A319" t="s">
        <v>207</v>
      </c>
      <c r="B319">
        <v>95</v>
      </c>
      <c r="C319" t="s">
        <v>12</v>
      </c>
      <c r="D319">
        <v>3</v>
      </c>
      <c r="E319" t="s">
        <v>156</v>
      </c>
      <c r="F319">
        <v>2</v>
      </c>
      <c r="G319" t="s">
        <v>372</v>
      </c>
      <c r="H319">
        <v>0</v>
      </c>
      <c r="I319" t="s">
        <v>13</v>
      </c>
      <c r="J319" t="s">
        <v>158</v>
      </c>
      <c r="K319" t="s">
        <v>15</v>
      </c>
      <c r="L319" t="s">
        <v>208</v>
      </c>
    </row>
    <row r="320" spans="1:12" x14ac:dyDescent="0.25">
      <c r="A320" t="s">
        <v>207</v>
      </c>
      <c r="B320">
        <v>96</v>
      </c>
      <c r="C320" t="s">
        <v>18</v>
      </c>
      <c r="D320">
        <v>1</v>
      </c>
      <c r="E320" t="s">
        <v>156</v>
      </c>
      <c r="F320">
        <v>7</v>
      </c>
      <c r="G320" t="s">
        <v>372</v>
      </c>
      <c r="H320">
        <v>15</v>
      </c>
      <c r="I320" t="s">
        <v>13</v>
      </c>
      <c r="J320" t="s">
        <v>161</v>
      </c>
      <c r="K320" t="s">
        <v>19</v>
      </c>
      <c r="L320" t="s">
        <v>208</v>
      </c>
    </row>
    <row r="321" spans="1:12" x14ac:dyDescent="0.25">
      <c r="A321" t="s">
        <v>207</v>
      </c>
      <c r="B321">
        <v>97</v>
      </c>
      <c r="C321" t="s">
        <v>18</v>
      </c>
      <c r="D321">
        <v>2</v>
      </c>
      <c r="E321" t="s">
        <v>156</v>
      </c>
      <c r="F321">
        <v>15</v>
      </c>
      <c r="G321" t="s">
        <v>372</v>
      </c>
      <c r="H321">
        <v>11</v>
      </c>
      <c r="I321" t="s">
        <v>13</v>
      </c>
      <c r="J321" t="s">
        <v>161</v>
      </c>
      <c r="K321" t="s">
        <v>19</v>
      </c>
      <c r="L321" t="s">
        <v>208</v>
      </c>
    </row>
    <row r="322" spans="1:12" x14ac:dyDescent="0.25">
      <c r="A322" t="s">
        <v>207</v>
      </c>
      <c r="B322">
        <v>98</v>
      </c>
      <c r="C322" t="s">
        <v>18</v>
      </c>
      <c r="D322">
        <v>3</v>
      </c>
      <c r="E322" t="s">
        <v>156</v>
      </c>
      <c r="F322">
        <v>6</v>
      </c>
      <c r="G322" t="s">
        <v>372</v>
      </c>
      <c r="H322">
        <v>7</v>
      </c>
      <c r="I322" t="s">
        <v>13</v>
      </c>
      <c r="J322" t="s">
        <v>161</v>
      </c>
      <c r="K322" t="s">
        <v>19</v>
      </c>
      <c r="L322" t="s">
        <v>208</v>
      </c>
    </row>
    <row r="323" spans="1:12" x14ac:dyDescent="0.25">
      <c r="A323" t="s">
        <v>207</v>
      </c>
      <c r="B323">
        <v>99</v>
      </c>
      <c r="C323" t="s">
        <v>21</v>
      </c>
      <c r="D323">
        <v>1</v>
      </c>
      <c r="E323" t="s">
        <v>156</v>
      </c>
      <c r="F323">
        <v>15</v>
      </c>
      <c r="G323" t="s">
        <v>372</v>
      </c>
      <c r="H323">
        <v>13</v>
      </c>
      <c r="I323" t="s">
        <v>13</v>
      </c>
      <c r="J323" t="s">
        <v>163</v>
      </c>
      <c r="K323" t="s">
        <v>22</v>
      </c>
      <c r="L323" t="s">
        <v>208</v>
      </c>
    </row>
    <row r="324" spans="1:12" x14ac:dyDescent="0.25">
      <c r="A324" t="s">
        <v>207</v>
      </c>
      <c r="B324">
        <v>100</v>
      </c>
      <c r="C324" t="s">
        <v>21</v>
      </c>
      <c r="D324">
        <v>2</v>
      </c>
      <c r="E324" t="s">
        <v>156</v>
      </c>
      <c r="F324">
        <v>17</v>
      </c>
      <c r="G324" t="s">
        <v>372</v>
      </c>
      <c r="H324">
        <v>15</v>
      </c>
      <c r="I324" t="s">
        <v>13</v>
      </c>
      <c r="J324" t="s">
        <v>163</v>
      </c>
      <c r="K324" t="s">
        <v>22</v>
      </c>
      <c r="L324" t="s">
        <v>208</v>
      </c>
    </row>
    <row r="325" spans="1:12" x14ac:dyDescent="0.25">
      <c r="A325" t="s">
        <v>207</v>
      </c>
      <c r="B325">
        <v>101</v>
      </c>
      <c r="C325" t="s">
        <v>21</v>
      </c>
      <c r="D325">
        <v>3</v>
      </c>
      <c r="E325" t="s">
        <v>156</v>
      </c>
      <c r="G325" t="s">
        <v>372</v>
      </c>
      <c r="I325" t="s">
        <v>13</v>
      </c>
      <c r="J325" t="s">
        <v>163</v>
      </c>
      <c r="K325" t="s">
        <v>22</v>
      </c>
      <c r="L325" t="s">
        <v>208</v>
      </c>
    </row>
    <row r="326" spans="1:12" x14ac:dyDescent="0.25">
      <c r="A326" t="s">
        <v>207</v>
      </c>
      <c r="B326">
        <v>102</v>
      </c>
      <c r="C326" t="s">
        <v>24</v>
      </c>
      <c r="D326">
        <v>1</v>
      </c>
      <c r="E326" t="s">
        <v>156</v>
      </c>
      <c r="F326">
        <v>15</v>
      </c>
      <c r="G326" t="s">
        <v>372</v>
      </c>
      <c r="H326">
        <v>8</v>
      </c>
      <c r="I326" t="s">
        <v>13</v>
      </c>
      <c r="J326" t="s">
        <v>165</v>
      </c>
      <c r="K326" t="s">
        <v>25</v>
      </c>
      <c r="L326" t="s">
        <v>208</v>
      </c>
    </row>
    <row r="327" spans="1:12" x14ac:dyDescent="0.25">
      <c r="A327" t="s">
        <v>207</v>
      </c>
      <c r="B327">
        <v>103</v>
      </c>
      <c r="C327" t="s">
        <v>24</v>
      </c>
      <c r="D327">
        <v>2</v>
      </c>
      <c r="E327" t="s">
        <v>156</v>
      </c>
      <c r="F327">
        <v>15</v>
      </c>
      <c r="G327" t="s">
        <v>372</v>
      </c>
      <c r="H327">
        <v>7</v>
      </c>
      <c r="I327" t="s">
        <v>13</v>
      </c>
      <c r="J327" t="s">
        <v>165</v>
      </c>
      <c r="K327" t="s">
        <v>25</v>
      </c>
      <c r="L327" t="s">
        <v>208</v>
      </c>
    </row>
    <row r="328" spans="1:12" x14ac:dyDescent="0.25">
      <c r="A328" t="s">
        <v>207</v>
      </c>
      <c r="B328">
        <v>104</v>
      </c>
      <c r="C328" t="s">
        <v>24</v>
      </c>
      <c r="D328">
        <v>3</v>
      </c>
      <c r="E328" t="s">
        <v>156</v>
      </c>
      <c r="G328" t="s">
        <v>372</v>
      </c>
      <c r="I328" t="s">
        <v>13</v>
      </c>
      <c r="J328" t="s">
        <v>165</v>
      </c>
      <c r="K328" t="s">
        <v>25</v>
      </c>
      <c r="L328" t="s">
        <v>208</v>
      </c>
    </row>
    <row r="329" spans="1:12" x14ac:dyDescent="0.25">
      <c r="A329" t="s">
        <v>207</v>
      </c>
      <c r="B329">
        <v>105</v>
      </c>
      <c r="C329" t="s">
        <v>27</v>
      </c>
      <c r="D329">
        <v>1</v>
      </c>
      <c r="E329" t="s">
        <v>156</v>
      </c>
      <c r="F329">
        <v>11</v>
      </c>
      <c r="G329" t="s">
        <v>372</v>
      </c>
      <c r="H329">
        <v>15</v>
      </c>
      <c r="I329" t="s">
        <v>13</v>
      </c>
      <c r="J329" t="s">
        <v>167</v>
      </c>
      <c r="K329" t="s">
        <v>28</v>
      </c>
      <c r="L329" t="s">
        <v>208</v>
      </c>
    </row>
    <row r="330" spans="1:12" x14ac:dyDescent="0.25">
      <c r="A330" t="s">
        <v>207</v>
      </c>
      <c r="B330">
        <v>106</v>
      </c>
      <c r="C330" t="s">
        <v>27</v>
      </c>
      <c r="D330">
        <v>2</v>
      </c>
      <c r="E330" t="s">
        <v>156</v>
      </c>
      <c r="F330">
        <v>15</v>
      </c>
      <c r="G330" t="s">
        <v>372</v>
      </c>
      <c r="H330">
        <v>11</v>
      </c>
      <c r="I330" t="s">
        <v>13</v>
      </c>
      <c r="J330" t="s">
        <v>167</v>
      </c>
      <c r="K330" t="s">
        <v>28</v>
      </c>
      <c r="L330" t="s">
        <v>208</v>
      </c>
    </row>
    <row r="331" spans="1:12" x14ac:dyDescent="0.25">
      <c r="A331" t="s">
        <v>207</v>
      </c>
      <c r="B331">
        <v>107</v>
      </c>
      <c r="C331" t="s">
        <v>27</v>
      </c>
      <c r="D331">
        <v>3</v>
      </c>
      <c r="E331" t="s">
        <v>156</v>
      </c>
      <c r="F331">
        <v>15</v>
      </c>
      <c r="G331" t="s">
        <v>372</v>
      </c>
      <c r="H331">
        <v>8</v>
      </c>
      <c r="I331" t="s">
        <v>13</v>
      </c>
      <c r="J331" t="s">
        <v>167</v>
      </c>
      <c r="K331" t="s">
        <v>28</v>
      </c>
      <c r="L331" t="s">
        <v>208</v>
      </c>
    </row>
    <row r="332" spans="1:12" x14ac:dyDescent="0.25">
      <c r="A332" t="s">
        <v>207</v>
      </c>
      <c r="B332">
        <v>111</v>
      </c>
      <c r="C332" t="s">
        <v>12</v>
      </c>
      <c r="D332">
        <v>1</v>
      </c>
      <c r="E332" t="s">
        <v>168</v>
      </c>
      <c r="F332">
        <v>1</v>
      </c>
      <c r="G332" t="s">
        <v>372</v>
      </c>
      <c r="H332">
        <v>0</v>
      </c>
      <c r="I332" t="s">
        <v>182</v>
      </c>
      <c r="J332" t="s">
        <v>170</v>
      </c>
      <c r="K332" t="s">
        <v>184</v>
      </c>
      <c r="L332" t="s">
        <v>208</v>
      </c>
    </row>
    <row r="333" spans="1:12" x14ac:dyDescent="0.25">
      <c r="A333" t="s">
        <v>207</v>
      </c>
      <c r="B333">
        <v>112</v>
      </c>
      <c r="C333" t="s">
        <v>12</v>
      </c>
      <c r="D333">
        <v>2</v>
      </c>
      <c r="E333" t="s">
        <v>168</v>
      </c>
      <c r="F333">
        <v>0</v>
      </c>
      <c r="G333" t="s">
        <v>372</v>
      </c>
      <c r="H333">
        <v>0</v>
      </c>
      <c r="I333" t="s">
        <v>182</v>
      </c>
      <c r="J333" t="s">
        <v>170</v>
      </c>
      <c r="K333" t="s">
        <v>184</v>
      </c>
      <c r="L333" t="s">
        <v>208</v>
      </c>
    </row>
    <row r="334" spans="1:12" x14ac:dyDescent="0.25">
      <c r="A334" t="s">
        <v>207</v>
      </c>
      <c r="B334">
        <v>113</v>
      </c>
      <c r="C334" t="s">
        <v>12</v>
      </c>
      <c r="D334">
        <v>3</v>
      </c>
      <c r="E334" t="s">
        <v>168</v>
      </c>
      <c r="G334" t="s">
        <v>372</v>
      </c>
      <c r="I334" t="s">
        <v>182</v>
      </c>
      <c r="J334" t="s">
        <v>170</v>
      </c>
      <c r="K334" t="s">
        <v>184</v>
      </c>
      <c r="L334" t="s">
        <v>208</v>
      </c>
    </row>
    <row r="335" spans="1:12" x14ac:dyDescent="0.25">
      <c r="A335" t="s">
        <v>207</v>
      </c>
      <c r="B335">
        <v>114</v>
      </c>
      <c r="C335" t="s">
        <v>18</v>
      </c>
      <c r="D335">
        <v>1</v>
      </c>
      <c r="E335" t="s">
        <v>168</v>
      </c>
      <c r="F335">
        <v>1</v>
      </c>
      <c r="G335" t="s">
        <v>372</v>
      </c>
      <c r="H335">
        <v>0</v>
      </c>
      <c r="I335" t="s">
        <v>182</v>
      </c>
      <c r="J335" t="s">
        <v>173</v>
      </c>
      <c r="K335" t="s">
        <v>187</v>
      </c>
      <c r="L335" t="s">
        <v>208</v>
      </c>
    </row>
    <row r="336" spans="1:12" x14ac:dyDescent="0.25">
      <c r="A336" t="s">
        <v>207</v>
      </c>
      <c r="B336">
        <v>115</v>
      </c>
      <c r="C336" t="s">
        <v>18</v>
      </c>
      <c r="D336">
        <v>2</v>
      </c>
      <c r="E336" t="s">
        <v>168</v>
      </c>
      <c r="F336">
        <v>1</v>
      </c>
      <c r="G336" t="s">
        <v>372</v>
      </c>
      <c r="H336">
        <v>0</v>
      </c>
      <c r="I336" t="s">
        <v>182</v>
      </c>
      <c r="J336" t="s">
        <v>173</v>
      </c>
      <c r="K336" t="s">
        <v>187</v>
      </c>
      <c r="L336" t="s">
        <v>208</v>
      </c>
    </row>
    <row r="337" spans="1:12" x14ac:dyDescent="0.25">
      <c r="A337" t="s">
        <v>207</v>
      </c>
      <c r="B337">
        <v>116</v>
      </c>
      <c r="C337" t="s">
        <v>18</v>
      </c>
      <c r="D337">
        <v>3</v>
      </c>
      <c r="E337" t="s">
        <v>168</v>
      </c>
      <c r="G337" t="s">
        <v>372</v>
      </c>
      <c r="I337" t="s">
        <v>182</v>
      </c>
      <c r="J337" t="s">
        <v>173</v>
      </c>
      <c r="K337" t="s">
        <v>187</v>
      </c>
      <c r="L337" t="s">
        <v>208</v>
      </c>
    </row>
    <row r="338" spans="1:12" x14ac:dyDescent="0.25">
      <c r="A338" t="s">
        <v>207</v>
      </c>
      <c r="B338">
        <v>117</v>
      </c>
      <c r="C338" t="s">
        <v>21</v>
      </c>
      <c r="D338">
        <v>1</v>
      </c>
      <c r="E338" t="s">
        <v>168</v>
      </c>
      <c r="F338">
        <v>1</v>
      </c>
      <c r="G338" t="s">
        <v>372</v>
      </c>
      <c r="H338">
        <v>0</v>
      </c>
      <c r="I338" t="s">
        <v>182</v>
      </c>
      <c r="J338" t="s">
        <v>175</v>
      </c>
      <c r="K338" t="s">
        <v>189</v>
      </c>
      <c r="L338" t="s">
        <v>208</v>
      </c>
    </row>
    <row r="339" spans="1:12" x14ac:dyDescent="0.25">
      <c r="A339" t="s">
        <v>207</v>
      </c>
      <c r="B339">
        <v>118</v>
      </c>
      <c r="C339" t="s">
        <v>21</v>
      </c>
      <c r="D339">
        <v>2</v>
      </c>
      <c r="E339" t="s">
        <v>168</v>
      </c>
      <c r="F339">
        <v>1</v>
      </c>
      <c r="G339" t="s">
        <v>372</v>
      </c>
      <c r="H339">
        <v>0</v>
      </c>
      <c r="I339" t="s">
        <v>182</v>
      </c>
      <c r="J339" t="s">
        <v>175</v>
      </c>
      <c r="K339" t="s">
        <v>189</v>
      </c>
      <c r="L339" t="s">
        <v>208</v>
      </c>
    </row>
    <row r="340" spans="1:12" x14ac:dyDescent="0.25">
      <c r="A340" t="s">
        <v>207</v>
      </c>
      <c r="B340">
        <v>119</v>
      </c>
      <c r="C340" t="s">
        <v>21</v>
      </c>
      <c r="D340">
        <v>3</v>
      </c>
      <c r="E340" t="s">
        <v>168</v>
      </c>
      <c r="G340" t="s">
        <v>372</v>
      </c>
      <c r="I340" t="s">
        <v>182</v>
      </c>
      <c r="J340" t="s">
        <v>175</v>
      </c>
      <c r="K340" t="s">
        <v>189</v>
      </c>
      <c r="L340" t="s">
        <v>208</v>
      </c>
    </row>
    <row r="341" spans="1:12" x14ac:dyDescent="0.25">
      <c r="A341" t="s">
        <v>207</v>
      </c>
      <c r="B341">
        <v>120</v>
      </c>
      <c r="C341" t="s">
        <v>24</v>
      </c>
      <c r="D341">
        <v>1</v>
      </c>
      <c r="E341" t="s">
        <v>168</v>
      </c>
      <c r="F341">
        <v>1</v>
      </c>
      <c r="G341" t="s">
        <v>372</v>
      </c>
      <c r="H341">
        <v>0</v>
      </c>
      <c r="I341" t="s">
        <v>182</v>
      </c>
      <c r="J341" t="s">
        <v>177</v>
      </c>
      <c r="K341" t="s">
        <v>191</v>
      </c>
      <c r="L341" t="s">
        <v>208</v>
      </c>
    </row>
    <row r="342" spans="1:12" x14ac:dyDescent="0.25">
      <c r="A342" t="s">
        <v>207</v>
      </c>
      <c r="B342">
        <v>121</v>
      </c>
      <c r="C342" t="s">
        <v>24</v>
      </c>
      <c r="D342">
        <v>2</v>
      </c>
      <c r="E342" t="s">
        <v>168</v>
      </c>
      <c r="F342">
        <v>1</v>
      </c>
      <c r="G342" t="s">
        <v>372</v>
      </c>
      <c r="H342">
        <v>0</v>
      </c>
      <c r="I342" t="s">
        <v>182</v>
      </c>
      <c r="J342" t="s">
        <v>177</v>
      </c>
      <c r="K342" t="s">
        <v>191</v>
      </c>
      <c r="L342" t="s">
        <v>208</v>
      </c>
    </row>
    <row r="343" spans="1:12" x14ac:dyDescent="0.25">
      <c r="A343" t="s">
        <v>207</v>
      </c>
      <c r="B343">
        <v>122</v>
      </c>
      <c r="C343" t="s">
        <v>24</v>
      </c>
      <c r="D343">
        <v>3</v>
      </c>
      <c r="E343" t="s">
        <v>168</v>
      </c>
      <c r="G343" t="s">
        <v>372</v>
      </c>
      <c r="I343" t="s">
        <v>182</v>
      </c>
      <c r="J343" t="s">
        <v>177</v>
      </c>
      <c r="K343" t="s">
        <v>191</v>
      </c>
      <c r="L343" t="s">
        <v>208</v>
      </c>
    </row>
    <row r="344" spans="1:12" x14ac:dyDescent="0.25">
      <c r="A344" t="s">
        <v>207</v>
      </c>
      <c r="B344">
        <v>123</v>
      </c>
      <c r="C344" t="s">
        <v>27</v>
      </c>
      <c r="D344">
        <v>1</v>
      </c>
      <c r="E344" t="s">
        <v>168</v>
      </c>
      <c r="F344">
        <v>1</v>
      </c>
      <c r="G344" t="s">
        <v>372</v>
      </c>
      <c r="H344">
        <v>0</v>
      </c>
      <c r="I344" t="s">
        <v>182</v>
      </c>
      <c r="J344" t="s">
        <v>179</v>
      </c>
      <c r="K344" t="s">
        <v>193</v>
      </c>
      <c r="L344" t="s">
        <v>208</v>
      </c>
    </row>
    <row r="345" spans="1:12" x14ac:dyDescent="0.25">
      <c r="A345" t="s">
        <v>207</v>
      </c>
      <c r="B345">
        <v>124</v>
      </c>
      <c r="C345" t="s">
        <v>27</v>
      </c>
      <c r="D345">
        <v>2</v>
      </c>
      <c r="E345" t="s">
        <v>168</v>
      </c>
      <c r="F345">
        <v>0</v>
      </c>
      <c r="G345" t="s">
        <v>372</v>
      </c>
      <c r="H345">
        <v>0</v>
      </c>
      <c r="I345" t="s">
        <v>182</v>
      </c>
      <c r="J345" t="s">
        <v>179</v>
      </c>
      <c r="K345" t="s">
        <v>193</v>
      </c>
      <c r="L345" t="s">
        <v>208</v>
      </c>
    </row>
    <row r="346" spans="1:12" x14ac:dyDescent="0.25">
      <c r="A346" t="s">
        <v>207</v>
      </c>
      <c r="B346">
        <v>125</v>
      </c>
      <c r="C346" t="s">
        <v>27</v>
      </c>
      <c r="D346">
        <v>3</v>
      </c>
      <c r="E346" t="s">
        <v>168</v>
      </c>
      <c r="G346" t="s">
        <v>372</v>
      </c>
      <c r="I346" t="s">
        <v>182</v>
      </c>
      <c r="J346" t="s">
        <v>179</v>
      </c>
      <c r="K346" t="s">
        <v>193</v>
      </c>
      <c r="L346" t="s">
        <v>208</v>
      </c>
    </row>
    <row r="347" spans="1:12" x14ac:dyDescent="0.25">
      <c r="A347" t="s">
        <v>207</v>
      </c>
      <c r="B347">
        <v>129</v>
      </c>
      <c r="C347" t="s">
        <v>12</v>
      </c>
      <c r="D347">
        <v>1</v>
      </c>
      <c r="E347" t="s">
        <v>169</v>
      </c>
      <c r="F347">
        <v>1</v>
      </c>
      <c r="G347" t="s">
        <v>372</v>
      </c>
      <c r="H347">
        <v>0</v>
      </c>
      <c r="I347" t="s">
        <v>14</v>
      </c>
      <c r="J347" t="s">
        <v>171</v>
      </c>
      <c r="K347" t="s">
        <v>16</v>
      </c>
      <c r="L347" t="s">
        <v>208</v>
      </c>
    </row>
    <row r="348" spans="1:12" x14ac:dyDescent="0.25">
      <c r="A348" t="s">
        <v>207</v>
      </c>
      <c r="B348">
        <v>130</v>
      </c>
      <c r="C348" t="s">
        <v>12</v>
      </c>
      <c r="D348">
        <v>2</v>
      </c>
      <c r="E348" t="s">
        <v>169</v>
      </c>
      <c r="F348">
        <v>0</v>
      </c>
      <c r="G348" t="s">
        <v>372</v>
      </c>
      <c r="H348">
        <v>1</v>
      </c>
      <c r="I348" t="s">
        <v>14</v>
      </c>
      <c r="J348" t="s">
        <v>171</v>
      </c>
      <c r="K348" t="s">
        <v>16</v>
      </c>
      <c r="L348" t="s">
        <v>208</v>
      </c>
    </row>
    <row r="349" spans="1:12" x14ac:dyDescent="0.25">
      <c r="A349" t="s">
        <v>207</v>
      </c>
      <c r="B349">
        <v>131</v>
      </c>
      <c r="C349" t="s">
        <v>12</v>
      </c>
      <c r="D349">
        <v>3</v>
      </c>
      <c r="E349" t="s">
        <v>169</v>
      </c>
      <c r="G349" t="s">
        <v>372</v>
      </c>
      <c r="I349" t="s">
        <v>14</v>
      </c>
      <c r="J349" t="s">
        <v>171</v>
      </c>
      <c r="K349" t="s">
        <v>16</v>
      </c>
      <c r="L349" t="s">
        <v>208</v>
      </c>
    </row>
    <row r="350" spans="1:12" x14ac:dyDescent="0.25">
      <c r="A350" t="s">
        <v>207</v>
      </c>
      <c r="B350">
        <v>132</v>
      </c>
      <c r="C350" t="s">
        <v>18</v>
      </c>
      <c r="D350">
        <v>1</v>
      </c>
      <c r="E350" t="s">
        <v>169</v>
      </c>
      <c r="F350">
        <v>0</v>
      </c>
      <c r="G350" t="s">
        <v>372</v>
      </c>
      <c r="H350">
        <v>1</v>
      </c>
      <c r="I350" t="s">
        <v>14</v>
      </c>
      <c r="J350" t="s">
        <v>174</v>
      </c>
      <c r="K350" t="s">
        <v>20</v>
      </c>
      <c r="L350" t="s">
        <v>208</v>
      </c>
    </row>
    <row r="351" spans="1:12" x14ac:dyDescent="0.25">
      <c r="A351" t="s">
        <v>207</v>
      </c>
      <c r="B351">
        <v>133</v>
      </c>
      <c r="C351" t="s">
        <v>18</v>
      </c>
      <c r="D351">
        <v>2</v>
      </c>
      <c r="E351" t="s">
        <v>169</v>
      </c>
      <c r="F351">
        <v>0</v>
      </c>
      <c r="G351" t="s">
        <v>372</v>
      </c>
      <c r="H351">
        <v>1</v>
      </c>
      <c r="I351" t="s">
        <v>14</v>
      </c>
      <c r="J351" t="s">
        <v>174</v>
      </c>
      <c r="K351" t="s">
        <v>20</v>
      </c>
      <c r="L351" t="s">
        <v>208</v>
      </c>
    </row>
    <row r="352" spans="1:12" x14ac:dyDescent="0.25">
      <c r="A352" t="s">
        <v>207</v>
      </c>
      <c r="B352">
        <v>134</v>
      </c>
      <c r="C352" t="s">
        <v>18</v>
      </c>
      <c r="D352">
        <v>3</v>
      </c>
      <c r="E352" t="s">
        <v>169</v>
      </c>
      <c r="G352" t="s">
        <v>372</v>
      </c>
      <c r="I352" t="s">
        <v>14</v>
      </c>
      <c r="J352" t="s">
        <v>174</v>
      </c>
      <c r="K352" t="s">
        <v>20</v>
      </c>
      <c r="L352" t="s">
        <v>208</v>
      </c>
    </row>
    <row r="353" spans="1:12" x14ac:dyDescent="0.25">
      <c r="A353" t="s">
        <v>207</v>
      </c>
      <c r="B353">
        <v>135</v>
      </c>
      <c r="C353" t="s">
        <v>21</v>
      </c>
      <c r="D353">
        <v>1</v>
      </c>
      <c r="E353" t="s">
        <v>169</v>
      </c>
      <c r="F353">
        <v>1</v>
      </c>
      <c r="G353" t="s">
        <v>372</v>
      </c>
      <c r="H353">
        <v>0</v>
      </c>
      <c r="I353" t="s">
        <v>14</v>
      </c>
      <c r="J353" t="s">
        <v>176</v>
      </c>
      <c r="K353" t="s">
        <v>23</v>
      </c>
      <c r="L353" t="s">
        <v>208</v>
      </c>
    </row>
    <row r="354" spans="1:12" x14ac:dyDescent="0.25">
      <c r="A354" t="s">
        <v>207</v>
      </c>
      <c r="B354">
        <v>136</v>
      </c>
      <c r="C354" t="s">
        <v>21</v>
      </c>
      <c r="D354">
        <v>2</v>
      </c>
      <c r="E354" t="s">
        <v>169</v>
      </c>
      <c r="F354">
        <v>1</v>
      </c>
      <c r="G354" t="s">
        <v>372</v>
      </c>
      <c r="H354">
        <v>0</v>
      </c>
      <c r="I354" t="s">
        <v>14</v>
      </c>
      <c r="J354" t="s">
        <v>176</v>
      </c>
      <c r="K354" t="s">
        <v>23</v>
      </c>
      <c r="L354" t="s">
        <v>208</v>
      </c>
    </row>
    <row r="355" spans="1:12" x14ac:dyDescent="0.25">
      <c r="A355" t="s">
        <v>207</v>
      </c>
      <c r="B355">
        <v>137</v>
      </c>
      <c r="C355" t="s">
        <v>21</v>
      </c>
      <c r="D355">
        <v>3</v>
      </c>
      <c r="E355" t="s">
        <v>169</v>
      </c>
      <c r="G355" t="s">
        <v>372</v>
      </c>
      <c r="I355" t="s">
        <v>14</v>
      </c>
      <c r="J355" t="s">
        <v>176</v>
      </c>
      <c r="K355" t="s">
        <v>23</v>
      </c>
      <c r="L355" t="s">
        <v>208</v>
      </c>
    </row>
    <row r="356" spans="1:12" x14ac:dyDescent="0.25">
      <c r="A356" t="s">
        <v>207</v>
      </c>
      <c r="B356">
        <v>138</v>
      </c>
      <c r="C356" t="s">
        <v>24</v>
      </c>
      <c r="D356">
        <v>1</v>
      </c>
      <c r="E356" t="s">
        <v>169</v>
      </c>
      <c r="F356">
        <v>1</v>
      </c>
      <c r="G356" t="s">
        <v>372</v>
      </c>
      <c r="H356">
        <v>0</v>
      </c>
      <c r="I356" t="s">
        <v>14</v>
      </c>
      <c r="J356" t="s">
        <v>178</v>
      </c>
      <c r="K356" t="s">
        <v>26</v>
      </c>
      <c r="L356" t="s">
        <v>208</v>
      </c>
    </row>
    <row r="357" spans="1:12" x14ac:dyDescent="0.25">
      <c r="A357" t="s">
        <v>207</v>
      </c>
      <c r="B357">
        <v>139</v>
      </c>
      <c r="C357" t="s">
        <v>24</v>
      </c>
      <c r="D357">
        <v>2</v>
      </c>
      <c r="E357" t="s">
        <v>169</v>
      </c>
      <c r="F357">
        <v>1</v>
      </c>
      <c r="G357" t="s">
        <v>372</v>
      </c>
      <c r="H357">
        <v>0</v>
      </c>
      <c r="I357" t="s">
        <v>14</v>
      </c>
      <c r="J357" t="s">
        <v>178</v>
      </c>
      <c r="K357" t="s">
        <v>26</v>
      </c>
      <c r="L357" t="s">
        <v>208</v>
      </c>
    </row>
    <row r="358" spans="1:12" x14ac:dyDescent="0.25">
      <c r="A358" t="s">
        <v>207</v>
      </c>
      <c r="B358">
        <v>140</v>
      </c>
      <c r="C358" t="s">
        <v>24</v>
      </c>
      <c r="D358">
        <v>3</v>
      </c>
      <c r="E358" t="s">
        <v>169</v>
      </c>
      <c r="G358" t="s">
        <v>372</v>
      </c>
      <c r="I358" t="s">
        <v>14</v>
      </c>
      <c r="J358" t="s">
        <v>178</v>
      </c>
      <c r="K358" t="s">
        <v>26</v>
      </c>
      <c r="L358" t="s">
        <v>208</v>
      </c>
    </row>
    <row r="359" spans="1:12" x14ac:dyDescent="0.25">
      <c r="A359" t="s">
        <v>207</v>
      </c>
      <c r="B359">
        <v>141</v>
      </c>
      <c r="C359" t="s">
        <v>27</v>
      </c>
      <c r="D359">
        <v>1</v>
      </c>
      <c r="E359" t="s">
        <v>169</v>
      </c>
      <c r="F359">
        <v>1</v>
      </c>
      <c r="G359" t="s">
        <v>372</v>
      </c>
      <c r="H359">
        <v>0</v>
      </c>
      <c r="I359" t="s">
        <v>14</v>
      </c>
      <c r="J359" t="s">
        <v>180</v>
      </c>
      <c r="K359" t="s">
        <v>29</v>
      </c>
      <c r="L359" t="s">
        <v>208</v>
      </c>
    </row>
    <row r="360" spans="1:12" x14ac:dyDescent="0.25">
      <c r="A360" t="s">
        <v>207</v>
      </c>
      <c r="B360">
        <v>142</v>
      </c>
      <c r="C360" t="s">
        <v>27</v>
      </c>
      <c r="D360">
        <v>2</v>
      </c>
      <c r="E360" t="s">
        <v>169</v>
      </c>
      <c r="F360">
        <v>1</v>
      </c>
      <c r="G360" t="s">
        <v>372</v>
      </c>
      <c r="H360">
        <v>0</v>
      </c>
      <c r="I360" t="s">
        <v>14</v>
      </c>
      <c r="J360" t="s">
        <v>180</v>
      </c>
      <c r="K360" t="s">
        <v>29</v>
      </c>
      <c r="L360" t="s">
        <v>208</v>
      </c>
    </row>
    <row r="361" spans="1:12" x14ac:dyDescent="0.25">
      <c r="A361" t="s">
        <v>207</v>
      </c>
      <c r="B361">
        <v>143</v>
      </c>
      <c r="C361" t="s">
        <v>27</v>
      </c>
      <c r="D361">
        <v>3</v>
      </c>
      <c r="E361" t="s">
        <v>169</v>
      </c>
      <c r="G361" t="s">
        <v>372</v>
      </c>
      <c r="I361" t="s">
        <v>14</v>
      </c>
      <c r="J361" t="s">
        <v>180</v>
      </c>
      <c r="K361" t="s">
        <v>29</v>
      </c>
      <c r="L361" t="s">
        <v>208</v>
      </c>
    </row>
    <row r="362" spans="1:12" x14ac:dyDescent="0.25">
      <c r="A362" t="s">
        <v>207</v>
      </c>
      <c r="B362">
        <v>147</v>
      </c>
      <c r="C362" t="s">
        <v>12</v>
      </c>
      <c r="D362">
        <v>1</v>
      </c>
      <c r="E362" t="s">
        <v>70</v>
      </c>
      <c r="F362">
        <v>1</v>
      </c>
      <c r="G362" t="s">
        <v>372</v>
      </c>
      <c r="H362">
        <v>0</v>
      </c>
      <c r="I362" t="s">
        <v>225</v>
      </c>
      <c r="J362" t="s">
        <v>72</v>
      </c>
      <c r="L362" t="s">
        <v>222</v>
      </c>
    </row>
    <row r="363" spans="1:12" x14ac:dyDescent="0.25">
      <c r="A363" t="s">
        <v>207</v>
      </c>
      <c r="B363">
        <v>148</v>
      </c>
      <c r="C363" t="s">
        <v>12</v>
      </c>
      <c r="D363">
        <v>2</v>
      </c>
      <c r="E363" t="s">
        <v>70</v>
      </c>
      <c r="F363">
        <v>1</v>
      </c>
      <c r="G363" t="s">
        <v>372</v>
      </c>
      <c r="H363">
        <v>0</v>
      </c>
      <c r="I363" t="s">
        <v>225</v>
      </c>
      <c r="J363" t="s">
        <v>72</v>
      </c>
      <c r="L363" t="s">
        <v>222</v>
      </c>
    </row>
    <row r="364" spans="1:12" x14ac:dyDescent="0.25">
      <c r="A364" t="s">
        <v>207</v>
      </c>
      <c r="B364">
        <v>149</v>
      </c>
      <c r="C364" t="s">
        <v>12</v>
      </c>
      <c r="D364">
        <v>3</v>
      </c>
      <c r="E364" t="s">
        <v>70</v>
      </c>
      <c r="G364" t="s">
        <v>372</v>
      </c>
      <c r="I364" t="s">
        <v>225</v>
      </c>
      <c r="J364" t="s">
        <v>72</v>
      </c>
      <c r="L364" t="s">
        <v>222</v>
      </c>
    </row>
    <row r="365" spans="1:12" x14ac:dyDescent="0.25">
      <c r="A365" t="s">
        <v>207</v>
      </c>
      <c r="B365">
        <v>150</v>
      </c>
      <c r="C365" t="s">
        <v>18</v>
      </c>
      <c r="D365">
        <v>1</v>
      </c>
      <c r="E365" t="s">
        <v>70</v>
      </c>
      <c r="F365">
        <v>1</v>
      </c>
      <c r="G365" t="s">
        <v>372</v>
      </c>
      <c r="H365">
        <v>0</v>
      </c>
      <c r="I365" t="s">
        <v>225</v>
      </c>
      <c r="J365" t="s">
        <v>75</v>
      </c>
      <c r="L365" t="s">
        <v>222</v>
      </c>
    </row>
    <row r="366" spans="1:12" x14ac:dyDescent="0.25">
      <c r="A366" t="s">
        <v>207</v>
      </c>
      <c r="B366">
        <v>151</v>
      </c>
      <c r="C366" t="s">
        <v>18</v>
      </c>
      <c r="D366">
        <v>2</v>
      </c>
      <c r="E366" t="s">
        <v>70</v>
      </c>
      <c r="F366">
        <v>1</v>
      </c>
      <c r="G366" t="s">
        <v>372</v>
      </c>
      <c r="H366">
        <v>0</v>
      </c>
      <c r="I366" t="s">
        <v>225</v>
      </c>
      <c r="J366" t="s">
        <v>75</v>
      </c>
      <c r="L366" t="s">
        <v>222</v>
      </c>
    </row>
    <row r="367" spans="1:12" x14ac:dyDescent="0.25">
      <c r="A367" t="s">
        <v>207</v>
      </c>
      <c r="B367">
        <v>152</v>
      </c>
      <c r="C367" t="s">
        <v>18</v>
      </c>
      <c r="D367">
        <v>3</v>
      </c>
      <c r="E367" t="s">
        <v>70</v>
      </c>
      <c r="G367" t="s">
        <v>372</v>
      </c>
      <c r="I367" t="s">
        <v>225</v>
      </c>
      <c r="J367" t="s">
        <v>75</v>
      </c>
      <c r="L367" t="s">
        <v>222</v>
      </c>
    </row>
    <row r="368" spans="1:12" x14ac:dyDescent="0.25">
      <c r="A368" t="s">
        <v>207</v>
      </c>
      <c r="B368">
        <v>153</v>
      </c>
      <c r="C368" t="s">
        <v>21</v>
      </c>
      <c r="D368">
        <v>1</v>
      </c>
      <c r="E368" t="s">
        <v>70</v>
      </c>
      <c r="F368">
        <v>1</v>
      </c>
      <c r="G368" t="s">
        <v>372</v>
      </c>
      <c r="H368">
        <v>0</v>
      </c>
      <c r="I368" t="s">
        <v>225</v>
      </c>
      <c r="J368" t="s">
        <v>77</v>
      </c>
      <c r="L368" t="s">
        <v>222</v>
      </c>
    </row>
    <row r="369" spans="1:12" x14ac:dyDescent="0.25">
      <c r="A369" t="s">
        <v>207</v>
      </c>
      <c r="B369">
        <v>154</v>
      </c>
      <c r="C369" t="s">
        <v>21</v>
      </c>
      <c r="D369">
        <v>2</v>
      </c>
      <c r="E369" t="s">
        <v>70</v>
      </c>
      <c r="F369">
        <v>1</v>
      </c>
      <c r="G369" t="s">
        <v>372</v>
      </c>
      <c r="H369">
        <v>0</v>
      </c>
      <c r="I369" t="s">
        <v>225</v>
      </c>
      <c r="J369" t="s">
        <v>77</v>
      </c>
      <c r="L369" t="s">
        <v>222</v>
      </c>
    </row>
    <row r="370" spans="1:12" x14ac:dyDescent="0.25">
      <c r="A370" t="s">
        <v>207</v>
      </c>
      <c r="B370">
        <v>155</v>
      </c>
      <c r="C370" t="s">
        <v>21</v>
      </c>
      <c r="D370">
        <v>3</v>
      </c>
      <c r="E370" t="s">
        <v>70</v>
      </c>
      <c r="G370" t="s">
        <v>372</v>
      </c>
      <c r="I370" t="s">
        <v>225</v>
      </c>
      <c r="J370" t="s">
        <v>77</v>
      </c>
      <c r="L370" t="s">
        <v>222</v>
      </c>
    </row>
    <row r="371" spans="1:12" x14ac:dyDescent="0.25">
      <c r="A371" t="s">
        <v>207</v>
      </c>
      <c r="B371">
        <v>156</v>
      </c>
      <c r="C371" t="s">
        <v>24</v>
      </c>
      <c r="D371">
        <v>1</v>
      </c>
      <c r="E371" t="s">
        <v>70</v>
      </c>
      <c r="F371">
        <v>1</v>
      </c>
      <c r="G371" t="s">
        <v>372</v>
      </c>
      <c r="H371">
        <v>0</v>
      </c>
      <c r="I371" t="s">
        <v>225</v>
      </c>
      <c r="J371" t="s">
        <v>79</v>
      </c>
      <c r="L371" t="s">
        <v>222</v>
      </c>
    </row>
    <row r="372" spans="1:12" x14ac:dyDescent="0.25">
      <c r="A372" t="s">
        <v>207</v>
      </c>
      <c r="B372">
        <v>157</v>
      </c>
      <c r="C372" t="s">
        <v>24</v>
      </c>
      <c r="D372">
        <v>2</v>
      </c>
      <c r="E372" t="s">
        <v>70</v>
      </c>
      <c r="F372">
        <v>1</v>
      </c>
      <c r="G372" t="s">
        <v>372</v>
      </c>
      <c r="H372">
        <v>0</v>
      </c>
      <c r="I372" t="s">
        <v>225</v>
      </c>
      <c r="J372" t="s">
        <v>79</v>
      </c>
      <c r="L372" t="s">
        <v>222</v>
      </c>
    </row>
    <row r="373" spans="1:12" x14ac:dyDescent="0.25">
      <c r="A373" t="s">
        <v>207</v>
      </c>
      <c r="B373">
        <v>158</v>
      </c>
      <c r="C373" t="s">
        <v>24</v>
      </c>
      <c r="D373">
        <v>3</v>
      </c>
      <c r="E373" t="s">
        <v>70</v>
      </c>
      <c r="G373" t="s">
        <v>372</v>
      </c>
      <c r="I373" t="s">
        <v>225</v>
      </c>
      <c r="J373" t="s">
        <v>79</v>
      </c>
      <c r="L373" t="s">
        <v>222</v>
      </c>
    </row>
    <row r="374" spans="1:12" x14ac:dyDescent="0.25">
      <c r="A374" t="s">
        <v>207</v>
      </c>
      <c r="B374">
        <v>159</v>
      </c>
      <c r="C374" t="s">
        <v>27</v>
      </c>
      <c r="D374">
        <v>1</v>
      </c>
      <c r="E374" t="s">
        <v>70</v>
      </c>
      <c r="F374">
        <v>1</v>
      </c>
      <c r="G374" t="s">
        <v>372</v>
      </c>
      <c r="H374">
        <v>0</v>
      </c>
      <c r="I374" t="s">
        <v>225</v>
      </c>
      <c r="J374" t="s">
        <v>81</v>
      </c>
      <c r="L374" t="s">
        <v>222</v>
      </c>
    </row>
    <row r="375" spans="1:12" x14ac:dyDescent="0.25">
      <c r="A375" t="s">
        <v>207</v>
      </c>
      <c r="B375">
        <v>160</v>
      </c>
      <c r="C375" t="s">
        <v>27</v>
      </c>
      <c r="D375">
        <v>2</v>
      </c>
      <c r="E375" t="s">
        <v>70</v>
      </c>
      <c r="F375">
        <v>1</v>
      </c>
      <c r="G375" t="s">
        <v>372</v>
      </c>
      <c r="H375">
        <v>0</v>
      </c>
      <c r="I375" t="s">
        <v>225</v>
      </c>
      <c r="J375" t="s">
        <v>81</v>
      </c>
      <c r="L375" t="s">
        <v>222</v>
      </c>
    </row>
    <row r="376" spans="1:12" x14ac:dyDescent="0.25">
      <c r="A376" t="s">
        <v>207</v>
      </c>
      <c r="B376">
        <v>161</v>
      </c>
      <c r="C376" t="s">
        <v>27</v>
      </c>
      <c r="D376">
        <v>3</v>
      </c>
      <c r="E376" t="s">
        <v>70</v>
      </c>
      <c r="G376" t="s">
        <v>372</v>
      </c>
      <c r="I376" t="s">
        <v>225</v>
      </c>
      <c r="J376" t="s">
        <v>81</v>
      </c>
      <c r="L376" t="s">
        <v>222</v>
      </c>
    </row>
    <row r="377" spans="1:12" x14ac:dyDescent="0.25">
      <c r="A377" t="s">
        <v>207</v>
      </c>
      <c r="B377">
        <v>165</v>
      </c>
      <c r="C377" t="s">
        <v>12</v>
      </c>
      <c r="D377">
        <v>1</v>
      </c>
      <c r="E377" t="s">
        <v>57</v>
      </c>
      <c r="F377">
        <v>1</v>
      </c>
      <c r="G377" t="s">
        <v>372</v>
      </c>
      <c r="H377">
        <v>0</v>
      </c>
      <c r="I377" t="s">
        <v>225</v>
      </c>
      <c r="J377" t="s">
        <v>59</v>
      </c>
      <c r="L377" t="s">
        <v>222</v>
      </c>
    </row>
    <row r="378" spans="1:12" x14ac:dyDescent="0.25">
      <c r="A378" t="s">
        <v>207</v>
      </c>
      <c r="B378">
        <v>166</v>
      </c>
      <c r="C378" t="s">
        <v>12</v>
      </c>
      <c r="D378">
        <v>2</v>
      </c>
      <c r="E378" t="s">
        <v>57</v>
      </c>
      <c r="F378">
        <v>1</v>
      </c>
      <c r="G378" t="s">
        <v>372</v>
      </c>
      <c r="H378">
        <v>0</v>
      </c>
      <c r="I378" t="s">
        <v>225</v>
      </c>
      <c r="J378" t="s">
        <v>59</v>
      </c>
      <c r="L378" t="s">
        <v>222</v>
      </c>
    </row>
    <row r="379" spans="1:12" x14ac:dyDescent="0.25">
      <c r="A379" t="s">
        <v>207</v>
      </c>
      <c r="B379">
        <v>167</v>
      </c>
      <c r="C379" t="s">
        <v>12</v>
      </c>
      <c r="D379">
        <v>3</v>
      </c>
      <c r="E379" t="s">
        <v>57</v>
      </c>
      <c r="G379" t="s">
        <v>372</v>
      </c>
      <c r="I379" t="s">
        <v>225</v>
      </c>
      <c r="J379" t="s">
        <v>59</v>
      </c>
      <c r="L379" t="s">
        <v>222</v>
      </c>
    </row>
    <row r="380" spans="1:12" x14ac:dyDescent="0.25">
      <c r="A380" t="s">
        <v>207</v>
      </c>
      <c r="B380">
        <v>168</v>
      </c>
      <c r="C380" t="s">
        <v>18</v>
      </c>
      <c r="D380">
        <v>1</v>
      </c>
      <c r="E380" t="s">
        <v>57</v>
      </c>
      <c r="F380">
        <v>1</v>
      </c>
      <c r="G380" t="s">
        <v>372</v>
      </c>
      <c r="H380">
        <v>0</v>
      </c>
      <c r="I380" t="s">
        <v>225</v>
      </c>
      <c r="J380" t="s">
        <v>62</v>
      </c>
      <c r="L380" t="s">
        <v>222</v>
      </c>
    </row>
    <row r="381" spans="1:12" x14ac:dyDescent="0.25">
      <c r="A381" t="s">
        <v>207</v>
      </c>
      <c r="B381">
        <v>169</v>
      </c>
      <c r="C381" t="s">
        <v>18</v>
      </c>
      <c r="D381">
        <v>2</v>
      </c>
      <c r="E381" t="s">
        <v>57</v>
      </c>
      <c r="F381">
        <v>1</v>
      </c>
      <c r="G381" t="s">
        <v>372</v>
      </c>
      <c r="H381">
        <v>0</v>
      </c>
      <c r="I381" t="s">
        <v>225</v>
      </c>
      <c r="J381" t="s">
        <v>62</v>
      </c>
      <c r="L381" t="s">
        <v>222</v>
      </c>
    </row>
    <row r="382" spans="1:12" x14ac:dyDescent="0.25">
      <c r="A382" t="s">
        <v>207</v>
      </c>
      <c r="B382">
        <v>170</v>
      </c>
      <c r="C382" t="s">
        <v>18</v>
      </c>
      <c r="D382">
        <v>3</v>
      </c>
      <c r="E382" t="s">
        <v>57</v>
      </c>
      <c r="G382" t="s">
        <v>372</v>
      </c>
      <c r="I382" t="s">
        <v>225</v>
      </c>
      <c r="J382" t="s">
        <v>62</v>
      </c>
      <c r="L382" t="s">
        <v>222</v>
      </c>
    </row>
    <row r="383" spans="1:12" x14ac:dyDescent="0.25">
      <c r="A383" t="s">
        <v>207</v>
      </c>
      <c r="B383">
        <v>171</v>
      </c>
      <c r="C383" t="s">
        <v>21</v>
      </c>
      <c r="D383">
        <v>1</v>
      </c>
      <c r="E383" t="s">
        <v>57</v>
      </c>
      <c r="F383">
        <v>1</v>
      </c>
      <c r="G383" t="s">
        <v>372</v>
      </c>
      <c r="H383">
        <v>0</v>
      </c>
      <c r="I383" t="s">
        <v>225</v>
      </c>
      <c r="J383" t="s">
        <v>64</v>
      </c>
      <c r="L383" t="s">
        <v>222</v>
      </c>
    </row>
    <row r="384" spans="1:12" x14ac:dyDescent="0.25">
      <c r="A384" t="s">
        <v>207</v>
      </c>
      <c r="B384">
        <v>172</v>
      </c>
      <c r="C384" t="s">
        <v>21</v>
      </c>
      <c r="D384">
        <v>2</v>
      </c>
      <c r="E384" t="s">
        <v>57</v>
      </c>
      <c r="F384">
        <v>1</v>
      </c>
      <c r="G384" t="s">
        <v>372</v>
      </c>
      <c r="H384">
        <v>0</v>
      </c>
      <c r="I384" t="s">
        <v>225</v>
      </c>
      <c r="J384" t="s">
        <v>64</v>
      </c>
      <c r="L384" t="s">
        <v>222</v>
      </c>
    </row>
    <row r="385" spans="1:12" x14ac:dyDescent="0.25">
      <c r="A385" t="s">
        <v>207</v>
      </c>
      <c r="B385">
        <v>173</v>
      </c>
      <c r="C385" t="s">
        <v>21</v>
      </c>
      <c r="D385">
        <v>3</v>
      </c>
      <c r="E385" t="s">
        <v>57</v>
      </c>
      <c r="G385" t="s">
        <v>372</v>
      </c>
      <c r="I385" t="s">
        <v>225</v>
      </c>
      <c r="J385" t="s">
        <v>64</v>
      </c>
      <c r="L385" t="s">
        <v>222</v>
      </c>
    </row>
    <row r="386" spans="1:12" x14ac:dyDescent="0.25">
      <c r="A386" t="s">
        <v>207</v>
      </c>
      <c r="B386">
        <v>174</v>
      </c>
      <c r="C386" t="s">
        <v>24</v>
      </c>
      <c r="D386">
        <v>1</v>
      </c>
      <c r="E386" t="s">
        <v>57</v>
      </c>
      <c r="F386">
        <v>1</v>
      </c>
      <c r="G386" t="s">
        <v>372</v>
      </c>
      <c r="H386">
        <v>0</v>
      </c>
      <c r="I386" t="s">
        <v>225</v>
      </c>
      <c r="J386" t="s">
        <v>66</v>
      </c>
      <c r="L386" t="s">
        <v>222</v>
      </c>
    </row>
    <row r="387" spans="1:12" x14ac:dyDescent="0.25">
      <c r="A387" t="s">
        <v>207</v>
      </c>
      <c r="B387">
        <v>175</v>
      </c>
      <c r="C387" t="s">
        <v>24</v>
      </c>
      <c r="D387">
        <v>2</v>
      </c>
      <c r="E387" t="s">
        <v>57</v>
      </c>
      <c r="F387">
        <v>1</v>
      </c>
      <c r="G387" t="s">
        <v>372</v>
      </c>
      <c r="H387">
        <v>0</v>
      </c>
      <c r="I387" t="s">
        <v>225</v>
      </c>
      <c r="J387" t="s">
        <v>66</v>
      </c>
      <c r="L387" t="s">
        <v>222</v>
      </c>
    </row>
    <row r="388" spans="1:12" x14ac:dyDescent="0.25">
      <c r="A388" t="s">
        <v>207</v>
      </c>
      <c r="B388">
        <v>176</v>
      </c>
      <c r="C388" t="s">
        <v>24</v>
      </c>
      <c r="D388">
        <v>3</v>
      </c>
      <c r="E388" t="s">
        <v>57</v>
      </c>
      <c r="G388" t="s">
        <v>372</v>
      </c>
      <c r="I388" t="s">
        <v>225</v>
      </c>
      <c r="J388" t="s">
        <v>66</v>
      </c>
      <c r="L388" t="s">
        <v>222</v>
      </c>
    </row>
    <row r="389" spans="1:12" x14ac:dyDescent="0.25">
      <c r="A389" t="s">
        <v>207</v>
      </c>
      <c r="B389">
        <v>177</v>
      </c>
      <c r="C389" t="s">
        <v>27</v>
      </c>
      <c r="D389">
        <v>1</v>
      </c>
      <c r="E389" t="s">
        <v>57</v>
      </c>
      <c r="F389">
        <v>1</v>
      </c>
      <c r="G389" t="s">
        <v>372</v>
      </c>
      <c r="H389">
        <v>0</v>
      </c>
      <c r="I389" t="s">
        <v>225</v>
      </c>
      <c r="J389" t="s">
        <v>68</v>
      </c>
      <c r="L389" t="s">
        <v>222</v>
      </c>
    </row>
    <row r="390" spans="1:12" x14ac:dyDescent="0.25">
      <c r="A390" t="s">
        <v>207</v>
      </c>
      <c r="B390">
        <v>178</v>
      </c>
      <c r="C390" t="s">
        <v>27</v>
      </c>
      <c r="D390">
        <v>2</v>
      </c>
      <c r="E390" t="s">
        <v>57</v>
      </c>
      <c r="F390">
        <v>1</v>
      </c>
      <c r="G390" t="s">
        <v>372</v>
      </c>
      <c r="H390">
        <v>0</v>
      </c>
      <c r="I390" t="s">
        <v>225</v>
      </c>
      <c r="J390" t="s">
        <v>68</v>
      </c>
      <c r="L390" t="s">
        <v>222</v>
      </c>
    </row>
    <row r="391" spans="1:12" x14ac:dyDescent="0.25">
      <c r="A391" t="s">
        <v>207</v>
      </c>
      <c r="B391">
        <v>179</v>
      </c>
      <c r="C391" t="s">
        <v>27</v>
      </c>
      <c r="D391">
        <v>3</v>
      </c>
      <c r="E391" t="s">
        <v>57</v>
      </c>
      <c r="G391" t="s">
        <v>372</v>
      </c>
      <c r="I391" t="s">
        <v>225</v>
      </c>
      <c r="J391" t="s">
        <v>68</v>
      </c>
      <c r="L391" t="s">
        <v>222</v>
      </c>
    </row>
    <row r="392" spans="1:12" x14ac:dyDescent="0.25">
      <c r="A392" t="s">
        <v>207</v>
      </c>
      <c r="B392">
        <v>183</v>
      </c>
      <c r="C392" t="s">
        <v>12</v>
      </c>
      <c r="D392">
        <v>1</v>
      </c>
      <c r="E392" t="s">
        <v>95</v>
      </c>
      <c r="F392">
        <v>21</v>
      </c>
      <c r="G392" t="s">
        <v>372</v>
      </c>
      <c r="H392">
        <v>14</v>
      </c>
      <c r="I392" t="s">
        <v>135</v>
      </c>
      <c r="J392" t="s">
        <v>97</v>
      </c>
      <c r="K392" t="s">
        <v>137</v>
      </c>
      <c r="L392" t="s">
        <v>222</v>
      </c>
    </row>
    <row r="393" spans="1:12" x14ac:dyDescent="0.25">
      <c r="A393" t="s">
        <v>207</v>
      </c>
      <c r="B393">
        <v>184</v>
      </c>
      <c r="C393" t="s">
        <v>12</v>
      </c>
      <c r="D393">
        <v>2</v>
      </c>
      <c r="E393" t="s">
        <v>95</v>
      </c>
      <c r="F393">
        <v>1</v>
      </c>
      <c r="G393" t="s">
        <v>372</v>
      </c>
      <c r="H393">
        <v>0</v>
      </c>
      <c r="I393" t="s">
        <v>135</v>
      </c>
      <c r="J393" t="s">
        <v>97</v>
      </c>
      <c r="K393" t="s">
        <v>137</v>
      </c>
      <c r="L393" t="s">
        <v>222</v>
      </c>
    </row>
    <row r="394" spans="1:12" x14ac:dyDescent="0.25">
      <c r="A394" t="s">
        <v>207</v>
      </c>
      <c r="B394">
        <v>185</v>
      </c>
      <c r="C394" t="s">
        <v>12</v>
      </c>
      <c r="D394">
        <v>3</v>
      </c>
      <c r="E394" t="s">
        <v>95</v>
      </c>
      <c r="G394" t="s">
        <v>372</v>
      </c>
      <c r="I394" t="s">
        <v>135</v>
      </c>
      <c r="J394" t="s">
        <v>97</v>
      </c>
      <c r="K394" t="s">
        <v>137</v>
      </c>
      <c r="L394" t="s">
        <v>222</v>
      </c>
    </row>
    <row r="395" spans="1:12" x14ac:dyDescent="0.25">
      <c r="A395" t="s">
        <v>207</v>
      </c>
      <c r="B395">
        <v>186</v>
      </c>
      <c r="C395" t="s">
        <v>18</v>
      </c>
      <c r="D395">
        <v>1</v>
      </c>
      <c r="E395" t="s">
        <v>95</v>
      </c>
      <c r="F395">
        <v>21</v>
      </c>
      <c r="G395" t="s">
        <v>372</v>
      </c>
      <c r="H395">
        <v>15</v>
      </c>
      <c r="I395" t="s">
        <v>135</v>
      </c>
      <c r="J395" t="s">
        <v>100</v>
      </c>
      <c r="K395" t="s">
        <v>140</v>
      </c>
      <c r="L395" t="s">
        <v>222</v>
      </c>
    </row>
    <row r="396" spans="1:12" x14ac:dyDescent="0.25">
      <c r="A396" t="s">
        <v>207</v>
      </c>
      <c r="B396">
        <v>187</v>
      </c>
      <c r="C396" t="s">
        <v>18</v>
      </c>
      <c r="D396">
        <v>2</v>
      </c>
      <c r="E396" t="s">
        <v>95</v>
      </c>
      <c r="F396">
        <v>1</v>
      </c>
      <c r="G396" t="s">
        <v>372</v>
      </c>
      <c r="H396">
        <v>0</v>
      </c>
      <c r="I396" t="s">
        <v>135</v>
      </c>
      <c r="J396" t="s">
        <v>100</v>
      </c>
      <c r="K396" t="s">
        <v>140</v>
      </c>
      <c r="L396" t="s">
        <v>222</v>
      </c>
    </row>
    <row r="397" spans="1:12" x14ac:dyDescent="0.25">
      <c r="A397" t="s">
        <v>207</v>
      </c>
      <c r="B397">
        <v>188</v>
      </c>
      <c r="C397" t="s">
        <v>18</v>
      </c>
      <c r="D397">
        <v>3</v>
      </c>
      <c r="E397" t="s">
        <v>95</v>
      </c>
      <c r="G397" t="s">
        <v>372</v>
      </c>
      <c r="I397" t="s">
        <v>135</v>
      </c>
      <c r="J397" t="s">
        <v>100</v>
      </c>
      <c r="K397" t="s">
        <v>140</v>
      </c>
      <c r="L397" t="s">
        <v>222</v>
      </c>
    </row>
    <row r="398" spans="1:12" x14ac:dyDescent="0.25">
      <c r="A398" t="s">
        <v>207</v>
      </c>
      <c r="B398">
        <v>189</v>
      </c>
      <c r="C398" t="s">
        <v>21</v>
      </c>
      <c r="D398">
        <v>1</v>
      </c>
      <c r="E398" t="s">
        <v>95</v>
      </c>
      <c r="F398">
        <v>21</v>
      </c>
      <c r="G398" t="s">
        <v>372</v>
      </c>
      <c r="H398">
        <v>15</v>
      </c>
      <c r="I398" t="s">
        <v>135</v>
      </c>
      <c r="J398" t="s">
        <v>102</v>
      </c>
      <c r="K398" t="s">
        <v>142</v>
      </c>
      <c r="L398" t="s">
        <v>222</v>
      </c>
    </row>
    <row r="399" spans="1:12" x14ac:dyDescent="0.25">
      <c r="A399" t="s">
        <v>207</v>
      </c>
      <c r="B399">
        <v>190</v>
      </c>
      <c r="C399" t="s">
        <v>21</v>
      </c>
      <c r="D399">
        <v>2</v>
      </c>
      <c r="E399" t="s">
        <v>95</v>
      </c>
      <c r="F399">
        <v>1</v>
      </c>
      <c r="G399" t="s">
        <v>372</v>
      </c>
      <c r="H399">
        <v>0</v>
      </c>
      <c r="I399" t="s">
        <v>135</v>
      </c>
      <c r="J399" t="s">
        <v>102</v>
      </c>
      <c r="K399" t="s">
        <v>142</v>
      </c>
      <c r="L399" t="s">
        <v>222</v>
      </c>
    </row>
    <row r="400" spans="1:12" x14ac:dyDescent="0.25">
      <c r="A400" t="s">
        <v>207</v>
      </c>
      <c r="B400">
        <v>191</v>
      </c>
      <c r="C400" t="s">
        <v>21</v>
      </c>
      <c r="D400">
        <v>3</v>
      </c>
      <c r="E400" t="s">
        <v>95</v>
      </c>
      <c r="G400" t="s">
        <v>372</v>
      </c>
      <c r="I400" t="s">
        <v>135</v>
      </c>
      <c r="J400" t="s">
        <v>102</v>
      </c>
      <c r="K400" t="s">
        <v>142</v>
      </c>
      <c r="L400" t="s">
        <v>222</v>
      </c>
    </row>
    <row r="401" spans="1:12" x14ac:dyDescent="0.25">
      <c r="A401" t="s">
        <v>207</v>
      </c>
      <c r="B401">
        <v>192</v>
      </c>
      <c r="C401" t="s">
        <v>24</v>
      </c>
      <c r="D401">
        <v>1</v>
      </c>
      <c r="E401" t="s">
        <v>95</v>
      </c>
      <c r="F401">
        <v>21</v>
      </c>
      <c r="G401" t="s">
        <v>372</v>
      </c>
      <c r="H401">
        <v>14</v>
      </c>
      <c r="I401" t="s">
        <v>135</v>
      </c>
      <c r="J401" t="s">
        <v>104</v>
      </c>
      <c r="K401" t="s">
        <v>144</v>
      </c>
      <c r="L401" t="s">
        <v>222</v>
      </c>
    </row>
    <row r="402" spans="1:12" x14ac:dyDescent="0.25">
      <c r="A402" t="s">
        <v>207</v>
      </c>
      <c r="B402">
        <v>193</v>
      </c>
      <c r="C402" t="s">
        <v>24</v>
      </c>
      <c r="D402">
        <v>2</v>
      </c>
      <c r="E402" t="s">
        <v>95</v>
      </c>
      <c r="F402">
        <v>1</v>
      </c>
      <c r="G402" t="s">
        <v>372</v>
      </c>
      <c r="H402">
        <v>0</v>
      </c>
      <c r="I402" t="s">
        <v>135</v>
      </c>
      <c r="J402" t="s">
        <v>104</v>
      </c>
      <c r="K402" t="s">
        <v>144</v>
      </c>
      <c r="L402" t="s">
        <v>222</v>
      </c>
    </row>
    <row r="403" spans="1:12" x14ac:dyDescent="0.25">
      <c r="A403" t="s">
        <v>207</v>
      </c>
      <c r="B403">
        <v>194</v>
      </c>
      <c r="C403" t="s">
        <v>24</v>
      </c>
      <c r="D403">
        <v>3</v>
      </c>
      <c r="E403" t="s">
        <v>95</v>
      </c>
      <c r="G403" t="s">
        <v>372</v>
      </c>
      <c r="I403" t="s">
        <v>135</v>
      </c>
      <c r="J403" t="s">
        <v>104</v>
      </c>
      <c r="K403" t="s">
        <v>144</v>
      </c>
      <c r="L403" t="s">
        <v>222</v>
      </c>
    </row>
    <row r="404" spans="1:12" x14ac:dyDescent="0.25">
      <c r="A404" t="s">
        <v>207</v>
      </c>
      <c r="B404">
        <v>195</v>
      </c>
      <c r="C404" t="s">
        <v>27</v>
      </c>
      <c r="D404">
        <v>1</v>
      </c>
      <c r="E404" t="s">
        <v>95</v>
      </c>
      <c r="F404">
        <v>1</v>
      </c>
      <c r="G404" t="s">
        <v>372</v>
      </c>
      <c r="H404">
        <v>0</v>
      </c>
      <c r="I404" t="s">
        <v>135</v>
      </c>
      <c r="J404" t="s">
        <v>106</v>
      </c>
      <c r="L404" t="s">
        <v>222</v>
      </c>
    </row>
    <row r="405" spans="1:12" x14ac:dyDescent="0.25">
      <c r="A405" t="s">
        <v>207</v>
      </c>
      <c r="B405">
        <v>196</v>
      </c>
      <c r="C405" t="s">
        <v>27</v>
      </c>
      <c r="D405">
        <v>2</v>
      </c>
      <c r="E405" t="s">
        <v>95</v>
      </c>
      <c r="F405">
        <v>1</v>
      </c>
      <c r="G405" t="s">
        <v>372</v>
      </c>
      <c r="H405">
        <v>0</v>
      </c>
      <c r="I405" t="s">
        <v>135</v>
      </c>
      <c r="J405" t="s">
        <v>106</v>
      </c>
      <c r="L405" t="s">
        <v>222</v>
      </c>
    </row>
    <row r="406" spans="1:12" x14ac:dyDescent="0.25">
      <c r="A406" t="s">
        <v>207</v>
      </c>
      <c r="B406">
        <v>197</v>
      </c>
      <c r="C406" t="s">
        <v>27</v>
      </c>
      <c r="D406">
        <v>3</v>
      </c>
      <c r="E406" t="s">
        <v>95</v>
      </c>
      <c r="G406" t="s">
        <v>372</v>
      </c>
      <c r="I406" t="s">
        <v>135</v>
      </c>
      <c r="J406" t="s">
        <v>106</v>
      </c>
      <c r="L406" t="s">
        <v>222</v>
      </c>
    </row>
    <row r="407" spans="1:12" x14ac:dyDescent="0.25">
      <c r="A407" t="s">
        <v>207</v>
      </c>
      <c r="B407">
        <v>201</v>
      </c>
      <c r="C407" t="s">
        <v>12</v>
      </c>
      <c r="D407">
        <v>1</v>
      </c>
      <c r="E407" t="s">
        <v>82</v>
      </c>
      <c r="F407">
        <v>21</v>
      </c>
      <c r="G407" t="s">
        <v>372</v>
      </c>
      <c r="H407">
        <v>12</v>
      </c>
      <c r="I407" t="s">
        <v>134</v>
      </c>
      <c r="J407" t="s">
        <v>84</v>
      </c>
      <c r="K407" t="s">
        <v>136</v>
      </c>
      <c r="L407" t="s">
        <v>222</v>
      </c>
    </row>
    <row r="408" spans="1:12" x14ac:dyDescent="0.25">
      <c r="A408" t="s">
        <v>207</v>
      </c>
      <c r="B408">
        <v>202</v>
      </c>
      <c r="C408" t="s">
        <v>12</v>
      </c>
      <c r="D408">
        <v>2</v>
      </c>
      <c r="E408" t="s">
        <v>82</v>
      </c>
      <c r="F408">
        <v>1</v>
      </c>
      <c r="G408" t="s">
        <v>372</v>
      </c>
      <c r="H408">
        <v>0</v>
      </c>
      <c r="I408" t="s">
        <v>134</v>
      </c>
      <c r="J408" t="s">
        <v>84</v>
      </c>
      <c r="K408" t="s">
        <v>136</v>
      </c>
      <c r="L408" t="s">
        <v>222</v>
      </c>
    </row>
    <row r="409" spans="1:12" x14ac:dyDescent="0.25">
      <c r="A409" t="s">
        <v>207</v>
      </c>
      <c r="B409">
        <v>203</v>
      </c>
      <c r="C409" t="s">
        <v>12</v>
      </c>
      <c r="D409">
        <v>3</v>
      </c>
      <c r="E409" t="s">
        <v>82</v>
      </c>
      <c r="G409" t="s">
        <v>372</v>
      </c>
      <c r="I409" t="s">
        <v>134</v>
      </c>
      <c r="J409" t="s">
        <v>84</v>
      </c>
      <c r="K409" t="s">
        <v>136</v>
      </c>
      <c r="L409" t="s">
        <v>222</v>
      </c>
    </row>
    <row r="410" spans="1:12" x14ac:dyDescent="0.25">
      <c r="A410" t="s">
        <v>207</v>
      </c>
      <c r="B410">
        <v>204</v>
      </c>
      <c r="C410" t="s">
        <v>18</v>
      </c>
      <c r="D410">
        <v>1</v>
      </c>
      <c r="E410" t="s">
        <v>82</v>
      </c>
      <c r="F410">
        <v>21</v>
      </c>
      <c r="G410" t="s">
        <v>372</v>
      </c>
      <c r="H410">
        <v>8</v>
      </c>
      <c r="I410" t="s">
        <v>134</v>
      </c>
      <c r="J410" t="s">
        <v>87</v>
      </c>
      <c r="K410" t="s">
        <v>139</v>
      </c>
      <c r="L410" t="s">
        <v>222</v>
      </c>
    </row>
    <row r="411" spans="1:12" x14ac:dyDescent="0.25">
      <c r="A411" t="s">
        <v>207</v>
      </c>
      <c r="B411">
        <v>205</v>
      </c>
      <c r="C411" t="s">
        <v>18</v>
      </c>
      <c r="D411">
        <v>2</v>
      </c>
      <c r="E411" t="s">
        <v>82</v>
      </c>
      <c r="F411">
        <v>1</v>
      </c>
      <c r="G411" t="s">
        <v>372</v>
      </c>
      <c r="H411">
        <v>0</v>
      </c>
      <c r="I411" t="s">
        <v>134</v>
      </c>
      <c r="J411" t="s">
        <v>87</v>
      </c>
      <c r="K411" t="s">
        <v>139</v>
      </c>
      <c r="L411" t="s">
        <v>222</v>
      </c>
    </row>
    <row r="412" spans="1:12" x14ac:dyDescent="0.25">
      <c r="A412" t="s">
        <v>207</v>
      </c>
      <c r="B412">
        <v>206</v>
      </c>
      <c r="C412" t="s">
        <v>18</v>
      </c>
      <c r="D412">
        <v>3</v>
      </c>
      <c r="E412" t="s">
        <v>82</v>
      </c>
      <c r="G412" t="s">
        <v>372</v>
      </c>
      <c r="I412" t="s">
        <v>134</v>
      </c>
      <c r="J412" t="s">
        <v>87</v>
      </c>
      <c r="K412" t="s">
        <v>139</v>
      </c>
      <c r="L412" t="s">
        <v>222</v>
      </c>
    </row>
    <row r="413" spans="1:12" x14ac:dyDescent="0.25">
      <c r="A413" t="s">
        <v>207</v>
      </c>
      <c r="B413">
        <v>207</v>
      </c>
      <c r="C413" t="s">
        <v>21</v>
      </c>
      <c r="D413">
        <v>1</v>
      </c>
      <c r="E413" t="s">
        <v>82</v>
      </c>
      <c r="F413">
        <v>21</v>
      </c>
      <c r="G413" t="s">
        <v>372</v>
      </c>
      <c r="H413">
        <v>10</v>
      </c>
      <c r="I413" t="s">
        <v>134</v>
      </c>
      <c r="J413" t="s">
        <v>89</v>
      </c>
      <c r="K413" t="s">
        <v>141</v>
      </c>
      <c r="L413" t="s">
        <v>222</v>
      </c>
    </row>
    <row r="414" spans="1:12" x14ac:dyDescent="0.25">
      <c r="A414" t="s">
        <v>207</v>
      </c>
      <c r="B414">
        <v>208</v>
      </c>
      <c r="C414" t="s">
        <v>21</v>
      </c>
      <c r="D414">
        <v>2</v>
      </c>
      <c r="E414" t="s">
        <v>82</v>
      </c>
      <c r="F414">
        <v>1</v>
      </c>
      <c r="G414" t="s">
        <v>372</v>
      </c>
      <c r="H414">
        <v>0</v>
      </c>
      <c r="I414" t="s">
        <v>134</v>
      </c>
      <c r="J414" t="s">
        <v>89</v>
      </c>
      <c r="K414" t="s">
        <v>141</v>
      </c>
      <c r="L414" t="s">
        <v>222</v>
      </c>
    </row>
    <row r="415" spans="1:12" x14ac:dyDescent="0.25">
      <c r="A415" t="s">
        <v>207</v>
      </c>
      <c r="B415">
        <v>209</v>
      </c>
      <c r="C415" t="s">
        <v>21</v>
      </c>
      <c r="D415">
        <v>3</v>
      </c>
      <c r="E415" t="s">
        <v>82</v>
      </c>
      <c r="G415" t="s">
        <v>372</v>
      </c>
      <c r="I415" t="s">
        <v>134</v>
      </c>
      <c r="J415" t="s">
        <v>89</v>
      </c>
      <c r="K415" t="s">
        <v>141</v>
      </c>
      <c r="L415" t="s">
        <v>222</v>
      </c>
    </row>
    <row r="416" spans="1:12" x14ac:dyDescent="0.25">
      <c r="A416" t="s">
        <v>207</v>
      </c>
      <c r="B416">
        <v>210</v>
      </c>
      <c r="C416" t="s">
        <v>24</v>
      </c>
      <c r="D416">
        <v>1</v>
      </c>
      <c r="E416" t="s">
        <v>82</v>
      </c>
      <c r="F416">
        <v>21</v>
      </c>
      <c r="G416" t="s">
        <v>372</v>
      </c>
      <c r="H416">
        <v>15</v>
      </c>
      <c r="I416" t="s">
        <v>134</v>
      </c>
      <c r="J416" t="s">
        <v>91</v>
      </c>
      <c r="K416" t="s">
        <v>143</v>
      </c>
      <c r="L416" t="s">
        <v>222</v>
      </c>
    </row>
    <row r="417" spans="1:12" x14ac:dyDescent="0.25">
      <c r="A417" t="s">
        <v>207</v>
      </c>
      <c r="B417">
        <v>211</v>
      </c>
      <c r="C417" t="s">
        <v>24</v>
      </c>
      <c r="D417">
        <v>2</v>
      </c>
      <c r="E417" t="s">
        <v>82</v>
      </c>
      <c r="F417">
        <v>1</v>
      </c>
      <c r="G417" t="s">
        <v>372</v>
      </c>
      <c r="H417">
        <v>0</v>
      </c>
      <c r="I417" t="s">
        <v>134</v>
      </c>
      <c r="J417" t="s">
        <v>91</v>
      </c>
      <c r="K417" t="s">
        <v>143</v>
      </c>
      <c r="L417" t="s">
        <v>222</v>
      </c>
    </row>
    <row r="418" spans="1:12" x14ac:dyDescent="0.25">
      <c r="A418" t="s">
        <v>207</v>
      </c>
      <c r="B418">
        <v>212</v>
      </c>
      <c r="C418" t="s">
        <v>24</v>
      </c>
      <c r="D418">
        <v>3</v>
      </c>
      <c r="E418" t="s">
        <v>82</v>
      </c>
      <c r="G418" t="s">
        <v>372</v>
      </c>
      <c r="I418" t="s">
        <v>134</v>
      </c>
      <c r="J418" t="s">
        <v>91</v>
      </c>
      <c r="K418" t="s">
        <v>143</v>
      </c>
      <c r="L418" t="s">
        <v>222</v>
      </c>
    </row>
    <row r="419" spans="1:12" x14ac:dyDescent="0.25">
      <c r="A419" t="s">
        <v>207</v>
      </c>
      <c r="B419">
        <v>213</v>
      </c>
      <c r="C419" t="s">
        <v>27</v>
      </c>
      <c r="D419">
        <v>1</v>
      </c>
      <c r="E419" t="s">
        <v>82</v>
      </c>
      <c r="F419">
        <v>21</v>
      </c>
      <c r="G419" t="s">
        <v>372</v>
      </c>
      <c r="H419">
        <v>14</v>
      </c>
      <c r="I419" t="s">
        <v>134</v>
      </c>
      <c r="J419" t="s">
        <v>93</v>
      </c>
      <c r="K419" t="s">
        <v>145</v>
      </c>
      <c r="L419" t="s">
        <v>222</v>
      </c>
    </row>
    <row r="420" spans="1:12" x14ac:dyDescent="0.25">
      <c r="A420" t="s">
        <v>207</v>
      </c>
      <c r="B420">
        <v>214</v>
      </c>
      <c r="C420" t="s">
        <v>27</v>
      </c>
      <c r="D420">
        <v>2</v>
      </c>
      <c r="E420" t="s">
        <v>82</v>
      </c>
      <c r="F420">
        <v>1</v>
      </c>
      <c r="G420" t="s">
        <v>372</v>
      </c>
      <c r="H420">
        <v>0</v>
      </c>
      <c r="I420" t="s">
        <v>134</v>
      </c>
      <c r="J420" t="s">
        <v>93</v>
      </c>
      <c r="K420" t="s">
        <v>145</v>
      </c>
      <c r="L420" t="s">
        <v>222</v>
      </c>
    </row>
    <row r="421" spans="1:12" x14ac:dyDescent="0.25">
      <c r="A421" t="s">
        <v>207</v>
      </c>
      <c r="B421">
        <v>215</v>
      </c>
      <c r="C421" t="s">
        <v>27</v>
      </c>
      <c r="D421">
        <v>3</v>
      </c>
      <c r="E421" t="s">
        <v>82</v>
      </c>
      <c r="G421" t="s">
        <v>372</v>
      </c>
      <c r="I421" t="s">
        <v>134</v>
      </c>
      <c r="J421" t="s">
        <v>93</v>
      </c>
      <c r="K421" t="s">
        <v>145</v>
      </c>
      <c r="L421" t="s">
        <v>222</v>
      </c>
    </row>
    <row r="422" spans="1:12" x14ac:dyDescent="0.25">
      <c r="A422" t="s">
        <v>207</v>
      </c>
      <c r="B422">
        <v>219</v>
      </c>
      <c r="C422" t="s">
        <v>12</v>
      </c>
      <c r="D422">
        <v>1</v>
      </c>
      <c r="E422" t="s">
        <v>56</v>
      </c>
      <c r="F422">
        <v>21</v>
      </c>
      <c r="G422" t="s">
        <v>372</v>
      </c>
      <c r="H422">
        <v>16</v>
      </c>
      <c r="I422" t="s">
        <v>122</v>
      </c>
      <c r="J422" t="s">
        <v>58</v>
      </c>
      <c r="K422" t="s">
        <v>124</v>
      </c>
      <c r="L422" t="s">
        <v>222</v>
      </c>
    </row>
    <row r="423" spans="1:12" x14ac:dyDescent="0.25">
      <c r="A423" t="s">
        <v>207</v>
      </c>
      <c r="B423">
        <v>220</v>
      </c>
      <c r="C423" t="s">
        <v>12</v>
      </c>
      <c r="D423">
        <v>2</v>
      </c>
      <c r="E423" t="s">
        <v>56</v>
      </c>
      <c r="F423">
        <v>1</v>
      </c>
      <c r="G423" t="s">
        <v>372</v>
      </c>
      <c r="H423">
        <v>0</v>
      </c>
      <c r="I423" t="s">
        <v>122</v>
      </c>
      <c r="J423" t="s">
        <v>58</v>
      </c>
      <c r="K423" t="s">
        <v>124</v>
      </c>
      <c r="L423" t="s">
        <v>222</v>
      </c>
    </row>
    <row r="424" spans="1:12" x14ac:dyDescent="0.25">
      <c r="A424" t="s">
        <v>207</v>
      </c>
      <c r="B424">
        <v>221</v>
      </c>
      <c r="C424" t="s">
        <v>12</v>
      </c>
      <c r="D424">
        <v>3</v>
      </c>
      <c r="E424" t="s">
        <v>56</v>
      </c>
      <c r="G424" t="s">
        <v>372</v>
      </c>
      <c r="I424" t="s">
        <v>122</v>
      </c>
      <c r="J424" t="s">
        <v>58</v>
      </c>
      <c r="K424" t="s">
        <v>124</v>
      </c>
      <c r="L424" t="s">
        <v>222</v>
      </c>
    </row>
    <row r="425" spans="1:12" x14ac:dyDescent="0.25">
      <c r="A425" t="s">
        <v>207</v>
      </c>
      <c r="B425">
        <v>222</v>
      </c>
      <c r="C425" t="s">
        <v>18</v>
      </c>
      <c r="D425">
        <v>1</v>
      </c>
      <c r="E425" t="s">
        <v>56</v>
      </c>
      <c r="F425">
        <v>24</v>
      </c>
      <c r="G425" t="s">
        <v>372</v>
      </c>
      <c r="H425">
        <v>25</v>
      </c>
      <c r="I425" t="s">
        <v>122</v>
      </c>
      <c r="J425" t="s">
        <v>61</v>
      </c>
      <c r="K425" t="s">
        <v>127</v>
      </c>
      <c r="L425" t="s">
        <v>222</v>
      </c>
    </row>
    <row r="426" spans="1:12" x14ac:dyDescent="0.25">
      <c r="A426" t="s">
        <v>207</v>
      </c>
      <c r="B426">
        <v>223</v>
      </c>
      <c r="C426" t="s">
        <v>18</v>
      </c>
      <c r="D426">
        <v>2</v>
      </c>
      <c r="E426" t="s">
        <v>56</v>
      </c>
      <c r="F426">
        <v>0</v>
      </c>
      <c r="G426" t="s">
        <v>372</v>
      </c>
      <c r="H426">
        <v>1</v>
      </c>
      <c r="I426" t="s">
        <v>122</v>
      </c>
      <c r="J426" t="s">
        <v>61</v>
      </c>
      <c r="K426" t="s">
        <v>127</v>
      </c>
      <c r="L426" t="s">
        <v>222</v>
      </c>
    </row>
    <row r="427" spans="1:12" x14ac:dyDescent="0.25">
      <c r="A427" t="s">
        <v>207</v>
      </c>
      <c r="B427">
        <v>224</v>
      </c>
      <c r="C427" t="s">
        <v>18</v>
      </c>
      <c r="D427">
        <v>3</v>
      </c>
      <c r="E427" t="s">
        <v>56</v>
      </c>
      <c r="G427" t="s">
        <v>372</v>
      </c>
      <c r="I427" t="s">
        <v>122</v>
      </c>
      <c r="J427" t="s">
        <v>61</v>
      </c>
      <c r="K427" t="s">
        <v>127</v>
      </c>
      <c r="L427" t="s">
        <v>222</v>
      </c>
    </row>
    <row r="428" spans="1:12" x14ac:dyDescent="0.25">
      <c r="A428" t="s">
        <v>207</v>
      </c>
      <c r="B428">
        <v>225</v>
      </c>
      <c r="C428" t="s">
        <v>21</v>
      </c>
      <c r="D428">
        <v>1</v>
      </c>
      <c r="E428" t="s">
        <v>56</v>
      </c>
      <c r="F428">
        <v>21</v>
      </c>
      <c r="G428" t="s">
        <v>372</v>
      </c>
      <c r="H428">
        <v>12</v>
      </c>
      <c r="I428" t="s">
        <v>122</v>
      </c>
      <c r="J428" t="s">
        <v>63</v>
      </c>
      <c r="K428" t="s">
        <v>129</v>
      </c>
      <c r="L428" t="s">
        <v>222</v>
      </c>
    </row>
    <row r="429" spans="1:12" x14ac:dyDescent="0.25">
      <c r="A429" t="s">
        <v>207</v>
      </c>
      <c r="B429">
        <v>226</v>
      </c>
      <c r="C429" t="s">
        <v>21</v>
      </c>
      <c r="D429">
        <v>2</v>
      </c>
      <c r="E429" t="s">
        <v>56</v>
      </c>
      <c r="F429">
        <v>1</v>
      </c>
      <c r="G429" t="s">
        <v>372</v>
      </c>
      <c r="H429">
        <v>0</v>
      </c>
      <c r="I429" t="s">
        <v>122</v>
      </c>
      <c r="J429" t="s">
        <v>63</v>
      </c>
      <c r="K429" t="s">
        <v>129</v>
      </c>
      <c r="L429" t="s">
        <v>222</v>
      </c>
    </row>
    <row r="430" spans="1:12" x14ac:dyDescent="0.25">
      <c r="A430" t="s">
        <v>207</v>
      </c>
      <c r="B430">
        <v>227</v>
      </c>
      <c r="C430" t="s">
        <v>21</v>
      </c>
      <c r="D430">
        <v>3</v>
      </c>
      <c r="E430" t="s">
        <v>56</v>
      </c>
      <c r="G430" t="s">
        <v>372</v>
      </c>
      <c r="I430" t="s">
        <v>122</v>
      </c>
      <c r="J430" t="s">
        <v>63</v>
      </c>
      <c r="K430" t="s">
        <v>129</v>
      </c>
      <c r="L430" t="s">
        <v>222</v>
      </c>
    </row>
    <row r="431" spans="1:12" x14ac:dyDescent="0.25">
      <c r="A431" t="s">
        <v>207</v>
      </c>
      <c r="B431">
        <v>228</v>
      </c>
      <c r="C431" t="s">
        <v>24</v>
      </c>
      <c r="D431">
        <v>1</v>
      </c>
      <c r="E431" t="s">
        <v>56</v>
      </c>
      <c r="F431">
        <v>21</v>
      </c>
      <c r="G431" t="s">
        <v>372</v>
      </c>
      <c r="H431">
        <v>16</v>
      </c>
      <c r="I431" t="s">
        <v>122</v>
      </c>
      <c r="J431" t="s">
        <v>65</v>
      </c>
      <c r="K431" t="s">
        <v>131</v>
      </c>
      <c r="L431" t="s">
        <v>222</v>
      </c>
    </row>
    <row r="432" spans="1:12" x14ac:dyDescent="0.25">
      <c r="A432" t="s">
        <v>207</v>
      </c>
      <c r="B432">
        <v>229</v>
      </c>
      <c r="C432" t="s">
        <v>24</v>
      </c>
      <c r="D432">
        <v>2</v>
      </c>
      <c r="E432" t="s">
        <v>56</v>
      </c>
      <c r="F432">
        <v>1</v>
      </c>
      <c r="G432" t="s">
        <v>372</v>
      </c>
      <c r="H432">
        <v>0</v>
      </c>
      <c r="I432" t="s">
        <v>122</v>
      </c>
      <c r="J432" t="s">
        <v>65</v>
      </c>
      <c r="K432" t="s">
        <v>131</v>
      </c>
      <c r="L432" t="s">
        <v>222</v>
      </c>
    </row>
    <row r="433" spans="1:12" x14ac:dyDescent="0.25">
      <c r="A433" t="s">
        <v>207</v>
      </c>
      <c r="B433">
        <v>230</v>
      </c>
      <c r="C433" t="s">
        <v>24</v>
      </c>
      <c r="D433">
        <v>3</v>
      </c>
      <c r="E433" t="s">
        <v>56</v>
      </c>
      <c r="G433" t="s">
        <v>372</v>
      </c>
      <c r="I433" t="s">
        <v>122</v>
      </c>
      <c r="J433" t="s">
        <v>65</v>
      </c>
      <c r="K433" t="s">
        <v>131</v>
      </c>
      <c r="L433" t="s">
        <v>222</v>
      </c>
    </row>
    <row r="434" spans="1:12" x14ac:dyDescent="0.25">
      <c r="A434" t="s">
        <v>207</v>
      </c>
      <c r="B434">
        <v>231</v>
      </c>
      <c r="C434" t="s">
        <v>27</v>
      </c>
      <c r="D434">
        <v>1</v>
      </c>
      <c r="E434" t="s">
        <v>56</v>
      </c>
      <c r="F434">
        <v>21</v>
      </c>
      <c r="G434" t="s">
        <v>372</v>
      </c>
      <c r="H434">
        <v>15</v>
      </c>
      <c r="I434" t="s">
        <v>122</v>
      </c>
      <c r="J434" t="s">
        <v>67</v>
      </c>
      <c r="K434" t="s">
        <v>133</v>
      </c>
      <c r="L434" t="s">
        <v>222</v>
      </c>
    </row>
    <row r="435" spans="1:12" x14ac:dyDescent="0.25">
      <c r="A435" t="s">
        <v>207</v>
      </c>
      <c r="B435">
        <v>232</v>
      </c>
      <c r="C435" t="s">
        <v>27</v>
      </c>
      <c r="D435">
        <v>2</v>
      </c>
      <c r="E435" t="s">
        <v>56</v>
      </c>
      <c r="F435">
        <v>1</v>
      </c>
      <c r="G435" t="s">
        <v>372</v>
      </c>
      <c r="H435">
        <v>0</v>
      </c>
      <c r="I435" t="s">
        <v>122</v>
      </c>
      <c r="J435" t="s">
        <v>67</v>
      </c>
      <c r="K435" t="s">
        <v>133</v>
      </c>
      <c r="L435" t="s">
        <v>222</v>
      </c>
    </row>
    <row r="436" spans="1:12" x14ac:dyDescent="0.25">
      <c r="A436" t="s">
        <v>207</v>
      </c>
      <c r="B436">
        <v>233</v>
      </c>
      <c r="C436" t="s">
        <v>27</v>
      </c>
      <c r="D436">
        <v>3</v>
      </c>
      <c r="E436" t="s">
        <v>56</v>
      </c>
      <c r="G436" t="s">
        <v>372</v>
      </c>
      <c r="I436" t="s">
        <v>122</v>
      </c>
      <c r="J436" t="s">
        <v>67</v>
      </c>
      <c r="K436" t="s">
        <v>133</v>
      </c>
      <c r="L436" t="s">
        <v>222</v>
      </c>
    </row>
    <row r="437" spans="1:12" x14ac:dyDescent="0.25">
      <c r="A437" t="s">
        <v>207</v>
      </c>
      <c r="B437">
        <v>237</v>
      </c>
      <c r="C437" t="s">
        <v>12</v>
      </c>
      <c r="D437">
        <v>1</v>
      </c>
      <c r="E437" t="s">
        <v>69</v>
      </c>
      <c r="F437">
        <v>21</v>
      </c>
      <c r="G437" t="s">
        <v>372</v>
      </c>
      <c r="H437">
        <v>16</v>
      </c>
      <c r="I437" t="s">
        <v>109</v>
      </c>
      <c r="J437" t="s">
        <v>71</v>
      </c>
      <c r="K437" t="s">
        <v>111</v>
      </c>
      <c r="L437" t="s">
        <v>222</v>
      </c>
    </row>
    <row r="438" spans="1:12" x14ac:dyDescent="0.25">
      <c r="A438" t="s">
        <v>207</v>
      </c>
      <c r="B438">
        <v>238</v>
      </c>
      <c r="C438" t="s">
        <v>12</v>
      </c>
      <c r="D438">
        <v>2</v>
      </c>
      <c r="E438" t="s">
        <v>69</v>
      </c>
      <c r="F438">
        <v>1</v>
      </c>
      <c r="G438" t="s">
        <v>372</v>
      </c>
      <c r="H438">
        <v>0</v>
      </c>
      <c r="I438" t="s">
        <v>109</v>
      </c>
      <c r="J438" t="s">
        <v>71</v>
      </c>
      <c r="K438" t="s">
        <v>111</v>
      </c>
      <c r="L438" t="s">
        <v>222</v>
      </c>
    </row>
    <row r="439" spans="1:12" x14ac:dyDescent="0.25">
      <c r="A439" t="s">
        <v>207</v>
      </c>
      <c r="B439">
        <v>239</v>
      </c>
      <c r="C439" t="s">
        <v>12</v>
      </c>
      <c r="D439">
        <v>3</v>
      </c>
      <c r="E439" t="s">
        <v>69</v>
      </c>
      <c r="G439" t="s">
        <v>372</v>
      </c>
      <c r="I439" t="s">
        <v>109</v>
      </c>
      <c r="J439" t="s">
        <v>71</v>
      </c>
      <c r="K439" t="s">
        <v>111</v>
      </c>
      <c r="L439" t="s">
        <v>222</v>
      </c>
    </row>
    <row r="440" spans="1:12" x14ac:dyDescent="0.25">
      <c r="A440" t="s">
        <v>207</v>
      </c>
      <c r="B440">
        <v>240</v>
      </c>
      <c r="C440" t="s">
        <v>18</v>
      </c>
      <c r="D440">
        <v>1</v>
      </c>
      <c r="E440" t="s">
        <v>69</v>
      </c>
      <c r="F440">
        <v>17</v>
      </c>
      <c r="G440" t="s">
        <v>372</v>
      </c>
      <c r="H440">
        <v>21</v>
      </c>
      <c r="I440" t="s">
        <v>109</v>
      </c>
      <c r="J440" t="s">
        <v>74</v>
      </c>
      <c r="K440" t="s">
        <v>114</v>
      </c>
      <c r="L440" t="s">
        <v>222</v>
      </c>
    </row>
    <row r="441" spans="1:12" x14ac:dyDescent="0.25">
      <c r="A441" t="s">
        <v>207</v>
      </c>
      <c r="B441">
        <v>241</v>
      </c>
      <c r="C441" t="s">
        <v>18</v>
      </c>
      <c r="D441">
        <v>2</v>
      </c>
      <c r="E441" t="s">
        <v>69</v>
      </c>
      <c r="F441">
        <v>0</v>
      </c>
      <c r="G441" t="s">
        <v>372</v>
      </c>
      <c r="H441">
        <v>1</v>
      </c>
      <c r="I441" t="s">
        <v>109</v>
      </c>
      <c r="J441" t="s">
        <v>74</v>
      </c>
      <c r="K441" t="s">
        <v>114</v>
      </c>
      <c r="L441" t="s">
        <v>222</v>
      </c>
    </row>
    <row r="442" spans="1:12" x14ac:dyDescent="0.25">
      <c r="A442" t="s">
        <v>207</v>
      </c>
      <c r="B442">
        <v>242</v>
      </c>
      <c r="C442" t="s">
        <v>18</v>
      </c>
      <c r="D442">
        <v>3</v>
      </c>
      <c r="E442" t="s">
        <v>69</v>
      </c>
      <c r="G442" t="s">
        <v>372</v>
      </c>
      <c r="I442" t="s">
        <v>109</v>
      </c>
      <c r="J442" t="s">
        <v>74</v>
      </c>
      <c r="K442" t="s">
        <v>114</v>
      </c>
      <c r="L442" t="s">
        <v>222</v>
      </c>
    </row>
    <row r="443" spans="1:12" x14ac:dyDescent="0.25">
      <c r="A443" t="s">
        <v>207</v>
      </c>
      <c r="B443">
        <v>243</v>
      </c>
      <c r="C443" t="s">
        <v>21</v>
      </c>
      <c r="D443">
        <v>1</v>
      </c>
      <c r="E443" t="s">
        <v>69</v>
      </c>
      <c r="F443">
        <v>21</v>
      </c>
      <c r="G443" t="s">
        <v>372</v>
      </c>
      <c r="H443">
        <v>16</v>
      </c>
      <c r="I443" t="s">
        <v>109</v>
      </c>
      <c r="J443" t="s">
        <v>76</v>
      </c>
      <c r="K443" t="s">
        <v>116</v>
      </c>
      <c r="L443" t="s">
        <v>222</v>
      </c>
    </row>
    <row r="444" spans="1:12" x14ac:dyDescent="0.25">
      <c r="A444" t="s">
        <v>207</v>
      </c>
      <c r="B444">
        <v>244</v>
      </c>
      <c r="C444" t="s">
        <v>21</v>
      </c>
      <c r="D444">
        <v>2</v>
      </c>
      <c r="E444" t="s">
        <v>69</v>
      </c>
      <c r="F444">
        <v>1</v>
      </c>
      <c r="G444" t="s">
        <v>372</v>
      </c>
      <c r="H444">
        <v>0</v>
      </c>
      <c r="I444" t="s">
        <v>109</v>
      </c>
      <c r="J444" t="s">
        <v>76</v>
      </c>
      <c r="K444" t="s">
        <v>116</v>
      </c>
      <c r="L444" t="s">
        <v>222</v>
      </c>
    </row>
    <row r="445" spans="1:12" x14ac:dyDescent="0.25">
      <c r="A445" t="s">
        <v>207</v>
      </c>
      <c r="B445">
        <v>245</v>
      </c>
      <c r="C445" t="s">
        <v>21</v>
      </c>
      <c r="D445">
        <v>3</v>
      </c>
      <c r="E445" t="s">
        <v>69</v>
      </c>
      <c r="G445" t="s">
        <v>372</v>
      </c>
      <c r="I445" t="s">
        <v>109</v>
      </c>
      <c r="J445" t="s">
        <v>76</v>
      </c>
      <c r="K445" t="s">
        <v>116</v>
      </c>
      <c r="L445" t="s">
        <v>222</v>
      </c>
    </row>
    <row r="446" spans="1:12" x14ac:dyDescent="0.25">
      <c r="A446" t="s">
        <v>207</v>
      </c>
      <c r="B446">
        <v>246</v>
      </c>
      <c r="C446" t="s">
        <v>24</v>
      </c>
      <c r="D446">
        <v>1</v>
      </c>
      <c r="E446" t="s">
        <v>69</v>
      </c>
      <c r="F446">
        <v>24</v>
      </c>
      <c r="G446" t="s">
        <v>372</v>
      </c>
      <c r="H446">
        <v>22</v>
      </c>
      <c r="I446" t="s">
        <v>109</v>
      </c>
      <c r="J446" t="s">
        <v>78</v>
      </c>
      <c r="K446" t="s">
        <v>118</v>
      </c>
      <c r="L446" t="s">
        <v>222</v>
      </c>
    </row>
    <row r="447" spans="1:12" x14ac:dyDescent="0.25">
      <c r="A447" t="s">
        <v>207</v>
      </c>
      <c r="B447">
        <v>247</v>
      </c>
      <c r="C447" t="s">
        <v>24</v>
      </c>
      <c r="D447">
        <v>2</v>
      </c>
      <c r="E447" t="s">
        <v>69</v>
      </c>
      <c r="F447">
        <v>1</v>
      </c>
      <c r="G447" t="s">
        <v>372</v>
      </c>
      <c r="H447">
        <v>0</v>
      </c>
      <c r="I447" t="s">
        <v>109</v>
      </c>
      <c r="J447" t="s">
        <v>78</v>
      </c>
      <c r="K447" t="s">
        <v>118</v>
      </c>
      <c r="L447" t="s">
        <v>222</v>
      </c>
    </row>
    <row r="448" spans="1:12" x14ac:dyDescent="0.25">
      <c r="A448" t="s">
        <v>207</v>
      </c>
      <c r="B448">
        <v>248</v>
      </c>
      <c r="C448" t="s">
        <v>24</v>
      </c>
      <c r="D448">
        <v>3</v>
      </c>
      <c r="E448" t="s">
        <v>69</v>
      </c>
      <c r="G448" t="s">
        <v>372</v>
      </c>
      <c r="I448" t="s">
        <v>109</v>
      </c>
      <c r="J448" t="s">
        <v>78</v>
      </c>
      <c r="K448" t="s">
        <v>118</v>
      </c>
      <c r="L448" t="s">
        <v>222</v>
      </c>
    </row>
    <row r="449" spans="1:12" x14ac:dyDescent="0.25">
      <c r="A449" t="s">
        <v>207</v>
      </c>
      <c r="B449">
        <v>249</v>
      </c>
      <c r="C449" t="s">
        <v>27</v>
      </c>
      <c r="D449">
        <v>1</v>
      </c>
      <c r="E449" t="s">
        <v>69</v>
      </c>
      <c r="F449">
        <v>6</v>
      </c>
      <c r="G449" t="s">
        <v>372</v>
      </c>
      <c r="H449">
        <v>21</v>
      </c>
      <c r="I449" t="s">
        <v>109</v>
      </c>
      <c r="J449" t="s">
        <v>80</v>
      </c>
      <c r="K449" t="s">
        <v>120</v>
      </c>
      <c r="L449" t="s">
        <v>222</v>
      </c>
    </row>
    <row r="450" spans="1:12" x14ac:dyDescent="0.25">
      <c r="A450" t="s">
        <v>207</v>
      </c>
      <c r="B450">
        <v>250</v>
      </c>
      <c r="C450" t="s">
        <v>27</v>
      </c>
      <c r="D450">
        <v>2</v>
      </c>
      <c r="E450" t="s">
        <v>69</v>
      </c>
      <c r="F450">
        <v>0</v>
      </c>
      <c r="G450" t="s">
        <v>372</v>
      </c>
      <c r="H450">
        <v>1</v>
      </c>
      <c r="I450" t="s">
        <v>109</v>
      </c>
      <c r="J450" t="s">
        <v>80</v>
      </c>
      <c r="K450" t="s">
        <v>120</v>
      </c>
      <c r="L450" t="s">
        <v>222</v>
      </c>
    </row>
    <row r="451" spans="1:12" x14ac:dyDescent="0.25">
      <c r="A451" t="s">
        <v>207</v>
      </c>
      <c r="B451">
        <v>251</v>
      </c>
      <c r="C451" t="s">
        <v>27</v>
      </c>
      <c r="D451">
        <v>3</v>
      </c>
      <c r="E451" t="s">
        <v>69</v>
      </c>
      <c r="G451" t="s">
        <v>372</v>
      </c>
      <c r="I451" t="s">
        <v>109</v>
      </c>
      <c r="J451" t="s">
        <v>80</v>
      </c>
      <c r="K451" t="s">
        <v>120</v>
      </c>
      <c r="L451" t="s">
        <v>222</v>
      </c>
    </row>
    <row r="452" spans="1:12" x14ac:dyDescent="0.25">
      <c r="A452" t="s">
        <v>207</v>
      </c>
      <c r="B452">
        <v>255</v>
      </c>
      <c r="C452" t="s">
        <v>12</v>
      </c>
      <c r="D452">
        <v>1</v>
      </c>
      <c r="E452" t="s">
        <v>83</v>
      </c>
      <c r="F452">
        <v>21</v>
      </c>
      <c r="G452" t="s">
        <v>372</v>
      </c>
      <c r="H452">
        <v>10</v>
      </c>
      <c r="I452" t="s">
        <v>121</v>
      </c>
      <c r="J452" t="s">
        <v>85</v>
      </c>
      <c r="K452" t="s">
        <v>123</v>
      </c>
      <c r="L452" t="s">
        <v>222</v>
      </c>
    </row>
    <row r="453" spans="1:12" x14ac:dyDescent="0.25">
      <c r="A453" t="s">
        <v>207</v>
      </c>
      <c r="B453">
        <v>256</v>
      </c>
      <c r="C453" t="s">
        <v>12</v>
      </c>
      <c r="D453">
        <v>2</v>
      </c>
      <c r="E453" t="s">
        <v>83</v>
      </c>
      <c r="F453">
        <v>1</v>
      </c>
      <c r="G453" t="s">
        <v>372</v>
      </c>
      <c r="H453">
        <v>0</v>
      </c>
      <c r="I453" t="s">
        <v>121</v>
      </c>
      <c r="J453" t="s">
        <v>85</v>
      </c>
      <c r="K453" t="s">
        <v>123</v>
      </c>
      <c r="L453" t="s">
        <v>222</v>
      </c>
    </row>
    <row r="454" spans="1:12" x14ac:dyDescent="0.25">
      <c r="A454" t="s">
        <v>207</v>
      </c>
      <c r="B454">
        <v>257</v>
      </c>
      <c r="C454" t="s">
        <v>12</v>
      </c>
      <c r="D454">
        <v>3</v>
      </c>
      <c r="E454" t="s">
        <v>83</v>
      </c>
      <c r="G454" t="s">
        <v>372</v>
      </c>
      <c r="I454" t="s">
        <v>121</v>
      </c>
      <c r="J454" t="s">
        <v>85</v>
      </c>
      <c r="K454" t="s">
        <v>123</v>
      </c>
      <c r="L454" t="s">
        <v>222</v>
      </c>
    </row>
    <row r="455" spans="1:12" x14ac:dyDescent="0.25">
      <c r="A455" t="s">
        <v>207</v>
      </c>
      <c r="B455">
        <v>258</v>
      </c>
      <c r="C455" t="s">
        <v>18</v>
      </c>
      <c r="D455">
        <v>1</v>
      </c>
      <c r="E455" t="s">
        <v>83</v>
      </c>
      <c r="F455">
        <v>21</v>
      </c>
      <c r="G455" t="s">
        <v>372</v>
      </c>
      <c r="H455">
        <v>16</v>
      </c>
      <c r="I455" t="s">
        <v>121</v>
      </c>
      <c r="J455" t="s">
        <v>88</v>
      </c>
      <c r="K455" t="s">
        <v>126</v>
      </c>
      <c r="L455" t="s">
        <v>222</v>
      </c>
    </row>
    <row r="456" spans="1:12" x14ac:dyDescent="0.25">
      <c r="A456" t="s">
        <v>207</v>
      </c>
      <c r="B456">
        <v>259</v>
      </c>
      <c r="C456" t="s">
        <v>18</v>
      </c>
      <c r="D456">
        <v>2</v>
      </c>
      <c r="E456" t="s">
        <v>83</v>
      </c>
      <c r="F456">
        <v>1</v>
      </c>
      <c r="G456" t="s">
        <v>372</v>
      </c>
      <c r="H456">
        <v>0</v>
      </c>
      <c r="I456" t="s">
        <v>121</v>
      </c>
      <c r="J456" t="s">
        <v>88</v>
      </c>
      <c r="K456" t="s">
        <v>126</v>
      </c>
      <c r="L456" t="s">
        <v>222</v>
      </c>
    </row>
    <row r="457" spans="1:12" x14ac:dyDescent="0.25">
      <c r="A457" t="s">
        <v>207</v>
      </c>
      <c r="B457">
        <v>260</v>
      </c>
      <c r="C457" t="s">
        <v>18</v>
      </c>
      <c r="D457">
        <v>3</v>
      </c>
      <c r="E457" t="s">
        <v>83</v>
      </c>
      <c r="G457" t="s">
        <v>372</v>
      </c>
      <c r="I457" t="s">
        <v>121</v>
      </c>
      <c r="J457" t="s">
        <v>88</v>
      </c>
      <c r="K457" t="s">
        <v>126</v>
      </c>
      <c r="L457" t="s">
        <v>222</v>
      </c>
    </row>
    <row r="458" spans="1:12" x14ac:dyDescent="0.25">
      <c r="A458" t="s">
        <v>207</v>
      </c>
      <c r="B458">
        <v>261</v>
      </c>
      <c r="C458" t="s">
        <v>21</v>
      </c>
      <c r="D458">
        <v>1</v>
      </c>
      <c r="E458" t="s">
        <v>83</v>
      </c>
      <c r="F458">
        <v>21</v>
      </c>
      <c r="G458" t="s">
        <v>372</v>
      </c>
      <c r="H458">
        <v>11</v>
      </c>
      <c r="I458" t="s">
        <v>121</v>
      </c>
      <c r="J458" t="s">
        <v>90</v>
      </c>
      <c r="K458" t="s">
        <v>128</v>
      </c>
      <c r="L458" t="s">
        <v>222</v>
      </c>
    </row>
    <row r="459" spans="1:12" x14ac:dyDescent="0.25">
      <c r="A459" t="s">
        <v>207</v>
      </c>
      <c r="B459">
        <v>262</v>
      </c>
      <c r="C459" t="s">
        <v>21</v>
      </c>
      <c r="D459">
        <v>2</v>
      </c>
      <c r="E459" t="s">
        <v>83</v>
      </c>
      <c r="F459">
        <v>1</v>
      </c>
      <c r="G459" t="s">
        <v>372</v>
      </c>
      <c r="H459">
        <v>0</v>
      </c>
      <c r="I459" t="s">
        <v>121</v>
      </c>
      <c r="J459" t="s">
        <v>90</v>
      </c>
      <c r="K459" t="s">
        <v>128</v>
      </c>
      <c r="L459" t="s">
        <v>222</v>
      </c>
    </row>
    <row r="460" spans="1:12" x14ac:dyDescent="0.25">
      <c r="A460" t="s">
        <v>207</v>
      </c>
      <c r="B460">
        <v>263</v>
      </c>
      <c r="C460" t="s">
        <v>21</v>
      </c>
      <c r="D460">
        <v>3</v>
      </c>
      <c r="E460" t="s">
        <v>83</v>
      </c>
      <c r="G460" t="s">
        <v>372</v>
      </c>
      <c r="I460" t="s">
        <v>121</v>
      </c>
      <c r="J460" t="s">
        <v>90</v>
      </c>
      <c r="K460" t="s">
        <v>128</v>
      </c>
      <c r="L460" t="s">
        <v>222</v>
      </c>
    </row>
    <row r="461" spans="1:12" x14ac:dyDescent="0.25">
      <c r="A461" t="s">
        <v>207</v>
      </c>
      <c r="B461">
        <v>264</v>
      </c>
      <c r="C461" t="s">
        <v>24</v>
      </c>
      <c r="D461">
        <v>1</v>
      </c>
      <c r="E461" t="s">
        <v>83</v>
      </c>
      <c r="F461">
        <v>21</v>
      </c>
      <c r="G461" t="s">
        <v>372</v>
      </c>
      <c r="H461">
        <v>15</v>
      </c>
      <c r="I461" t="s">
        <v>121</v>
      </c>
      <c r="J461" t="s">
        <v>92</v>
      </c>
      <c r="K461" t="s">
        <v>130</v>
      </c>
      <c r="L461" t="s">
        <v>222</v>
      </c>
    </row>
    <row r="462" spans="1:12" x14ac:dyDescent="0.25">
      <c r="A462" t="s">
        <v>207</v>
      </c>
      <c r="B462">
        <v>265</v>
      </c>
      <c r="C462" t="s">
        <v>24</v>
      </c>
      <c r="D462">
        <v>2</v>
      </c>
      <c r="E462" t="s">
        <v>83</v>
      </c>
      <c r="F462">
        <v>1</v>
      </c>
      <c r="G462" t="s">
        <v>372</v>
      </c>
      <c r="H462">
        <v>0</v>
      </c>
      <c r="I462" t="s">
        <v>121</v>
      </c>
      <c r="J462" t="s">
        <v>92</v>
      </c>
      <c r="K462" t="s">
        <v>130</v>
      </c>
      <c r="L462" t="s">
        <v>222</v>
      </c>
    </row>
    <row r="463" spans="1:12" x14ac:dyDescent="0.25">
      <c r="A463" t="s">
        <v>207</v>
      </c>
      <c r="B463">
        <v>266</v>
      </c>
      <c r="C463" t="s">
        <v>24</v>
      </c>
      <c r="D463">
        <v>3</v>
      </c>
      <c r="E463" t="s">
        <v>83</v>
      </c>
      <c r="G463" t="s">
        <v>372</v>
      </c>
      <c r="I463" t="s">
        <v>121</v>
      </c>
      <c r="J463" t="s">
        <v>92</v>
      </c>
      <c r="K463" t="s">
        <v>130</v>
      </c>
      <c r="L463" t="s">
        <v>222</v>
      </c>
    </row>
    <row r="464" spans="1:12" x14ac:dyDescent="0.25">
      <c r="A464" t="s">
        <v>207</v>
      </c>
      <c r="B464">
        <v>267</v>
      </c>
      <c r="C464" t="s">
        <v>27</v>
      </c>
      <c r="D464">
        <v>1</v>
      </c>
      <c r="E464" t="s">
        <v>83</v>
      </c>
      <c r="F464">
        <v>21</v>
      </c>
      <c r="G464" t="s">
        <v>372</v>
      </c>
      <c r="H464">
        <v>17</v>
      </c>
      <c r="I464" t="s">
        <v>121</v>
      </c>
      <c r="J464" t="s">
        <v>94</v>
      </c>
      <c r="K464" t="s">
        <v>132</v>
      </c>
      <c r="L464" t="s">
        <v>222</v>
      </c>
    </row>
    <row r="465" spans="1:12" x14ac:dyDescent="0.25">
      <c r="A465" t="s">
        <v>207</v>
      </c>
      <c r="B465">
        <v>268</v>
      </c>
      <c r="C465" t="s">
        <v>27</v>
      </c>
      <c r="D465">
        <v>2</v>
      </c>
      <c r="E465" t="s">
        <v>83</v>
      </c>
      <c r="F465">
        <v>1</v>
      </c>
      <c r="G465" t="s">
        <v>372</v>
      </c>
      <c r="H465">
        <v>0</v>
      </c>
      <c r="I465" t="s">
        <v>121</v>
      </c>
      <c r="J465" t="s">
        <v>94</v>
      </c>
      <c r="K465" t="s">
        <v>132</v>
      </c>
      <c r="L465" t="s">
        <v>222</v>
      </c>
    </row>
    <row r="466" spans="1:12" x14ac:dyDescent="0.25">
      <c r="A466" t="s">
        <v>207</v>
      </c>
      <c r="B466">
        <v>269</v>
      </c>
      <c r="C466" t="s">
        <v>27</v>
      </c>
      <c r="D466">
        <v>3</v>
      </c>
      <c r="E466" t="s">
        <v>83</v>
      </c>
      <c r="G466" t="s">
        <v>372</v>
      </c>
      <c r="I466" t="s">
        <v>121</v>
      </c>
      <c r="J466" t="s">
        <v>94</v>
      </c>
      <c r="K466" t="s">
        <v>132</v>
      </c>
      <c r="L466" t="s">
        <v>222</v>
      </c>
    </row>
    <row r="467" spans="1:12" x14ac:dyDescent="0.25">
      <c r="A467" t="s">
        <v>207</v>
      </c>
      <c r="B467">
        <v>273</v>
      </c>
      <c r="C467" t="s">
        <v>12</v>
      </c>
      <c r="D467">
        <v>1</v>
      </c>
      <c r="E467" t="s">
        <v>108</v>
      </c>
      <c r="F467">
        <v>0</v>
      </c>
      <c r="G467" t="s">
        <v>372</v>
      </c>
      <c r="H467">
        <v>1</v>
      </c>
      <c r="I467" t="s">
        <v>96</v>
      </c>
      <c r="J467" t="s">
        <v>110</v>
      </c>
      <c r="K467" t="s">
        <v>98</v>
      </c>
      <c r="L467" t="s">
        <v>222</v>
      </c>
    </row>
    <row r="468" spans="1:12" x14ac:dyDescent="0.25">
      <c r="A468" t="s">
        <v>207</v>
      </c>
      <c r="B468">
        <v>274</v>
      </c>
      <c r="C468" t="s">
        <v>12</v>
      </c>
      <c r="D468">
        <v>2</v>
      </c>
      <c r="E468" t="s">
        <v>108</v>
      </c>
      <c r="F468">
        <v>0</v>
      </c>
      <c r="G468" t="s">
        <v>372</v>
      </c>
      <c r="H468">
        <v>1</v>
      </c>
      <c r="I468" t="s">
        <v>96</v>
      </c>
      <c r="J468" t="s">
        <v>110</v>
      </c>
      <c r="K468" t="s">
        <v>98</v>
      </c>
      <c r="L468" t="s">
        <v>222</v>
      </c>
    </row>
    <row r="469" spans="1:12" x14ac:dyDescent="0.25">
      <c r="A469" t="s">
        <v>207</v>
      </c>
      <c r="B469">
        <v>275</v>
      </c>
      <c r="C469" t="s">
        <v>12</v>
      </c>
      <c r="D469">
        <v>3</v>
      </c>
      <c r="E469" t="s">
        <v>108</v>
      </c>
      <c r="G469" t="s">
        <v>372</v>
      </c>
      <c r="I469" t="s">
        <v>96</v>
      </c>
      <c r="J469" t="s">
        <v>110</v>
      </c>
      <c r="K469" t="s">
        <v>98</v>
      </c>
      <c r="L469" t="s">
        <v>222</v>
      </c>
    </row>
    <row r="470" spans="1:12" x14ac:dyDescent="0.25">
      <c r="A470" t="s">
        <v>207</v>
      </c>
      <c r="B470">
        <v>276</v>
      </c>
      <c r="C470" t="s">
        <v>18</v>
      </c>
      <c r="D470">
        <v>1</v>
      </c>
      <c r="E470" t="s">
        <v>108</v>
      </c>
      <c r="F470">
        <v>1</v>
      </c>
      <c r="G470" t="s">
        <v>372</v>
      </c>
      <c r="H470">
        <v>0</v>
      </c>
      <c r="I470" t="s">
        <v>96</v>
      </c>
      <c r="J470" t="s">
        <v>113</v>
      </c>
      <c r="K470" t="s">
        <v>101</v>
      </c>
      <c r="L470" t="s">
        <v>222</v>
      </c>
    </row>
    <row r="471" spans="1:12" x14ac:dyDescent="0.25">
      <c r="A471" t="s">
        <v>207</v>
      </c>
      <c r="B471">
        <v>277</v>
      </c>
      <c r="C471" t="s">
        <v>18</v>
      </c>
      <c r="D471">
        <v>2</v>
      </c>
      <c r="E471" t="s">
        <v>108</v>
      </c>
      <c r="F471">
        <v>1</v>
      </c>
      <c r="G471" t="s">
        <v>372</v>
      </c>
      <c r="H471">
        <v>0</v>
      </c>
      <c r="I471" t="s">
        <v>96</v>
      </c>
      <c r="J471" t="s">
        <v>113</v>
      </c>
      <c r="K471" t="s">
        <v>101</v>
      </c>
      <c r="L471" t="s">
        <v>222</v>
      </c>
    </row>
    <row r="472" spans="1:12" x14ac:dyDescent="0.25">
      <c r="A472" t="s">
        <v>207</v>
      </c>
      <c r="B472">
        <v>278</v>
      </c>
      <c r="C472" t="s">
        <v>18</v>
      </c>
      <c r="D472">
        <v>3</v>
      </c>
      <c r="E472" t="s">
        <v>108</v>
      </c>
      <c r="G472" t="s">
        <v>372</v>
      </c>
      <c r="I472" t="s">
        <v>96</v>
      </c>
      <c r="J472" t="s">
        <v>113</v>
      </c>
      <c r="K472" t="s">
        <v>101</v>
      </c>
      <c r="L472" t="s">
        <v>222</v>
      </c>
    </row>
    <row r="473" spans="1:12" x14ac:dyDescent="0.25">
      <c r="A473" t="s">
        <v>207</v>
      </c>
      <c r="B473">
        <v>279</v>
      </c>
      <c r="C473" t="s">
        <v>21</v>
      </c>
      <c r="D473">
        <v>1</v>
      </c>
      <c r="E473" t="s">
        <v>108</v>
      </c>
      <c r="F473">
        <v>0</v>
      </c>
      <c r="G473" t="s">
        <v>372</v>
      </c>
      <c r="H473">
        <v>1</v>
      </c>
      <c r="I473" t="s">
        <v>96</v>
      </c>
      <c r="J473" t="s">
        <v>115</v>
      </c>
      <c r="K473" t="s">
        <v>103</v>
      </c>
      <c r="L473" t="s">
        <v>222</v>
      </c>
    </row>
    <row r="474" spans="1:12" x14ac:dyDescent="0.25">
      <c r="A474" t="s">
        <v>207</v>
      </c>
      <c r="B474">
        <v>280</v>
      </c>
      <c r="C474" t="s">
        <v>21</v>
      </c>
      <c r="D474">
        <v>2</v>
      </c>
      <c r="E474" t="s">
        <v>108</v>
      </c>
      <c r="F474">
        <v>0</v>
      </c>
      <c r="G474" t="s">
        <v>372</v>
      </c>
      <c r="H474">
        <v>1</v>
      </c>
      <c r="I474" t="s">
        <v>96</v>
      </c>
      <c r="J474" t="s">
        <v>115</v>
      </c>
      <c r="K474" t="s">
        <v>103</v>
      </c>
      <c r="L474" t="s">
        <v>222</v>
      </c>
    </row>
    <row r="475" spans="1:12" x14ac:dyDescent="0.25">
      <c r="A475" t="s">
        <v>207</v>
      </c>
      <c r="B475">
        <v>281</v>
      </c>
      <c r="C475" t="s">
        <v>21</v>
      </c>
      <c r="D475">
        <v>3</v>
      </c>
      <c r="E475" t="s">
        <v>108</v>
      </c>
      <c r="G475" t="s">
        <v>372</v>
      </c>
      <c r="I475" t="s">
        <v>96</v>
      </c>
      <c r="J475" t="s">
        <v>115</v>
      </c>
      <c r="K475" t="s">
        <v>103</v>
      </c>
      <c r="L475" t="s">
        <v>222</v>
      </c>
    </row>
    <row r="476" spans="1:12" x14ac:dyDescent="0.25">
      <c r="A476" t="s">
        <v>207</v>
      </c>
      <c r="B476">
        <v>282</v>
      </c>
      <c r="C476" t="s">
        <v>24</v>
      </c>
      <c r="D476">
        <v>1</v>
      </c>
      <c r="E476" t="s">
        <v>108</v>
      </c>
      <c r="F476">
        <v>1</v>
      </c>
      <c r="G476" t="s">
        <v>372</v>
      </c>
      <c r="H476">
        <v>0</v>
      </c>
      <c r="I476" t="s">
        <v>96</v>
      </c>
      <c r="J476" t="s">
        <v>117</v>
      </c>
      <c r="K476" t="s">
        <v>105</v>
      </c>
      <c r="L476" t="s">
        <v>222</v>
      </c>
    </row>
    <row r="477" spans="1:12" x14ac:dyDescent="0.25">
      <c r="A477" t="s">
        <v>207</v>
      </c>
      <c r="B477">
        <v>283</v>
      </c>
      <c r="C477" t="s">
        <v>24</v>
      </c>
      <c r="D477">
        <v>2</v>
      </c>
      <c r="E477" t="s">
        <v>108</v>
      </c>
      <c r="F477">
        <v>1</v>
      </c>
      <c r="G477" t="s">
        <v>372</v>
      </c>
      <c r="H477">
        <v>0</v>
      </c>
      <c r="I477" t="s">
        <v>96</v>
      </c>
      <c r="J477" t="s">
        <v>117</v>
      </c>
      <c r="K477" t="s">
        <v>105</v>
      </c>
      <c r="L477" t="s">
        <v>222</v>
      </c>
    </row>
    <row r="478" spans="1:12" x14ac:dyDescent="0.25">
      <c r="A478" t="s">
        <v>207</v>
      </c>
      <c r="B478">
        <v>284</v>
      </c>
      <c r="C478" t="s">
        <v>24</v>
      </c>
      <c r="D478">
        <v>3</v>
      </c>
      <c r="E478" t="s">
        <v>108</v>
      </c>
      <c r="G478" t="s">
        <v>372</v>
      </c>
      <c r="I478" t="s">
        <v>96</v>
      </c>
      <c r="J478" t="s">
        <v>117</v>
      </c>
      <c r="K478" t="s">
        <v>105</v>
      </c>
      <c r="L478" t="s">
        <v>222</v>
      </c>
    </row>
    <row r="479" spans="1:12" x14ac:dyDescent="0.25">
      <c r="A479" t="s">
        <v>207</v>
      </c>
      <c r="B479">
        <v>285</v>
      </c>
      <c r="C479" t="s">
        <v>27</v>
      </c>
      <c r="D479">
        <v>1</v>
      </c>
      <c r="E479" t="s">
        <v>108</v>
      </c>
      <c r="F479">
        <v>0</v>
      </c>
      <c r="G479" t="s">
        <v>372</v>
      </c>
      <c r="H479">
        <v>1</v>
      </c>
      <c r="I479" t="s">
        <v>96</v>
      </c>
      <c r="J479" t="s">
        <v>119</v>
      </c>
      <c r="K479" t="s">
        <v>107</v>
      </c>
      <c r="L479" t="s">
        <v>222</v>
      </c>
    </row>
    <row r="480" spans="1:12" x14ac:dyDescent="0.25">
      <c r="A480" t="s">
        <v>207</v>
      </c>
      <c r="B480">
        <v>286</v>
      </c>
      <c r="C480" t="s">
        <v>27</v>
      </c>
      <c r="D480">
        <v>2</v>
      </c>
      <c r="E480" t="s">
        <v>108</v>
      </c>
      <c r="F480">
        <v>0</v>
      </c>
      <c r="G480" t="s">
        <v>372</v>
      </c>
      <c r="H480">
        <v>1</v>
      </c>
      <c r="I480" t="s">
        <v>96</v>
      </c>
      <c r="J480" t="s">
        <v>119</v>
      </c>
      <c r="K480" t="s">
        <v>107</v>
      </c>
      <c r="L480" t="s">
        <v>222</v>
      </c>
    </row>
    <row r="481" spans="1:12" x14ac:dyDescent="0.25">
      <c r="A481" t="s">
        <v>207</v>
      </c>
      <c r="B481">
        <v>287</v>
      </c>
      <c r="C481" t="s">
        <v>27</v>
      </c>
      <c r="D481">
        <v>3</v>
      </c>
      <c r="E481" t="s">
        <v>108</v>
      </c>
      <c r="G481" t="s">
        <v>372</v>
      </c>
      <c r="I481" t="s">
        <v>96</v>
      </c>
      <c r="J481" t="s">
        <v>119</v>
      </c>
      <c r="K481" t="s">
        <v>107</v>
      </c>
      <c r="L481" t="s">
        <v>222</v>
      </c>
    </row>
    <row r="482" spans="1:12" x14ac:dyDescent="0.25">
      <c r="A482" t="s">
        <v>215</v>
      </c>
      <c r="B482">
        <v>3</v>
      </c>
      <c r="C482" t="s">
        <v>12</v>
      </c>
      <c r="D482">
        <v>1</v>
      </c>
      <c r="E482" t="s">
        <v>194</v>
      </c>
      <c r="F482">
        <v>21</v>
      </c>
      <c r="G482" t="s">
        <v>372</v>
      </c>
      <c r="H482">
        <v>14</v>
      </c>
      <c r="I482" t="s">
        <v>169</v>
      </c>
      <c r="J482" t="s">
        <v>196</v>
      </c>
      <c r="K482" t="s">
        <v>171</v>
      </c>
      <c r="L482" t="s">
        <v>216</v>
      </c>
    </row>
    <row r="483" spans="1:12" x14ac:dyDescent="0.25">
      <c r="A483" t="s">
        <v>215</v>
      </c>
      <c r="B483">
        <v>4</v>
      </c>
      <c r="C483" t="s">
        <v>12</v>
      </c>
      <c r="D483">
        <v>2</v>
      </c>
      <c r="E483" t="s">
        <v>194</v>
      </c>
      <c r="F483">
        <v>21</v>
      </c>
      <c r="G483" t="s">
        <v>372</v>
      </c>
      <c r="H483">
        <v>18</v>
      </c>
      <c r="I483" t="s">
        <v>169</v>
      </c>
      <c r="J483" t="s">
        <v>196</v>
      </c>
      <c r="K483" t="s">
        <v>171</v>
      </c>
      <c r="L483" t="s">
        <v>216</v>
      </c>
    </row>
    <row r="484" spans="1:12" x14ac:dyDescent="0.25">
      <c r="A484" t="s">
        <v>215</v>
      </c>
      <c r="B484">
        <v>5</v>
      </c>
      <c r="C484" t="s">
        <v>12</v>
      </c>
      <c r="D484">
        <v>3</v>
      </c>
      <c r="E484" t="s">
        <v>194</v>
      </c>
      <c r="G484" t="s">
        <v>372</v>
      </c>
      <c r="I484" t="s">
        <v>169</v>
      </c>
      <c r="J484" t="s">
        <v>196</v>
      </c>
      <c r="K484" t="s">
        <v>171</v>
      </c>
      <c r="L484" t="s">
        <v>216</v>
      </c>
    </row>
    <row r="485" spans="1:12" x14ac:dyDescent="0.25">
      <c r="A485" t="s">
        <v>215</v>
      </c>
      <c r="B485">
        <v>6</v>
      </c>
      <c r="C485" t="s">
        <v>18</v>
      </c>
      <c r="D485">
        <v>1</v>
      </c>
      <c r="E485" t="s">
        <v>194</v>
      </c>
      <c r="F485">
        <v>22</v>
      </c>
      <c r="G485" t="s">
        <v>372</v>
      </c>
      <c r="H485">
        <v>20</v>
      </c>
      <c r="I485" t="s">
        <v>169</v>
      </c>
      <c r="J485" t="s">
        <v>199</v>
      </c>
      <c r="K485" t="s">
        <v>174</v>
      </c>
      <c r="L485" t="s">
        <v>216</v>
      </c>
    </row>
    <row r="486" spans="1:12" x14ac:dyDescent="0.25">
      <c r="A486" t="s">
        <v>215</v>
      </c>
      <c r="B486">
        <v>7</v>
      </c>
      <c r="C486" t="s">
        <v>18</v>
      </c>
      <c r="D486">
        <v>2</v>
      </c>
      <c r="E486" t="s">
        <v>194</v>
      </c>
      <c r="F486">
        <v>21</v>
      </c>
      <c r="G486" t="s">
        <v>372</v>
      </c>
      <c r="H486">
        <v>10</v>
      </c>
      <c r="I486" t="s">
        <v>169</v>
      </c>
      <c r="J486" t="s">
        <v>199</v>
      </c>
      <c r="K486" t="s">
        <v>174</v>
      </c>
      <c r="L486" t="s">
        <v>216</v>
      </c>
    </row>
    <row r="487" spans="1:12" x14ac:dyDescent="0.25">
      <c r="A487" t="s">
        <v>215</v>
      </c>
      <c r="B487">
        <v>8</v>
      </c>
      <c r="C487" t="s">
        <v>18</v>
      </c>
      <c r="D487">
        <v>3</v>
      </c>
      <c r="E487" t="s">
        <v>194</v>
      </c>
      <c r="G487" t="s">
        <v>372</v>
      </c>
      <c r="I487" t="s">
        <v>169</v>
      </c>
      <c r="J487" t="s">
        <v>199</v>
      </c>
      <c r="K487" t="s">
        <v>174</v>
      </c>
      <c r="L487" t="s">
        <v>216</v>
      </c>
    </row>
    <row r="488" spans="1:12" x14ac:dyDescent="0.25">
      <c r="A488" t="s">
        <v>215</v>
      </c>
      <c r="B488">
        <v>9</v>
      </c>
      <c r="C488" t="s">
        <v>21</v>
      </c>
      <c r="D488">
        <v>1</v>
      </c>
      <c r="E488" t="s">
        <v>194</v>
      </c>
      <c r="F488">
        <v>21</v>
      </c>
      <c r="G488" t="s">
        <v>372</v>
      </c>
      <c r="H488">
        <v>10</v>
      </c>
      <c r="I488" t="s">
        <v>169</v>
      </c>
      <c r="J488" t="s">
        <v>201</v>
      </c>
      <c r="K488" t="s">
        <v>176</v>
      </c>
      <c r="L488" t="s">
        <v>216</v>
      </c>
    </row>
    <row r="489" spans="1:12" x14ac:dyDescent="0.25">
      <c r="A489" t="s">
        <v>215</v>
      </c>
      <c r="B489">
        <v>10</v>
      </c>
      <c r="C489" t="s">
        <v>21</v>
      </c>
      <c r="D489">
        <v>2</v>
      </c>
      <c r="E489" t="s">
        <v>194</v>
      </c>
      <c r="F489">
        <v>21</v>
      </c>
      <c r="G489" t="s">
        <v>372</v>
      </c>
      <c r="H489">
        <v>18</v>
      </c>
      <c r="I489" t="s">
        <v>169</v>
      </c>
      <c r="J489" t="s">
        <v>201</v>
      </c>
      <c r="K489" t="s">
        <v>176</v>
      </c>
      <c r="L489" t="s">
        <v>216</v>
      </c>
    </row>
    <row r="490" spans="1:12" x14ac:dyDescent="0.25">
      <c r="A490" t="s">
        <v>215</v>
      </c>
      <c r="B490">
        <v>11</v>
      </c>
      <c r="C490" t="s">
        <v>21</v>
      </c>
      <c r="D490">
        <v>3</v>
      </c>
      <c r="E490" t="s">
        <v>194</v>
      </c>
      <c r="G490" t="s">
        <v>372</v>
      </c>
      <c r="I490" t="s">
        <v>169</v>
      </c>
      <c r="J490" t="s">
        <v>201</v>
      </c>
      <c r="K490" t="s">
        <v>176</v>
      </c>
      <c r="L490" t="s">
        <v>216</v>
      </c>
    </row>
    <row r="491" spans="1:12" x14ac:dyDescent="0.25">
      <c r="A491" t="s">
        <v>215</v>
      </c>
      <c r="B491">
        <v>12</v>
      </c>
      <c r="C491" t="s">
        <v>24</v>
      </c>
      <c r="D491">
        <v>1</v>
      </c>
      <c r="E491" t="s">
        <v>194</v>
      </c>
      <c r="F491">
        <v>21</v>
      </c>
      <c r="G491" t="s">
        <v>372</v>
      </c>
      <c r="H491">
        <v>12</v>
      </c>
      <c r="I491" t="s">
        <v>169</v>
      </c>
      <c r="J491" t="s">
        <v>203</v>
      </c>
      <c r="K491" t="s">
        <v>178</v>
      </c>
      <c r="L491" t="s">
        <v>216</v>
      </c>
    </row>
    <row r="492" spans="1:12" x14ac:dyDescent="0.25">
      <c r="A492" t="s">
        <v>215</v>
      </c>
      <c r="B492">
        <v>13</v>
      </c>
      <c r="C492" t="s">
        <v>24</v>
      </c>
      <c r="D492">
        <v>2</v>
      </c>
      <c r="E492" t="s">
        <v>194</v>
      </c>
      <c r="F492">
        <v>21</v>
      </c>
      <c r="G492" t="s">
        <v>372</v>
      </c>
      <c r="H492">
        <v>15</v>
      </c>
      <c r="I492" t="s">
        <v>169</v>
      </c>
      <c r="J492" t="s">
        <v>203</v>
      </c>
      <c r="K492" t="s">
        <v>178</v>
      </c>
      <c r="L492" t="s">
        <v>216</v>
      </c>
    </row>
    <row r="493" spans="1:12" x14ac:dyDescent="0.25">
      <c r="A493" t="s">
        <v>215</v>
      </c>
      <c r="B493">
        <v>14</v>
      </c>
      <c r="C493" t="s">
        <v>24</v>
      </c>
      <c r="D493">
        <v>3</v>
      </c>
      <c r="E493" t="s">
        <v>194</v>
      </c>
      <c r="G493" t="s">
        <v>372</v>
      </c>
      <c r="I493" t="s">
        <v>169</v>
      </c>
      <c r="J493" t="s">
        <v>203</v>
      </c>
      <c r="K493" t="s">
        <v>178</v>
      </c>
      <c r="L493" t="s">
        <v>216</v>
      </c>
    </row>
    <row r="494" spans="1:12" x14ac:dyDescent="0.25">
      <c r="A494" t="s">
        <v>215</v>
      </c>
      <c r="B494">
        <v>15</v>
      </c>
      <c r="C494" t="s">
        <v>27</v>
      </c>
      <c r="D494">
        <v>1</v>
      </c>
      <c r="E494" t="s">
        <v>194</v>
      </c>
      <c r="F494">
        <v>21</v>
      </c>
      <c r="G494" t="s">
        <v>372</v>
      </c>
      <c r="H494">
        <v>9</v>
      </c>
      <c r="I494" t="s">
        <v>169</v>
      </c>
      <c r="J494" t="s">
        <v>205</v>
      </c>
      <c r="K494" t="s">
        <v>180</v>
      </c>
      <c r="L494" t="s">
        <v>216</v>
      </c>
    </row>
    <row r="495" spans="1:12" x14ac:dyDescent="0.25">
      <c r="A495" t="s">
        <v>215</v>
      </c>
      <c r="B495">
        <v>16</v>
      </c>
      <c r="C495" t="s">
        <v>27</v>
      </c>
      <c r="D495">
        <v>2</v>
      </c>
      <c r="E495" t="s">
        <v>194</v>
      </c>
      <c r="G495" t="s">
        <v>372</v>
      </c>
      <c r="I495" t="s">
        <v>169</v>
      </c>
      <c r="J495" t="s">
        <v>205</v>
      </c>
      <c r="K495" t="s">
        <v>180</v>
      </c>
      <c r="L495" t="s">
        <v>216</v>
      </c>
    </row>
    <row r="496" spans="1:12" x14ac:dyDescent="0.25">
      <c r="A496" t="s">
        <v>215</v>
      </c>
      <c r="B496">
        <v>17</v>
      </c>
      <c r="C496" t="s">
        <v>27</v>
      </c>
      <c r="D496">
        <v>3</v>
      </c>
      <c r="E496" t="s">
        <v>194</v>
      </c>
      <c r="G496" t="s">
        <v>372</v>
      </c>
      <c r="I496" t="s">
        <v>169</v>
      </c>
      <c r="J496" t="s">
        <v>205</v>
      </c>
      <c r="K496" t="s">
        <v>180</v>
      </c>
      <c r="L496" t="s">
        <v>216</v>
      </c>
    </row>
    <row r="497" spans="1:12" x14ac:dyDescent="0.25">
      <c r="A497" t="s">
        <v>215</v>
      </c>
      <c r="B497">
        <v>21</v>
      </c>
      <c r="C497" t="s">
        <v>12</v>
      </c>
      <c r="D497">
        <v>1</v>
      </c>
      <c r="E497" t="s">
        <v>195</v>
      </c>
      <c r="F497">
        <v>21</v>
      </c>
      <c r="G497" t="s">
        <v>372</v>
      </c>
      <c r="H497">
        <v>18</v>
      </c>
      <c r="I497" t="s">
        <v>168</v>
      </c>
      <c r="J497" t="s">
        <v>197</v>
      </c>
      <c r="K497" t="s">
        <v>170</v>
      </c>
      <c r="L497" t="s">
        <v>216</v>
      </c>
    </row>
    <row r="498" spans="1:12" x14ac:dyDescent="0.25">
      <c r="A498" t="s">
        <v>215</v>
      </c>
      <c r="B498">
        <v>22</v>
      </c>
      <c r="C498" t="s">
        <v>12</v>
      </c>
      <c r="D498">
        <v>2</v>
      </c>
      <c r="E498" t="s">
        <v>195</v>
      </c>
      <c r="F498">
        <v>21</v>
      </c>
      <c r="G498" t="s">
        <v>372</v>
      </c>
      <c r="H498">
        <v>17</v>
      </c>
      <c r="I498" t="s">
        <v>168</v>
      </c>
      <c r="J498" t="s">
        <v>197</v>
      </c>
      <c r="K498" t="s">
        <v>170</v>
      </c>
      <c r="L498" t="s">
        <v>216</v>
      </c>
    </row>
    <row r="499" spans="1:12" x14ac:dyDescent="0.25">
      <c r="A499" t="s">
        <v>215</v>
      </c>
      <c r="B499">
        <v>23</v>
      </c>
      <c r="C499" t="s">
        <v>12</v>
      </c>
      <c r="D499">
        <v>3</v>
      </c>
      <c r="E499" t="s">
        <v>195</v>
      </c>
      <c r="G499" t="s">
        <v>372</v>
      </c>
      <c r="I499" t="s">
        <v>168</v>
      </c>
      <c r="J499" t="s">
        <v>197</v>
      </c>
      <c r="K499" t="s">
        <v>170</v>
      </c>
      <c r="L499" t="s">
        <v>216</v>
      </c>
    </row>
    <row r="500" spans="1:12" x14ac:dyDescent="0.25">
      <c r="A500" t="s">
        <v>215</v>
      </c>
      <c r="B500">
        <v>24</v>
      </c>
      <c r="C500" t="s">
        <v>18</v>
      </c>
      <c r="D500">
        <v>1</v>
      </c>
      <c r="E500" t="s">
        <v>195</v>
      </c>
      <c r="F500">
        <v>17</v>
      </c>
      <c r="G500" t="s">
        <v>372</v>
      </c>
      <c r="H500">
        <v>21</v>
      </c>
      <c r="I500" t="s">
        <v>168</v>
      </c>
      <c r="J500" t="s">
        <v>200</v>
      </c>
      <c r="K500" t="s">
        <v>173</v>
      </c>
      <c r="L500" t="s">
        <v>216</v>
      </c>
    </row>
    <row r="501" spans="1:12" x14ac:dyDescent="0.25">
      <c r="A501" t="s">
        <v>215</v>
      </c>
      <c r="B501">
        <v>25</v>
      </c>
      <c r="C501" t="s">
        <v>18</v>
      </c>
      <c r="D501">
        <v>2</v>
      </c>
      <c r="E501" t="s">
        <v>195</v>
      </c>
      <c r="F501">
        <v>21</v>
      </c>
      <c r="G501" t="s">
        <v>372</v>
      </c>
      <c r="H501">
        <v>13</v>
      </c>
      <c r="I501" t="s">
        <v>168</v>
      </c>
      <c r="J501" t="s">
        <v>200</v>
      </c>
      <c r="K501" t="s">
        <v>173</v>
      </c>
      <c r="L501" t="s">
        <v>216</v>
      </c>
    </row>
    <row r="502" spans="1:12" x14ac:dyDescent="0.25">
      <c r="A502" t="s">
        <v>215</v>
      </c>
      <c r="B502">
        <v>26</v>
      </c>
      <c r="C502" t="s">
        <v>18</v>
      </c>
      <c r="D502">
        <v>3</v>
      </c>
      <c r="E502" t="s">
        <v>195</v>
      </c>
      <c r="G502" t="s">
        <v>372</v>
      </c>
      <c r="I502" t="s">
        <v>168</v>
      </c>
      <c r="J502" t="s">
        <v>200</v>
      </c>
      <c r="K502" t="s">
        <v>173</v>
      </c>
      <c r="L502" t="s">
        <v>216</v>
      </c>
    </row>
    <row r="503" spans="1:12" x14ac:dyDescent="0.25">
      <c r="A503" t="s">
        <v>215</v>
      </c>
      <c r="B503">
        <v>27</v>
      </c>
      <c r="C503" t="s">
        <v>21</v>
      </c>
      <c r="D503">
        <v>1</v>
      </c>
      <c r="E503" t="s">
        <v>195</v>
      </c>
      <c r="F503">
        <v>21</v>
      </c>
      <c r="G503" t="s">
        <v>372</v>
      </c>
      <c r="H503">
        <v>18</v>
      </c>
      <c r="I503" t="s">
        <v>168</v>
      </c>
      <c r="J503" t="s">
        <v>202</v>
      </c>
      <c r="K503" t="s">
        <v>175</v>
      </c>
      <c r="L503" t="s">
        <v>216</v>
      </c>
    </row>
    <row r="504" spans="1:12" x14ac:dyDescent="0.25">
      <c r="A504" t="s">
        <v>215</v>
      </c>
      <c r="B504">
        <v>28</v>
      </c>
      <c r="C504" t="s">
        <v>21</v>
      </c>
      <c r="D504">
        <v>2</v>
      </c>
      <c r="E504" t="s">
        <v>195</v>
      </c>
      <c r="F504">
        <v>21</v>
      </c>
      <c r="G504" t="s">
        <v>372</v>
      </c>
      <c r="H504">
        <v>15</v>
      </c>
      <c r="I504" t="s">
        <v>168</v>
      </c>
      <c r="J504" t="s">
        <v>202</v>
      </c>
      <c r="K504" t="s">
        <v>175</v>
      </c>
      <c r="L504" t="s">
        <v>216</v>
      </c>
    </row>
    <row r="505" spans="1:12" x14ac:dyDescent="0.25">
      <c r="A505" t="s">
        <v>215</v>
      </c>
      <c r="B505">
        <v>29</v>
      </c>
      <c r="C505" t="s">
        <v>21</v>
      </c>
      <c r="D505">
        <v>3</v>
      </c>
      <c r="E505" t="s">
        <v>195</v>
      </c>
      <c r="G505" t="s">
        <v>372</v>
      </c>
      <c r="I505" t="s">
        <v>168</v>
      </c>
      <c r="J505" t="s">
        <v>202</v>
      </c>
      <c r="K505" t="s">
        <v>175</v>
      </c>
      <c r="L505" t="s">
        <v>216</v>
      </c>
    </row>
    <row r="506" spans="1:12" x14ac:dyDescent="0.25">
      <c r="A506" t="s">
        <v>215</v>
      </c>
      <c r="B506">
        <v>30</v>
      </c>
      <c r="C506" t="s">
        <v>24</v>
      </c>
      <c r="D506">
        <v>1</v>
      </c>
      <c r="E506" t="s">
        <v>195</v>
      </c>
      <c r="F506">
        <v>21</v>
      </c>
      <c r="G506" t="s">
        <v>372</v>
      </c>
      <c r="H506">
        <v>15</v>
      </c>
      <c r="I506" t="s">
        <v>168</v>
      </c>
      <c r="J506" t="s">
        <v>204</v>
      </c>
      <c r="K506" t="s">
        <v>177</v>
      </c>
      <c r="L506" t="s">
        <v>216</v>
      </c>
    </row>
    <row r="507" spans="1:12" x14ac:dyDescent="0.25">
      <c r="A507" t="s">
        <v>215</v>
      </c>
      <c r="B507">
        <v>31</v>
      </c>
      <c r="C507" t="s">
        <v>24</v>
      </c>
      <c r="D507">
        <v>2</v>
      </c>
      <c r="E507" t="s">
        <v>195</v>
      </c>
      <c r="F507">
        <v>21</v>
      </c>
      <c r="G507" t="s">
        <v>372</v>
      </c>
      <c r="H507">
        <v>18</v>
      </c>
      <c r="I507" t="s">
        <v>168</v>
      </c>
      <c r="J507" t="s">
        <v>204</v>
      </c>
      <c r="K507" t="s">
        <v>177</v>
      </c>
      <c r="L507" t="s">
        <v>216</v>
      </c>
    </row>
    <row r="508" spans="1:12" x14ac:dyDescent="0.25">
      <c r="A508" t="s">
        <v>215</v>
      </c>
      <c r="B508">
        <v>32</v>
      </c>
      <c r="C508" t="s">
        <v>24</v>
      </c>
      <c r="D508">
        <v>3</v>
      </c>
      <c r="E508" t="s">
        <v>195</v>
      </c>
      <c r="G508" t="s">
        <v>372</v>
      </c>
      <c r="I508" t="s">
        <v>168</v>
      </c>
      <c r="J508" t="s">
        <v>204</v>
      </c>
      <c r="K508" t="s">
        <v>177</v>
      </c>
      <c r="L508" t="s">
        <v>216</v>
      </c>
    </row>
    <row r="509" spans="1:12" x14ac:dyDescent="0.25">
      <c r="A509" t="s">
        <v>215</v>
      </c>
      <c r="B509">
        <v>33</v>
      </c>
      <c r="C509" t="s">
        <v>27</v>
      </c>
      <c r="D509">
        <v>1</v>
      </c>
      <c r="E509" t="s">
        <v>195</v>
      </c>
      <c r="F509">
        <v>21</v>
      </c>
      <c r="G509" t="s">
        <v>372</v>
      </c>
      <c r="H509">
        <v>17</v>
      </c>
      <c r="I509" t="s">
        <v>168</v>
      </c>
      <c r="J509" t="s">
        <v>206</v>
      </c>
      <c r="K509" t="s">
        <v>179</v>
      </c>
      <c r="L509" t="s">
        <v>216</v>
      </c>
    </row>
    <row r="510" spans="1:12" x14ac:dyDescent="0.25">
      <c r="A510" t="s">
        <v>215</v>
      </c>
      <c r="B510">
        <v>34</v>
      </c>
      <c r="C510" t="s">
        <v>27</v>
      </c>
      <c r="D510">
        <v>2</v>
      </c>
      <c r="E510" t="s">
        <v>195</v>
      </c>
      <c r="F510">
        <v>21</v>
      </c>
      <c r="G510" t="s">
        <v>372</v>
      </c>
      <c r="H510">
        <v>11</v>
      </c>
      <c r="I510" t="s">
        <v>168</v>
      </c>
      <c r="J510" t="s">
        <v>206</v>
      </c>
      <c r="K510" t="s">
        <v>179</v>
      </c>
      <c r="L510" t="s">
        <v>216</v>
      </c>
    </row>
    <row r="511" spans="1:12" x14ac:dyDescent="0.25">
      <c r="A511" t="s">
        <v>215</v>
      </c>
      <c r="B511">
        <v>35</v>
      </c>
      <c r="C511" t="s">
        <v>27</v>
      </c>
      <c r="D511">
        <v>3</v>
      </c>
      <c r="E511" t="s">
        <v>195</v>
      </c>
      <c r="G511" t="s">
        <v>372</v>
      </c>
      <c r="I511" t="s">
        <v>168</v>
      </c>
      <c r="J511" t="s">
        <v>206</v>
      </c>
      <c r="K511" t="s">
        <v>179</v>
      </c>
      <c r="L511" t="s">
        <v>216</v>
      </c>
    </row>
    <row r="512" spans="1:12" x14ac:dyDescent="0.25">
      <c r="A512" t="s">
        <v>215</v>
      </c>
      <c r="B512">
        <v>39</v>
      </c>
      <c r="C512" t="s">
        <v>12</v>
      </c>
      <c r="D512">
        <v>1</v>
      </c>
      <c r="E512" t="s">
        <v>146</v>
      </c>
      <c r="F512">
        <v>19</v>
      </c>
      <c r="G512" t="s">
        <v>372</v>
      </c>
      <c r="H512">
        <v>21</v>
      </c>
      <c r="I512" t="s">
        <v>156</v>
      </c>
      <c r="J512" t="s">
        <v>148</v>
      </c>
      <c r="K512" t="s">
        <v>158</v>
      </c>
      <c r="L512" t="s">
        <v>216</v>
      </c>
    </row>
    <row r="513" spans="1:12" x14ac:dyDescent="0.25">
      <c r="A513" t="s">
        <v>215</v>
      </c>
      <c r="B513">
        <v>40</v>
      </c>
      <c r="C513" t="s">
        <v>12</v>
      </c>
      <c r="D513">
        <v>2</v>
      </c>
      <c r="E513" t="s">
        <v>146</v>
      </c>
      <c r="F513">
        <v>11</v>
      </c>
      <c r="G513" t="s">
        <v>372</v>
      </c>
      <c r="H513">
        <v>10</v>
      </c>
      <c r="I513" t="s">
        <v>156</v>
      </c>
      <c r="J513" t="s">
        <v>148</v>
      </c>
      <c r="K513" t="s">
        <v>158</v>
      </c>
      <c r="L513" t="s">
        <v>216</v>
      </c>
    </row>
    <row r="514" spans="1:12" x14ac:dyDescent="0.25">
      <c r="A514" t="s">
        <v>215</v>
      </c>
      <c r="B514">
        <v>41</v>
      </c>
      <c r="C514" t="s">
        <v>12</v>
      </c>
      <c r="D514">
        <v>3</v>
      </c>
      <c r="E514" t="s">
        <v>146</v>
      </c>
      <c r="G514" t="s">
        <v>372</v>
      </c>
      <c r="I514" t="s">
        <v>156</v>
      </c>
      <c r="J514" t="s">
        <v>148</v>
      </c>
      <c r="K514" t="s">
        <v>158</v>
      </c>
      <c r="L514" t="s">
        <v>216</v>
      </c>
    </row>
    <row r="515" spans="1:12" x14ac:dyDescent="0.25">
      <c r="A515" t="s">
        <v>215</v>
      </c>
      <c r="B515">
        <v>42</v>
      </c>
      <c r="C515" t="s">
        <v>18</v>
      </c>
      <c r="D515">
        <v>1</v>
      </c>
      <c r="E515" t="s">
        <v>146</v>
      </c>
      <c r="F515">
        <v>27</v>
      </c>
      <c r="G515" t="s">
        <v>372</v>
      </c>
      <c r="H515">
        <v>29</v>
      </c>
      <c r="I515" t="s">
        <v>156</v>
      </c>
      <c r="J515" t="s">
        <v>151</v>
      </c>
      <c r="K515" t="s">
        <v>161</v>
      </c>
      <c r="L515" t="s">
        <v>216</v>
      </c>
    </row>
    <row r="516" spans="1:12" x14ac:dyDescent="0.25">
      <c r="A516" t="s">
        <v>215</v>
      </c>
      <c r="B516">
        <v>43</v>
      </c>
      <c r="C516" t="s">
        <v>18</v>
      </c>
      <c r="D516">
        <v>2</v>
      </c>
      <c r="E516" t="s">
        <v>146</v>
      </c>
      <c r="F516">
        <v>15</v>
      </c>
      <c r="G516" t="s">
        <v>372</v>
      </c>
      <c r="H516">
        <v>21</v>
      </c>
      <c r="I516" t="s">
        <v>156</v>
      </c>
      <c r="J516" t="s">
        <v>151</v>
      </c>
      <c r="K516" t="s">
        <v>161</v>
      </c>
      <c r="L516" t="s">
        <v>216</v>
      </c>
    </row>
    <row r="517" spans="1:12" x14ac:dyDescent="0.25">
      <c r="A517" t="s">
        <v>215</v>
      </c>
      <c r="B517">
        <v>44</v>
      </c>
      <c r="C517" t="s">
        <v>18</v>
      </c>
      <c r="D517">
        <v>3</v>
      </c>
      <c r="E517" t="s">
        <v>146</v>
      </c>
      <c r="G517" t="s">
        <v>372</v>
      </c>
      <c r="I517" t="s">
        <v>156</v>
      </c>
      <c r="J517" t="s">
        <v>151</v>
      </c>
      <c r="K517" t="s">
        <v>161</v>
      </c>
      <c r="L517" t="s">
        <v>216</v>
      </c>
    </row>
    <row r="518" spans="1:12" x14ac:dyDescent="0.25">
      <c r="A518" t="s">
        <v>215</v>
      </c>
      <c r="B518">
        <v>45</v>
      </c>
      <c r="C518" t="s">
        <v>21</v>
      </c>
      <c r="D518">
        <v>1</v>
      </c>
      <c r="E518" t="s">
        <v>146</v>
      </c>
      <c r="F518">
        <v>21</v>
      </c>
      <c r="G518" t="s">
        <v>372</v>
      </c>
      <c r="H518">
        <v>18</v>
      </c>
      <c r="I518" t="s">
        <v>156</v>
      </c>
      <c r="J518" t="s">
        <v>153</v>
      </c>
      <c r="K518" t="s">
        <v>163</v>
      </c>
      <c r="L518" t="s">
        <v>216</v>
      </c>
    </row>
    <row r="519" spans="1:12" x14ac:dyDescent="0.25">
      <c r="A519" t="s">
        <v>215</v>
      </c>
      <c r="B519">
        <v>46</v>
      </c>
      <c r="C519" t="s">
        <v>21</v>
      </c>
      <c r="D519">
        <v>2</v>
      </c>
      <c r="E519" t="s">
        <v>146</v>
      </c>
      <c r="F519">
        <v>21</v>
      </c>
      <c r="G519" t="s">
        <v>372</v>
      </c>
      <c r="H519">
        <v>17</v>
      </c>
      <c r="I519" t="s">
        <v>156</v>
      </c>
      <c r="J519" t="s">
        <v>153</v>
      </c>
      <c r="K519" t="s">
        <v>163</v>
      </c>
      <c r="L519" t="s">
        <v>216</v>
      </c>
    </row>
    <row r="520" spans="1:12" x14ac:dyDescent="0.25">
      <c r="A520" t="s">
        <v>215</v>
      </c>
      <c r="B520">
        <v>47</v>
      </c>
      <c r="C520" t="s">
        <v>21</v>
      </c>
      <c r="D520">
        <v>3</v>
      </c>
      <c r="E520" t="s">
        <v>146</v>
      </c>
      <c r="G520" t="s">
        <v>372</v>
      </c>
      <c r="I520" t="s">
        <v>156</v>
      </c>
      <c r="J520" t="s">
        <v>153</v>
      </c>
      <c r="K520" t="s">
        <v>163</v>
      </c>
      <c r="L520" t="s">
        <v>216</v>
      </c>
    </row>
    <row r="521" spans="1:12" x14ac:dyDescent="0.25">
      <c r="A521" t="s">
        <v>215</v>
      </c>
      <c r="B521">
        <v>48</v>
      </c>
      <c r="C521" t="s">
        <v>24</v>
      </c>
      <c r="D521">
        <v>1</v>
      </c>
      <c r="E521" t="s">
        <v>146</v>
      </c>
      <c r="F521">
        <v>21</v>
      </c>
      <c r="G521" t="s">
        <v>372</v>
      </c>
      <c r="H521">
        <v>12</v>
      </c>
      <c r="I521" t="s">
        <v>156</v>
      </c>
      <c r="J521" t="s">
        <v>209</v>
      </c>
      <c r="K521" t="s">
        <v>165</v>
      </c>
      <c r="L521" t="s">
        <v>216</v>
      </c>
    </row>
    <row r="522" spans="1:12" x14ac:dyDescent="0.25">
      <c r="A522" t="s">
        <v>215</v>
      </c>
      <c r="B522">
        <v>49</v>
      </c>
      <c r="C522" t="s">
        <v>24</v>
      </c>
      <c r="D522">
        <v>2</v>
      </c>
      <c r="E522" t="s">
        <v>146</v>
      </c>
      <c r="F522">
        <v>21</v>
      </c>
      <c r="G522" t="s">
        <v>372</v>
      </c>
      <c r="H522">
        <v>19</v>
      </c>
      <c r="I522" t="s">
        <v>156</v>
      </c>
      <c r="J522" t="s">
        <v>209</v>
      </c>
      <c r="K522" t="s">
        <v>165</v>
      </c>
      <c r="L522" t="s">
        <v>216</v>
      </c>
    </row>
    <row r="523" spans="1:12" x14ac:dyDescent="0.25">
      <c r="A523" t="s">
        <v>215</v>
      </c>
      <c r="B523">
        <v>50</v>
      </c>
      <c r="C523" t="s">
        <v>24</v>
      </c>
      <c r="D523">
        <v>3</v>
      </c>
      <c r="E523" t="s">
        <v>146</v>
      </c>
      <c r="G523" t="s">
        <v>372</v>
      </c>
      <c r="I523" t="s">
        <v>156</v>
      </c>
      <c r="J523" t="s">
        <v>209</v>
      </c>
      <c r="K523" t="s">
        <v>165</v>
      </c>
      <c r="L523" t="s">
        <v>216</v>
      </c>
    </row>
    <row r="524" spans="1:12" x14ac:dyDescent="0.25">
      <c r="A524" t="s">
        <v>215</v>
      </c>
      <c r="B524">
        <v>51</v>
      </c>
      <c r="C524" t="s">
        <v>27</v>
      </c>
      <c r="D524">
        <v>1</v>
      </c>
      <c r="E524" t="s">
        <v>146</v>
      </c>
      <c r="F524">
        <v>21</v>
      </c>
      <c r="G524" t="s">
        <v>372</v>
      </c>
      <c r="H524">
        <v>18</v>
      </c>
      <c r="I524" t="s">
        <v>156</v>
      </c>
      <c r="J524" t="s">
        <v>210</v>
      </c>
      <c r="K524" t="s">
        <v>167</v>
      </c>
      <c r="L524" t="s">
        <v>216</v>
      </c>
    </row>
    <row r="525" spans="1:12" x14ac:dyDescent="0.25">
      <c r="A525" t="s">
        <v>215</v>
      </c>
      <c r="B525">
        <v>52</v>
      </c>
      <c r="C525" t="s">
        <v>27</v>
      </c>
      <c r="D525">
        <v>2</v>
      </c>
      <c r="E525" t="s">
        <v>146</v>
      </c>
      <c r="F525">
        <v>21</v>
      </c>
      <c r="G525" t="s">
        <v>372</v>
      </c>
      <c r="H525">
        <v>15</v>
      </c>
      <c r="I525" t="s">
        <v>156</v>
      </c>
      <c r="J525" t="s">
        <v>210</v>
      </c>
      <c r="K525" t="s">
        <v>167</v>
      </c>
      <c r="L525" t="s">
        <v>216</v>
      </c>
    </row>
    <row r="526" spans="1:12" x14ac:dyDescent="0.25">
      <c r="A526" t="s">
        <v>215</v>
      </c>
      <c r="B526">
        <v>53</v>
      </c>
      <c r="C526" t="s">
        <v>27</v>
      </c>
      <c r="D526">
        <v>3</v>
      </c>
      <c r="E526" t="s">
        <v>146</v>
      </c>
      <c r="G526" t="s">
        <v>372</v>
      </c>
      <c r="I526" t="s">
        <v>156</v>
      </c>
      <c r="J526" t="s">
        <v>210</v>
      </c>
      <c r="K526" t="s">
        <v>167</v>
      </c>
      <c r="L526" t="s">
        <v>216</v>
      </c>
    </row>
    <row r="527" spans="1:12" x14ac:dyDescent="0.25">
      <c r="A527" t="s">
        <v>215</v>
      </c>
      <c r="B527">
        <v>57</v>
      </c>
      <c r="C527" t="s">
        <v>12</v>
      </c>
      <c r="D527">
        <v>1</v>
      </c>
      <c r="E527" t="s">
        <v>147</v>
      </c>
      <c r="G527" t="s">
        <v>372</v>
      </c>
      <c r="I527" t="s">
        <v>155</v>
      </c>
      <c r="J527" t="s">
        <v>149</v>
      </c>
      <c r="K527" t="s">
        <v>157</v>
      </c>
      <c r="L527" t="s">
        <v>216</v>
      </c>
    </row>
    <row r="528" spans="1:12" x14ac:dyDescent="0.25">
      <c r="A528" t="s">
        <v>215</v>
      </c>
      <c r="B528">
        <v>58</v>
      </c>
      <c r="C528" t="s">
        <v>12</v>
      </c>
      <c r="D528">
        <v>2</v>
      </c>
      <c r="E528" t="s">
        <v>147</v>
      </c>
      <c r="G528" t="s">
        <v>372</v>
      </c>
      <c r="I528" t="s">
        <v>155</v>
      </c>
      <c r="J528" t="s">
        <v>149</v>
      </c>
      <c r="K528" t="s">
        <v>157</v>
      </c>
      <c r="L528" t="s">
        <v>216</v>
      </c>
    </row>
    <row r="529" spans="1:12" x14ac:dyDescent="0.25">
      <c r="A529" t="s">
        <v>215</v>
      </c>
      <c r="B529">
        <v>59</v>
      </c>
      <c r="C529" t="s">
        <v>12</v>
      </c>
      <c r="D529">
        <v>3</v>
      </c>
      <c r="E529" t="s">
        <v>147</v>
      </c>
      <c r="G529" t="s">
        <v>372</v>
      </c>
      <c r="I529" t="s">
        <v>155</v>
      </c>
      <c r="J529" t="s">
        <v>149</v>
      </c>
      <c r="K529" t="s">
        <v>157</v>
      </c>
      <c r="L529" t="s">
        <v>216</v>
      </c>
    </row>
    <row r="530" spans="1:12" x14ac:dyDescent="0.25">
      <c r="A530" t="s">
        <v>215</v>
      </c>
      <c r="B530">
        <v>60</v>
      </c>
      <c r="C530" t="s">
        <v>18</v>
      </c>
      <c r="D530">
        <v>1</v>
      </c>
      <c r="E530" t="s">
        <v>147</v>
      </c>
      <c r="F530">
        <v>21</v>
      </c>
      <c r="G530" t="s">
        <v>372</v>
      </c>
      <c r="H530">
        <v>15</v>
      </c>
      <c r="I530" t="s">
        <v>155</v>
      </c>
      <c r="J530" t="s">
        <v>152</v>
      </c>
      <c r="K530" t="s">
        <v>160</v>
      </c>
      <c r="L530" t="s">
        <v>216</v>
      </c>
    </row>
    <row r="531" spans="1:12" x14ac:dyDescent="0.25">
      <c r="A531" t="s">
        <v>215</v>
      </c>
      <c r="B531">
        <v>61</v>
      </c>
      <c r="C531" t="s">
        <v>18</v>
      </c>
      <c r="D531">
        <v>2</v>
      </c>
      <c r="E531" t="s">
        <v>147</v>
      </c>
      <c r="F531">
        <v>21</v>
      </c>
      <c r="G531" t="s">
        <v>372</v>
      </c>
      <c r="H531">
        <v>17</v>
      </c>
      <c r="I531" t="s">
        <v>155</v>
      </c>
      <c r="J531" t="s">
        <v>152</v>
      </c>
      <c r="K531" t="s">
        <v>160</v>
      </c>
      <c r="L531" t="s">
        <v>216</v>
      </c>
    </row>
    <row r="532" spans="1:12" x14ac:dyDescent="0.25">
      <c r="A532" t="s">
        <v>215</v>
      </c>
      <c r="B532">
        <v>62</v>
      </c>
      <c r="C532" t="s">
        <v>18</v>
      </c>
      <c r="D532">
        <v>3</v>
      </c>
      <c r="E532" t="s">
        <v>147</v>
      </c>
      <c r="G532" t="s">
        <v>372</v>
      </c>
      <c r="I532" t="s">
        <v>155</v>
      </c>
      <c r="J532" t="s">
        <v>152</v>
      </c>
      <c r="K532" t="s">
        <v>160</v>
      </c>
      <c r="L532" t="s">
        <v>216</v>
      </c>
    </row>
    <row r="533" spans="1:12" x14ac:dyDescent="0.25">
      <c r="A533" t="s">
        <v>215</v>
      </c>
      <c r="B533">
        <v>63</v>
      </c>
      <c r="C533" t="s">
        <v>21</v>
      </c>
      <c r="D533">
        <v>1</v>
      </c>
      <c r="E533" t="s">
        <v>147</v>
      </c>
      <c r="F533">
        <v>26</v>
      </c>
      <c r="G533" t="s">
        <v>372</v>
      </c>
      <c r="H533">
        <v>24</v>
      </c>
      <c r="I533" t="s">
        <v>155</v>
      </c>
      <c r="J533" t="s">
        <v>154</v>
      </c>
      <c r="K533" t="s">
        <v>162</v>
      </c>
      <c r="L533" t="s">
        <v>216</v>
      </c>
    </row>
    <row r="534" spans="1:12" x14ac:dyDescent="0.25">
      <c r="A534" t="s">
        <v>215</v>
      </c>
      <c r="B534">
        <v>64</v>
      </c>
      <c r="C534" t="s">
        <v>21</v>
      </c>
      <c r="D534">
        <v>2</v>
      </c>
      <c r="E534" t="s">
        <v>147</v>
      </c>
      <c r="F534">
        <v>21</v>
      </c>
      <c r="G534" t="s">
        <v>372</v>
      </c>
      <c r="H534">
        <v>19</v>
      </c>
      <c r="I534" t="s">
        <v>155</v>
      </c>
      <c r="J534" t="s">
        <v>154</v>
      </c>
      <c r="K534" t="s">
        <v>162</v>
      </c>
      <c r="L534" t="s">
        <v>216</v>
      </c>
    </row>
    <row r="535" spans="1:12" x14ac:dyDescent="0.25">
      <c r="A535" t="s">
        <v>215</v>
      </c>
      <c r="B535">
        <v>65</v>
      </c>
      <c r="C535" t="s">
        <v>21</v>
      </c>
      <c r="D535">
        <v>3</v>
      </c>
      <c r="E535" t="s">
        <v>147</v>
      </c>
      <c r="G535" t="s">
        <v>372</v>
      </c>
      <c r="I535" t="s">
        <v>155</v>
      </c>
      <c r="J535" t="s">
        <v>154</v>
      </c>
      <c r="K535" t="s">
        <v>162</v>
      </c>
      <c r="L535" t="s">
        <v>216</v>
      </c>
    </row>
    <row r="536" spans="1:12" x14ac:dyDescent="0.25">
      <c r="A536" t="s">
        <v>215</v>
      </c>
      <c r="B536">
        <v>66</v>
      </c>
      <c r="C536" t="s">
        <v>24</v>
      </c>
      <c r="D536">
        <v>1</v>
      </c>
      <c r="E536" t="s">
        <v>147</v>
      </c>
      <c r="F536">
        <v>21</v>
      </c>
      <c r="G536" t="s">
        <v>372</v>
      </c>
      <c r="H536">
        <v>19</v>
      </c>
      <c r="I536" t="s">
        <v>155</v>
      </c>
      <c r="J536" t="s">
        <v>211</v>
      </c>
      <c r="K536" t="s">
        <v>164</v>
      </c>
      <c r="L536" t="s">
        <v>216</v>
      </c>
    </row>
    <row r="537" spans="1:12" x14ac:dyDescent="0.25">
      <c r="A537" t="s">
        <v>215</v>
      </c>
      <c r="B537">
        <v>67</v>
      </c>
      <c r="C537" t="s">
        <v>24</v>
      </c>
      <c r="D537">
        <v>2</v>
      </c>
      <c r="E537" t="s">
        <v>147</v>
      </c>
      <c r="F537">
        <v>21</v>
      </c>
      <c r="G537" t="s">
        <v>372</v>
      </c>
      <c r="H537">
        <v>12</v>
      </c>
      <c r="I537" t="s">
        <v>155</v>
      </c>
      <c r="J537" t="s">
        <v>211</v>
      </c>
      <c r="K537" t="s">
        <v>164</v>
      </c>
      <c r="L537" t="s">
        <v>216</v>
      </c>
    </row>
    <row r="538" spans="1:12" x14ac:dyDescent="0.25">
      <c r="A538" t="s">
        <v>215</v>
      </c>
      <c r="B538">
        <v>68</v>
      </c>
      <c r="C538" t="s">
        <v>24</v>
      </c>
      <c r="D538">
        <v>3</v>
      </c>
      <c r="E538" t="s">
        <v>147</v>
      </c>
      <c r="G538" t="s">
        <v>372</v>
      </c>
      <c r="I538" t="s">
        <v>155</v>
      </c>
      <c r="J538" t="s">
        <v>211</v>
      </c>
      <c r="K538" t="s">
        <v>164</v>
      </c>
      <c r="L538" t="s">
        <v>216</v>
      </c>
    </row>
    <row r="539" spans="1:12" x14ac:dyDescent="0.25">
      <c r="A539" t="s">
        <v>215</v>
      </c>
      <c r="B539">
        <v>69</v>
      </c>
      <c r="C539" t="s">
        <v>27</v>
      </c>
      <c r="D539">
        <v>1</v>
      </c>
      <c r="E539" t="s">
        <v>147</v>
      </c>
      <c r="F539">
        <v>19</v>
      </c>
      <c r="G539" t="s">
        <v>372</v>
      </c>
      <c r="H539">
        <v>21</v>
      </c>
      <c r="I539" t="s">
        <v>155</v>
      </c>
      <c r="J539" t="s">
        <v>212</v>
      </c>
      <c r="K539" t="s">
        <v>166</v>
      </c>
      <c r="L539" t="s">
        <v>216</v>
      </c>
    </row>
    <row r="540" spans="1:12" x14ac:dyDescent="0.25">
      <c r="A540" t="s">
        <v>215</v>
      </c>
      <c r="B540">
        <v>70</v>
      </c>
      <c r="C540" t="s">
        <v>27</v>
      </c>
      <c r="D540">
        <v>2</v>
      </c>
      <c r="E540" t="s">
        <v>147</v>
      </c>
      <c r="F540">
        <v>21</v>
      </c>
      <c r="G540" t="s">
        <v>372</v>
      </c>
      <c r="H540">
        <v>23</v>
      </c>
      <c r="I540" t="s">
        <v>155</v>
      </c>
      <c r="J540" t="s">
        <v>212</v>
      </c>
      <c r="K540" t="s">
        <v>166</v>
      </c>
      <c r="L540" t="s">
        <v>216</v>
      </c>
    </row>
    <row r="541" spans="1:12" x14ac:dyDescent="0.25">
      <c r="A541" t="s">
        <v>215</v>
      </c>
      <c r="B541">
        <v>71</v>
      </c>
      <c r="C541" t="s">
        <v>27</v>
      </c>
      <c r="D541">
        <v>3</v>
      </c>
      <c r="E541" t="s">
        <v>147</v>
      </c>
      <c r="G541" t="s">
        <v>372</v>
      </c>
      <c r="I541" t="s">
        <v>155</v>
      </c>
      <c r="J541" t="s">
        <v>212</v>
      </c>
      <c r="K541" t="s">
        <v>166</v>
      </c>
      <c r="L541" t="s">
        <v>216</v>
      </c>
    </row>
    <row r="542" spans="1:12" x14ac:dyDescent="0.25">
      <c r="A542" t="s">
        <v>215</v>
      </c>
      <c r="B542">
        <v>75</v>
      </c>
      <c r="C542" t="s">
        <v>12</v>
      </c>
      <c r="D542">
        <v>1</v>
      </c>
      <c r="E542" t="s">
        <v>14</v>
      </c>
      <c r="F542">
        <v>21</v>
      </c>
      <c r="G542" t="s">
        <v>372</v>
      </c>
      <c r="H542">
        <v>14</v>
      </c>
      <c r="I542" t="s">
        <v>44</v>
      </c>
      <c r="J542" t="s">
        <v>16</v>
      </c>
      <c r="K542" t="s">
        <v>46</v>
      </c>
      <c r="L542" t="s">
        <v>216</v>
      </c>
    </row>
    <row r="543" spans="1:12" x14ac:dyDescent="0.25">
      <c r="A543" t="s">
        <v>215</v>
      </c>
      <c r="B543">
        <v>76</v>
      </c>
      <c r="C543" t="s">
        <v>12</v>
      </c>
      <c r="D543">
        <v>2</v>
      </c>
      <c r="E543" t="s">
        <v>14</v>
      </c>
      <c r="F543">
        <v>1</v>
      </c>
      <c r="G543" t="s">
        <v>372</v>
      </c>
      <c r="H543">
        <v>0</v>
      </c>
      <c r="I543" t="s">
        <v>44</v>
      </c>
      <c r="J543" t="s">
        <v>16</v>
      </c>
      <c r="K543" t="s">
        <v>46</v>
      </c>
      <c r="L543" t="s">
        <v>229</v>
      </c>
    </row>
    <row r="544" spans="1:12" x14ac:dyDescent="0.25">
      <c r="A544" t="s">
        <v>215</v>
      </c>
      <c r="B544">
        <v>77</v>
      </c>
      <c r="C544" t="s">
        <v>12</v>
      </c>
      <c r="D544">
        <v>3</v>
      </c>
      <c r="E544" t="s">
        <v>14</v>
      </c>
      <c r="G544" t="s">
        <v>372</v>
      </c>
      <c r="I544" t="s">
        <v>44</v>
      </c>
      <c r="J544" t="s">
        <v>16</v>
      </c>
      <c r="K544" t="s">
        <v>46</v>
      </c>
      <c r="L544" t="s">
        <v>229</v>
      </c>
    </row>
    <row r="545" spans="1:12" x14ac:dyDescent="0.25">
      <c r="A545" t="s">
        <v>215</v>
      </c>
      <c r="B545">
        <v>78</v>
      </c>
      <c r="C545" t="s">
        <v>18</v>
      </c>
      <c r="D545">
        <v>1</v>
      </c>
      <c r="E545" t="s">
        <v>14</v>
      </c>
      <c r="F545">
        <v>21</v>
      </c>
      <c r="G545" t="s">
        <v>372</v>
      </c>
      <c r="H545">
        <v>14</v>
      </c>
      <c r="I545" t="s">
        <v>44</v>
      </c>
      <c r="J545" t="s">
        <v>20</v>
      </c>
      <c r="K545" t="s">
        <v>49</v>
      </c>
      <c r="L545" t="s">
        <v>229</v>
      </c>
    </row>
    <row r="546" spans="1:12" x14ac:dyDescent="0.25">
      <c r="A546" t="s">
        <v>215</v>
      </c>
      <c r="B546">
        <v>79</v>
      </c>
      <c r="C546" t="s">
        <v>18</v>
      </c>
      <c r="D546">
        <v>2</v>
      </c>
      <c r="E546" t="s">
        <v>14</v>
      </c>
      <c r="F546">
        <v>1</v>
      </c>
      <c r="G546" t="s">
        <v>372</v>
      </c>
      <c r="H546">
        <v>0</v>
      </c>
      <c r="I546" t="s">
        <v>44</v>
      </c>
      <c r="J546" t="s">
        <v>20</v>
      </c>
      <c r="K546" t="s">
        <v>49</v>
      </c>
      <c r="L546" t="s">
        <v>229</v>
      </c>
    </row>
    <row r="547" spans="1:12" x14ac:dyDescent="0.25">
      <c r="A547" t="s">
        <v>215</v>
      </c>
      <c r="B547">
        <v>80</v>
      </c>
      <c r="C547" t="s">
        <v>18</v>
      </c>
      <c r="D547">
        <v>3</v>
      </c>
      <c r="E547" t="s">
        <v>14</v>
      </c>
      <c r="G547" t="s">
        <v>372</v>
      </c>
      <c r="I547" t="s">
        <v>44</v>
      </c>
      <c r="J547" t="s">
        <v>20</v>
      </c>
      <c r="K547" t="s">
        <v>49</v>
      </c>
      <c r="L547" t="s">
        <v>229</v>
      </c>
    </row>
    <row r="548" spans="1:12" x14ac:dyDescent="0.25">
      <c r="A548" t="s">
        <v>215</v>
      </c>
      <c r="B548">
        <v>81</v>
      </c>
      <c r="C548" t="s">
        <v>21</v>
      </c>
      <c r="D548">
        <v>1</v>
      </c>
      <c r="E548" t="s">
        <v>14</v>
      </c>
      <c r="F548">
        <v>21</v>
      </c>
      <c r="G548" t="s">
        <v>372</v>
      </c>
      <c r="H548">
        <v>15</v>
      </c>
      <c r="I548" t="s">
        <v>44</v>
      </c>
      <c r="J548" t="s">
        <v>23</v>
      </c>
      <c r="K548" t="s">
        <v>51</v>
      </c>
      <c r="L548" t="s">
        <v>229</v>
      </c>
    </row>
    <row r="549" spans="1:12" x14ac:dyDescent="0.25">
      <c r="A549" t="s">
        <v>215</v>
      </c>
      <c r="B549">
        <v>82</v>
      </c>
      <c r="C549" t="s">
        <v>21</v>
      </c>
      <c r="D549">
        <v>2</v>
      </c>
      <c r="E549" t="s">
        <v>14</v>
      </c>
      <c r="F549">
        <v>1</v>
      </c>
      <c r="G549" t="s">
        <v>372</v>
      </c>
      <c r="H549">
        <v>0</v>
      </c>
      <c r="I549" t="s">
        <v>44</v>
      </c>
      <c r="J549" t="s">
        <v>23</v>
      </c>
      <c r="K549" t="s">
        <v>51</v>
      </c>
      <c r="L549" t="s">
        <v>229</v>
      </c>
    </row>
    <row r="550" spans="1:12" x14ac:dyDescent="0.25">
      <c r="A550" t="s">
        <v>215</v>
      </c>
      <c r="B550">
        <v>83</v>
      </c>
      <c r="C550" t="s">
        <v>21</v>
      </c>
      <c r="D550">
        <v>3</v>
      </c>
      <c r="E550" t="s">
        <v>14</v>
      </c>
      <c r="G550" t="s">
        <v>372</v>
      </c>
      <c r="I550" t="s">
        <v>44</v>
      </c>
      <c r="J550" t="s">
        <v>23</v>
      </c>
      <c r="K550" t="s">
        <v>51</v>
      </c>
      <c r="L550" t="s">
        <v>229</v>
      </c>
    </row>
    <row r="551" spans="1:12" x14ac:dyDescent="0.25">
      <c r="A551" t="s">
        <v>215</v>
      </c>
      <c r="B551">
        <v>84</v>
      </c>
      <c r="C551" t="s">
        <v>24</v>
      </c>
      <c r="D551">
        <v>1</v>
      </c>
      <c r="E551" t="s">
        <v>14</v>
      </c>
      <c r="F551">
        <v>21</v>
      </c>
      <c r="G551" t="s">
        <v>372</v>
      </c>
      <c r="H551">
        <v>10</v>
      </c>
      <c r="I551" t="s">
        <v>44</v>
      </c>
      <c r="J551" t="s">
        <v>26</v>
      </c>
      <c r="K551" t="s">
        <v>53</v>
      </c>
      <c r="L551" t="s">
        <v>229</v>
      </c>
    </row>
    <row r="552" spans="1:12" x14ac:dyDescent="0.25">
      <c r="A552" t="s">
        <v>215</v>
      </c>
      <c r="B552">
        <v>85</v>
      </c>
      <c r="C552" t="s">
        <v>24</v>
      </c>
      <c r="D552">
        <v>2</v>
      </c>
      <c r="E552" t="s">
        <v>14</v>
      </c>
      <c r="F552">
        <v>1</v>
      </c>
      <c r="G552" t="s">
        <v>372</v>
      </c>
      <c r="H552">
        <v>0</v>
      </c>
      <c r="I552" t="s">
        <v>44</v>
      </c>
      <c r="J552" t="s">
        <v>26</v>
      </c>
      <c r="K552" t="s">
        <v>53</v>
      </c>
      <c r="L552" t="s">
        <v>229</v>
      </c>
    </row>
    <row r="553" spans="1:12" x14ac:dyDescent="0.25">
      <c r="A553" t="s">
        <v>215</v>
      </c>
      <c r="B553">
        <v>86</v>
      </c>
      <c r="C553" t="s">
        <v>24</v>
      </c>
      <c r="D553">
        <v>3</v>
      </c>
      <c r="E553" t="s">
        <v>14</v>
      </c>
      <c r="G553" t="s">
        <v>372</v>
      </c>
      <c r="I553" t="s">
        <v>44</v>
      </c>
      <c r="J553" t="s">
        <v>26</v>
      </c>
      <c r="K553" t="s">
        <v>53</v>
      </c>
      <c r="L553" t="s">
        <v>229</v>
      </c>
    </row>
    <row r="554" spans="1:12" x14ac:dyDescent="0.25">
      <c r="A554" t="s">
        <v>215</v>
      </c>
      <c r="B554">
        <v>87</v>
      </c>
      <c r="C554" t="s">
        <v>27</v>
      </c>
      <c r="D554">
        <v>1</v>
      </c>
      <c r="E554" t="s">
        <v>14</v>
      </c>
      <c r="F554">
        <v>21</v>
      </c>
      <c r="G554" t="s">
        <v>372</v>
      </c>
      <c r="H554">
        <v>13</v>
      </c>
      <c r="I554" t="s">
        <v>44</v>
      </c>
      <c r="J554" t="s">
        <v>29</v>
      </c>
      <c r="K554" t="s">
        <v>55</v>
      </c>
      <c r="L554" t="s">
        <v>229</v>
      </c>
    </row>
    <row r="555" spans="1:12" x14ac:dyDescent="0.25">
      <c r="A555" t="s">
        <v>215</v>
      </c>
      <c r="B555">
        <v>88</v>
      </c>
      <c r="C555" t="s">
        <v>27</v>
      </c>
      <c r="D555">
        <v>2</v>
      </c>
      <c r="E555" t="s">
        <v>14</v>
      </c>
      <c r="F555">
        <v>1</v>
      </c>
      <c r="G555" t="s">
        <v>372</v>
      </c>
      <c r="H555">
        <v>0</v>
      </c>
      <c r="I555" t="s">
        <v>44</v>
      </c>
      <c r="J555" t="s">
        <v>29</v>
      </c>
      <c r="K555" t="s">
        <v>55</v>
      </c>
      <c r="L555" t="s">
        <v>229</v>
      </c>
    </row>
    <row r="556" spans="1:12" x14ac:dyDescent="0.25">
      <c r="A556" t="s">
        <v>215</v>
      </c>
      <c r="B556">
        <v>89</v>
      </c>
      <c r="C556" t="s">
        <v>27</v>
      </c>
      <c r="D556">
        <v>3</v>
      </c>
      <c r="E556" t="s">
        <v>14</v>
      </c>
      <c r="G556" t="s">
        <v>372</v>
      </c>
      <c r="I556" t="s">
        <v>44</v>
      </c>
      <c r="J556" t="s">
        <v>29</v>
      </c>
      <c r="K556" t="s">
        <v>55</v>
      </c>
      <c r="L556" t="s">
        <v>229</v>
      </c>
    </row>
    <row r="557" spans="1:12" x14ac:dyDescent="0.25">
      <c r="A557" t="s">
        <v>215</v>
      </c>
      <c r="B557">
        <v>93</v>
      </c>
      <c r="C557" t="s">
        <v>12</v>
      </c>
      <c r="D557">
        <v>1</v>
      </c>
      <c r="E557" t="s">
        <v>182</v>
      </c>
      <c r="F557">
        <v>1</v>
      </c>
      <c r="G557" t="s">
        <v>372</v>
      </c>
      <c r="H557">
        <v>0</v>
      </c>
      <c r="I557" t="s">
        <v>31</v>
      </c>
      <c r="J557" t="s">
        <v>184</v>
      </c>
      <c r="K557" t="s">
        <v>33</v>
      </c>
      <c r="L557" t="s">
        <v>229</v>
      </c>
    </row>
    <row r="558" spans="1:12" x14ac:dyDescent="0.25">
      <c r="A558" t="s">
        <v>215</v>
      </c>
      <c r="B558">
        <v>94</v>
      </c>
      <c r="C558" t="s">
        <v>12</v>
      </c>
      <c r="D558">
        <v>2</v>
      </c>
      <c r="E558" t="s">
        <v>182</v>
      </c>
      <c r="F558">
        <v>1</v>
      </c>
      <c r="G558" t="s">
        <v>372</v>
      </c>
      <c r="H558">
        <v>0</v>
      </c>
      <c r="I558" t="s">
        <v>31</v>
      </c>
      <c r="J558" t="s">
        <v>184</v>
      </c>
      <c r="K558" t="s">
        <v>33</v>
      </c>
      <c r="L558" t="s">
        <v>229</v>
      </c>
    </row>
    <row r="559" spans="1:12" x14ac:dyDescent="0.25">
      <c r="A559" t="s">
        <v>215</v>
      </c>
      <c r="B559">
        <v>95</v>
      </c>
      <c r="C559" t="s">
        <v>12</v>
      </c>
      <c r="D559">
        <v>3</v>
      </c>
      <c r="E559" t="s">
        <v>182</v>
      </c>
      <c r="G559" t="s">
        <v>372</v>
      </c>
      <c r="I559" t="s">
        <v>31</v>
      </c>
      <c r="J559" t="s">
        <v>184</v>
      </c>
      <c r="K559" t="s">
        <v>33</v>
      </c>
      <c r="L559" t="s">
        <v>229</v>
      </c>
    </row>
    <row r="560" spans="1:12" x14ac:dyDescent="0.25">
      <c r="A560" t="s">
        <v>215</v>
      </c>
      <c r="B560">
        <v>96</v>
      </c>
      <c r="C560" t="s">
        <v>18</v>
      </c>
      <c r="D560">
        <v>1</v>
      </c>
      <c r="E560" t="s">
        <v>182</v>
      </c>
      <c r="F560">
        <v>1</v>
      </c>
      <c r="G560" t="s">
        <v>372</v>
      </c>
      <c r="H560">
        <v>0</v>
      </c>
      <c r="I560" t="s">
        <v>31</v>
      </c>
      <c r="J560" t="s">
        <v>187</v>
      </c>
      <c r="K560" t="s">
        <v>36</v>
      </c>
      <c r="L560" t="s">
        <v>229</v>
      </c>
    </row>
    <row r="561" spans="1:12" x14ac:dyDescent="0.25">
      <c r="A561" t="s">
        <v>215</v>
      </c>
      <c r="B561">
        <v>97</v>
      </c>
      <c r="C561" t="s">
        <v>18</v>
      </c>
      <c r="D561">
        <v>2</v>
      </c>
      <c r="E561" t="s">
        <v>182</v>
      </c>
      <c r="F561">
        <v>1</v>
      </c>
      <c r="G561" t="s">
        <v>372</v>
      </c>
      <c r="H561">
        <v>0</v>
      </c>
      <c r="I561" t="s">
        <v>31</v>
      </c>
      <c r="J561" t="s">
        <v>187</v>
      </c>
      <c r="K561" t="s">
        <v>36</v>
      </c>
      <c r="L561" t="s">
        <v>229</v>
      </c>
    </row>
    <row r="562" spans="1:12" x14ac:dyDescent="0.25">
      <c r="A562" t="s">
        <v>215</v>
      </c>
      <c r="B562">
        <v>98</v>
      </c>
      <c r="C562" t="s">
        <v>18</v>
      </c>
      <c r="D562">
        <v>3</v>
      </c>
      <c r="E562" t="s">
        <v>182</v>
      </c>
      <c r="G562" t="s">
        <v>372</v>
      </c>
      <c r="I562" t="s">
        <v>31</v>
      </c>
      <c r="J562" t="s">
        <v>187</v>
      </c>
      <c r="K562" t="s">
        <v>36</v>
      </c>
      <c r="L562" t="s">
        <v>229</v>
      </c>
    </row>
    <row r="563" spans="1:12" x14ac:dyDescent="0.25">
      <c r="A563" t="s">
        <v>215</v>
      </c>
      <c r="B563">
        <v>99</v>
      </c>
      <c r="C563" t="s">
        <v>21</v>
      </c>
      <c r="D563">
        <v>1</v>
      </c>
      <c r="E563" t="s">
        <v>182</v>
      </c>
      <c r="F563">
        <v>1</v>
      </c>
      <c r="G563" t="s">
        <v>372</v>
      </c>
      <c r="H563">
        <v>0</v>
      </c>
      <c r="I563" t="s">
        <v>31</v>
      </c>
      <c r="J563" t="s">
        <v>189</v>
      </c>
      <c r="K563" t="s">
        <v>38</v>
      </c>
      <c r="L563" t="s">
        <v>229</v>
      </c>
    </row>
    <row r="564" spans="1:12" x14ac:dyDescent="0.25">
      <c r="A564" t="s">
        <v>215</v>
      </c>
      <c r="B564">
        <v>100</v>
      </c>
      <c r="C564" t="s">
        <v>21</v>
      </c>
      <c r="D564">
        <v>2</v>
      </c>
      <c r="E564" t="s">
        <v>182</v>
      </c>
      <c r="F564">
        <v>1</v>
      </c>
      <c r="G564" t="s">
        <v>372</v>
      </c>
      <c r="H564">
        <v>0</v>
      </c>
      <c r="I564" t="s">
        <v>31</v>
      </c>
      <c r="J564" t="s">
        <v>189</v>
      </c>
      <c r="K564" t="s">
        <v>38</v>
      </c>
      <c r="L564" t="s">
        <v>229</v>
      </c>
    </row>
    <row r="565" spans="1:12" x14ac:dyDescent="0.25">
      <c r="A565" t="s">
        <v>215</v>
      </c>
      <c r="B565">
        <v>101</v>
      </c>
      <c r="C565" t="s">
        <v>21</v>
      </c>
      <c r="D565">
        <v>3</v>
      </c>
      <c r="E565" t="s">
        <v>182</v>
      </c>
      <c r="G565" t="s">
        <v>372</v>
      </c>
      <c r="I565" t="s">
        <v>31</v>
      </c>
      <c r="J565" t="s">
        <v>189</v>
      </c>
      <c r="K565" t="s">
        <v>38</v>
      </c>
      <c r="L565" t="s">
        <v>229</v>
      </c>
    </row>
    <row r="566" spans="1:12" x14ac:dyDescent="0.25">
      <c r="A566" t="s">
        <v>215</v>
      </c>
      <c r="B566">
        <v>102</v>
      </c>
      <c r="C566" t="s">
        <v>24</v>
      </c>
      <c r="D566">
        <v>1</v>
      </c>
      <c r="E566" t="s">
        <v>182</v>
      </c>
      <c r="F566">
        <v>1</v>
      </c>
      <c r="G566" t="s">
        <v>372</v>
      </c>
      <c r="H566">
        <v>0</v>
      </c>
      <c r="I566" t="s">
        <v>31</v>
      </c>
      <c r="J566" t="s">
        <v>191</v>
      </c>
      <c r="K566" t="s">
        <v>40</v>
      </c>
      <c r="L566" t="s">
        <v>229</v>
      </c>
    </row>
    <row r="567" spans="1:12" x14ac:dyDescent="0.25">
      <c r="A567" t="s">
        <v>215</v>
      </c>
      <c r="B567">
        <v>103</v>
      </c>
      <c r="C567" t="s">
        <v>24</v>
      </c>
      <c r="D567">
        <v>2</v>
      </c>
      <c r="E567" t="s">
        <v>182</v>
      </c>
      <c r="F567">
        <v>1</v>
      </c>
      <c r="G567" t="s">
        <v>372</v>
      </c>
      <c r="H567">
        <v>0</v>
      </c>
      <c r="I567" t="s">
        <v>31</v>
      </c>
      <c r="J567" t="s">
        <v>191</v>
      </c>
      <c r="K567" t="s">
        <v>40</v>
      </c>
      <c r="L567" t="s">
        <v>229</v>
      </c>
    </row>
    <row r="568" spans="1:12" x14ac:dyDescent="0.25">
      <c r="A568" t="s">
        <v>215</v>
      </c>
      <c r="B568">
        <v>104</v>
      </c>
      <c r="C568" t="s">
        <v>24</v>
      </c>
      <c r="D568">
        <v>3</v>
      </c>
      <c r="E568" t="s">
        <v>182</v>
      </c>
      <c r="G568" t="s">
        <v>372</v>
      </c>
      <c r="I568" t="s">
        <v>31</v>
      </c>
      <c r="J568" t="s">
        <v>191</v>
      </c>
      <c r="K568" t="s">
        <v>40</v>
      </c>
      <c r="L568" t="s">
        <v>229</v>
      </c>
    </row>
    <row r="569" spans="1:12" x14ac:dyDescent="0.25">
      <c r="A569" t="s">
        <v>215</v>
      </c>
      <c r="B569">
        <v>105</v>
      </c>
      <c r="C569" t="s">
        <v>27</v>
      </c>
      <c r="D569">
        <v>1</v>
      </c>
      <c r="E569" t="s">
        <v>182</v>
      </c>
      <c r="F569">
        <v>0</v>
      </c>
      <c r="G569" t="s">
        <v>372</v>
      </c>
      <c r="H569">
        <v>1</v>
      </c>
      <c r="I569" t="s">
        <v>31</v>
      </c>
      <c r="J569" t="s">
        <v>193</v>
      </c>
      <c r="K569" t="s">
        <v>42</v>
      </c>
      <c r="L569" t="s">
        <v>229</v>
      </c>
    </row>
    <row r="570" spans="1:12" x14ac:dyDescent="0.25">
      <c r="A570" t="s">
        <v>215</v>
      </c>
      <c r="B570">
        <v>106</v>
      </c>
      <c r="C570" t="s">
        <v>27</v>
      </c>
      <c r="D570">
        <v>2</v>
      </c>
      <c r="E570" t="s">
        <v>182</v>
      </c>
      <c r="F570">
        <v>0</v>
      </c>
      <c r="G570" t="s">
        <v>372</v>
      </c>
      <c r="H570">
        <v>1</v>
      </c>
      <c r="I570" t="s">
        <v>31</v>
      </c>
      <c r="J570" t="s">
        <v>193</v>
      </c>
      <c r="K570" t="s">
        <v>42</v>
      </c>
      <c r="L570" t="s">
        <v>229</v>
      </c>
    </row>
    <row r="571" spans="1:12" x14ac:dyDescent="0.25">
      <c r="A571" t="s">
        <v>215</v>
      </c>
      <c r="B571">
        <v>107</v>
      </c>
      <c r="C571" t="s">
        <v>27</v>
      </c>
      <c r="D571">
        <v>3</v>
      </c>
      <c r="E571" t="s">
        <v>182</v>
      </c>
      <c r="G571" t="s">
        <v>372</v>
      </c>
      <c r="I571" t="s">
        <v>31</v>
      </c>
      <c r="J571" t="s">
        <v>193</v>
      </c>
      <c r="K571" t="s">
        <v>42</v>
      </c>
      <c r="L571" t="s">
        <v>229</v>
      </c>
    </row>
    <row r="572" spans="1:12" x14ac:dyDescent="0.25">
      <c r="A572" t="s">
        <v>215</v>
      </c>
      <c r="B572">
        <v>111</v>
      </c>
      <c r="C572" t="s">
        <v>12</v>
      </c>
      <c r="D572">
        <v>1</v>
      </c>
      <c r="E572" t="s">
        <v>13</v>
      </c>
      <c r="F572">
        <v>21</v>
      </c>
      <c r="G572" t="s">
        <v>372</v>
      </c>
      <c r="H572">
        <v>12</v>
      </c>
      <c r="I572" t="s">
        <v>43</v>
      </c>
      <c r="J572" t="s">
        <v>15</v>
      </c>
      <c r="K572" t="s">
        <v>45</v>
      </c>
      <c r="L572" t="s">
        <v>229</v>
      </c>
    </row>
    <row r="573" spans="1:12" x14ac:dyDescent="0.25">
      <c r="A573" t="s">
        <v>215</v>
      </c>
      <c r="B573">
        <v>112</v>
      </c>
      <c r="C573" t="s">
        <v>12</v>
      </c>
      <c r="D573">
        <v>2</v>
      </c>
      <c r="E573" t="s">
        <v>13</v>
      </c>
      <c r="F573">
        <v>1</v>
      </c>
      <c r="G573" t="s">
        <v>372</v>
      </c>
      <c r="H573">
        <v>0</v>
      </c>
      <c r="I573" t="s">
        <v>43</v>
      </c>
      <c r="J573" t="s">
        <v>15</v>
      </c>
      <c r="K573" t="s">
        <v>45</v>
      </c>
      <c r="L573" t="s">
        <v>229</v>
      </c>
    </row>
    <row r="574" spans="1:12" x14ac:dyDescent="0.25">
      <c r="A574" t="s">
        <v>215</v>
      </c>
      <c r="B574">
        <v>113</v>
      </c>
      <c r="C574" t="s">
        <v>12</v>
      </c>
      <c r="D574">
        <v>3</v>
      </c>
      <c r="E574" t="s">
        <v>13</v>
      </c>
      <c r="G574" t="s">
        <v>372</v>
      </c>
      <c r="I574" t="s">
        <v>43</v>
      </c>
      <c r="J574" t="s">
        <v>15</v>
      </c>
      <c r="K574" t="s">
        <v>45</v>
      </c>
      <c r="L574" t="s">
        <v>229</v>
      </c>
    </row>
    <row r="575" spans="1:12" x14ac:dyDescent="0.25">
      <c r="A575" t="s">
        <v>215</v>
      </c>
      <c r="B575">
        <v>114</v>
      </c>
      <c r="C575" t="s">
        <v>18</v>
      </c>
      <c r="D575">
        <v>1</v>
      </c>
      <c r="E575" t="s">
        <v>13</v>
      </c>
      <c r="F575">
        <v>21</v>
      </c>
      <c r="G575" t="s">
        <v>372</v>
      </c>
      <c r="H575">
        <v>17</v>
      </c>
      <c r="I575" t="s">
        <v>43</v>
      </c>
      <c r="J575" t="s">
        <v>19</v>
      </c>
      <c r="K575" t="s">
        <v>48</v>
      </c>
      <c r="L575" t="s">
        <v>229</v>
      </c>
    </row>
    <row r="576" spans="1:12" x14ac:dyDescent="0.25">
      <c r="A576" t="s">
        <v>215</v>
      </c>
      <c r="B576">
        <v>115</v>
      </c>
      <c r="C576" t="s">
        <v>18</v>
      </c>
      <c r="D576">
        <v>2</v>
      </c>
      <c r="E576" t="s">
        <v>13</v>
      </c>
      <c r="F576">
        <v>1</v>
      </c>
      <c r="G576" t="s">
        <v>372</v>
      </c>
      <c r="H576">
        <v>0</v>
      </c>
      <c r="I576" t="s">
        <v>43</v>
      </c>
      <c r="J576" t="s">
        <v>19</v>
      </c>
      <c r="K576" t="s">
        <v>48</v>
      </c>
      <c r="L576" t="s">
        <v>229</v>
      </c>
    </row>
    <row r="577" spans="1:12" x14ac:dyDescent="0.25">
      <c r="A577" t="s">
        <v>215</v>
      </c>
      <c r="B577">
        <v>116</v>
      </c>
      <c r="C577" t="s">
        <v>18</v>
      </c>
      <c r="D577">
        <v>3</v>
      </c>
      <c r="E577" t="s">
        <v>13</v>
      </c>
      <c r="G577" t="s">
        <v>372</v>
      </c>
      <c r="I577" t="s">
        <v>43</v>
      </c>
      <c r="J577" t="s">
        <v>19</v>
      </c>
      <c r="K577" t="s">
        <v>48</v>
      </c>
      <c r="L577" t="s">
        <v>229</v>
      </c>
    </row>
    <row r="578" spans="1:12" x14ac:dyDescent="0.25">
      <c r="A578" t="s">
        <v>215</v>
      </c>
      <c r="B578">
        <v>117</v>
      </c>
      <c r="C578" t="s">
        <v>21</v>
      </c>
      <c r="D578">
        <v>1</v>
      </c>
      <c r="E578" t="s">
        <v>13</v>
      </c>
      <c r="F578">
        <v>21</v>
      </c>
      <c r="G578" t="s">
        <v>372</v>
      </c>
      <c r="H578">
        <v>8</v>
      </c>
      <c r="I578" t="s">
        <v>43</v>
      </c>
      <c r="J578" t="s">
        <v>22</v>
      </c>
      <c r="K578" t="s">
        <v>50</v>
      </c>
      <c r="L578" t="s">
        <v>229</v>
      </c>
    </row>
    <row r="579" spans="1:12" x14ac:dyDescent="0.25">
      <c r="A579" t="s">
        <v>215</v>
      </c>
      <c r="B579">
        <v>118</v>
      </c>
      <c r="C579" t="s">
        <v>21</v>
      </c>
      <c r="D579">
        <v>2</v>
      </c>
      <c r="E579" t="s">
        <v>13</v>
      </c>
      <c r="F579">
        <v>1</v>
      </c>
      <c r="G579" t="s">
        <v>372</v>
      </c>
      <c r="H579">
        <v>0</v>
      </c>
      <c r="I579" t="s">
        <v>43</v>
      </c>
      <c r="J579" t="s">
        <v>22</v>
      </c>
      <c r="K579" t="s">
        <v>50</v>
      </c>
      <c r="L579" t="s">
        <v>229</v>
      </c>
    </row>
    <row r="580" spans="1:12" x14ac:dyDescent="0.25">
      <c r="A580" t="s">
        <v>215</v>
      </c>
      <c r="B580">
        <v>119</v>
      </c>
      <c r="C580" t="s">
        <v>21</v>
      </c>
      <c r="D580">
        <v>3</v>
      </c>
      <c r="E580" t="s">
        <v>13</v>
      </c>
      <c r="G580" t="s">
        <v>372</v>
      </c>
      <c r="I580" t="s">
        <v>43</v>
      </c>
      <c r="J580" t="s">
        <v>22</v>
      </c>
      <c r="K580" t="s">
        <v>50</v>
      </c>
      <c r="L580" t="s">
        <v>229</v>
      </c>
    </row>
    <row r="581" spans="1:12" x14ac:dyDescent="0.25">
      <c r="A581" t="s">
        <v>215</v>
      </c>
      <c r="B581">
        <v>120</v>
      </c>
      <c r="C581" t="s">
        <v>24</v>
      </c>
      <c r="D581">
        <v>1</v>
      </c>
      <c r="E581" t="s">
        <v>13</v>
      </c>
      <c r="F581">
        <v>21</v>
      </c>
      <c r="G581" t="s">
        <v>372</v>
      </c>
      <c r="H581">
        <v>13</v>
      </c>
      <c r="I581" t="s">
        <v>43</v>
      </c>
      <c r="J581" t="s">
        <v>25</v>
      </c>
      <c r="K581" t="s">
        <v>52</v>
      </c>
      <c r="L581" t="s">
        <v>229</v>
      </c>
    </row>
    <row r="582" spans="1:12" x14ac:dyDescent="0.25">
      <c r="A582" t="s">
        <v>215</v>
      </c>
      <c r="B582">
        <v>121</v>
      </c>
      <c r="C582" t="s">
        <v>24</v>
      </c>
      <c r="D582">
        <v>2</v>
      </c>
      <c r="E582" t="s">
        <v>13</v>
      </c>
      <c r="F582">
        <v>1</v>
      </c>
      <c r="G582" t="s">
        <v>372</v>
      </c>
      <c r="H582">
        <v>0</v>
      </c>
      <c r="I582" t="s">
        <v>43</v>
      </c>
      <c r="J582" t="s">
        <v>25</v>
      </c>
      <c r="K582" t="s">
        <v>52</v>
      </c>
      <c r="L582" t="s">
        <v>229</v>
      </c>
    </row>
    <row r="583" spans="1:12" x14ac:dyDescent="0.25">
      <c r="A583" t="s">
        <v>215</v>
      </c>
      <c r="B583">
        <v>122</v>
      </c>
      <c r="C583" t="s">
        <v>24</v>
      </c>
      <c r="D583">
        <v>3</v>
      </c>
      <c r="E583" t="s">
        <v>13</v>
      </c>
      <c r="G583" t="s">
        <v>372</v>
      </c>
      <c r="I583" t="s">
        <v>43</v>
      </c>
      <c r="J583" t="s">
        <v>25</v>
      </c>
      <c r="K583" t="s">
        <v>52</v>
      </c>
      <c r="L583" t="s">
        <v>229</v>
      </c>
    </row>
    <row r="584" spans="1:12" x14ac:dyDescent="0.25">
      <c r="A584" t="s">
        <v>215</v>
      </c>
      <c r="B584">
        <v>123</v>
      </c>
      <c r="C584" t="s">
        <v>27</v>
      </c>
      <c r="D584">
        <v>1</v>
      </c>
      <c r="E584" t="s">
        <v>13</v>
      </c>
      <c r="F584">
        <v>21</v>
      </c>
      <c r="G584" t="s">
        <v>372</v>
      </c>
      <c r="H584">
        <v>11</v>
      </c>
      <c r="I584" t="s">
        <v>43</v>
      </c>
      <c r="J584" t="s">
        <v>28</v>
      </c>
      <c r="K584" t="s">
        <v>54</v>
      </c>
      <c r="L584" t="s">
        <v>229</v>
      </c>
    </row>
    <row r="585" spans="1:12" x14ac:dyDescent="0.25">
      <c r="A585" t="s">
        <v>215</v>
      </c>
      <c r="B585">
        <v>124</v>
      </c>
      <c r="C585" t="s">
        <v>27</v>
      </c>
      <c r="D585">
        <v>2</v>
      </c>
      <c r="E585" t="s">
        <v>13</v>
      </c>
      <c r="F585">
        <v>1</v>
      </c>
      <c r="G585" t="s">
        <v>372</v>
      </c>
      <c r="H585">
        <v>0</v>
      </c>
      <c r="I585" t="s">
        <v>43</v>
      </c>
      <c r="J585" t="s">
        <v>28</v>
      </c>
      <c r="K585" t="s">
        <v>54</v>
      </c>
      <c r="L585" t="s">
        <v>229</v>
      </c>
    </row>
    <row r="586" spans="1:12" x14ac:dyDescent="0.25">
      <c r="A586" t="s">
        <v>215</v>
      </c>
      <c r="B586">
        <v>125</v>
      </c>
      <c r="C586" t="s">
        <v>27</v>
      </c>
      <c r="D586">
        <v>3</v>
      </c>
      <c r="E586" t="s">
        <v>13</v>
      </c>
      <c r="G586" t="s">
        <v>372</v>
      </c>
      <c r="I586" t="s">
        <v>43</v>
      </c>
      <c r="J586" t="s">
        <v>28</v>
      </c>
      <c r="K586" t="s">
        <v>54</v>
      </c>
      <c r="L586" t="s">
        <v>229</v>
      </c>
    </row>
    <row r="587" spans="1:12" x14ac:dyDescent="0.25">
      <c r="A587" t="s">
        <v>215</v>
      </c>
      <c r="B587">
        <v>129</v>
      </c>
      <c r="C587" t="s">
        <v>12</v>
      </c>
      <c r="D587">
        <v>1</v>
      </c>
      <c r="E587" t="s">
        <v>30</v>
      </c>
      <c r="F587">
        <v>13</v>
      </c>
      <c r="G587" t="s">
        <v>372</v>
      </c>
      <c r="H587">
        <v>21</v>
      </c>
      <c r="I587" t="s">
        <v>181</v>
      </c>
      <c r="J587" t="s">
        <v>32</v>
      </c>
      <c r="K587" t="s">
        <v>183</v>
      </c>
      <c r="L587" t="s">
        <v>229</v>
      </c>
    </row>
    <row r="588" spans="1:12" x14ac:dyDescent="0.25">
      <c r="A588" t="s">
        <v>215</v>
      </c>
      <c r="B588">
        <v>130</v>
      </c>
      <c r="C588" t="s">
        <v>12</v>
      </c>
      <c r="D588">
        <v>2</v>
      </c>
      <c r="E588" t="s">
        <v>30</v>
      </c>
      <c r="F588">
        <v>0</v>
      </c>
      <c r="G588" t="s">
        <v>372</v>
      </c>
      <c r="H588">
        <v>1</v>
      </c>
      <c r="I588" t="s">
        <v>181</v>
      </c>
      <c r="J588" t="s">
        <v>32</v>
      </c>
      <c r="K588" t="s">
        <v>183</v>
      </c>
      <c r="L588" t="s">
        <v>229</v>
      </c>
    </row>
    <row r="589" spans="1:12" x14ac:dyDescent="0.25">
      <c r="A589" t="s">
        <v>215</v>
      </c>
      <c r="B589">
        <v>131</v>
      </c>
      <c r="C589" t="s">
        <v>12</v>
      </c>
      <c r="D589">
        <v>3</v>
      </c>
      <c r="E589" t="s">
        <v>30</v>
      </c>
      <c r="G589" t="s">
        <v>372</v>
      </c>
      <c r="I589" t="s">
        <v>181</v>
      </c>
      <c r="J589" t="s">
        <v>32</v>
      </c>
      <c r="K589" t="s">
        <v>183</v>
      </c>
      <c r="L589" t="s">
        <v>229</v>
      </c>
    </row>
    <row r="590" spans="1:12" x14ac:dyDescent="0.25">
      <c r="A590" t="s">
        <v>215</v>
      </c>
      <c r="B590">
        <v>132</v>
      </c>
      <c r="C590" t="s">
        <v>18</v>
      </c>
      <c r="D590">
        <v>1</v>
      </c>
      <c r="E590" t="s">
        <v>30</v>
      </c>
      <c r="F590">
        <v>17</v>
      </c>
      <c r="G590" t="s">
        <v>372</v>
      </c>
      <c r="H590">
        <v>16</v>
      </c>
      <c r="I590" t="s">
        <v>181</v>
      </c>
      <c r="J590" t="s">
        <v>35</v>
      </c>
      <c r="K590" t="s">
        <v>186</v>
      </c>
      <c r="L590" t="s">
        <v>229</v>
      </c>
    </row>
    <row r="591" spans="1:12" x14ac:dyDescent="0.25">
      <c r="A591" t="s">
        <v>215</v>
      </c>
      <c r="B591">
        <v>133</v>
      </c>
      <c r="C591" t="s">
        <v>18</v>
      </c>
      <c r="D591">
        <v>2</v>
      </c>
      <c r="E591" t="s">
        <v>30</v>
      </c>
      <c r="G591" t="s">
        <v>372</v>
      </c>
      <c r="I591" t="s">
        <v>181</v>
      </c>
      <c r="J591" t="s">
        <v>35</v>
      </c>
      <c r="K591" t="s">
        <v>186</v>
      </c>
      <c r="L591" t="s">
        <v>229</v>
      </c>
    </row>
    <row r="592" spans="1:12" x14ac:dyDescent="0.25">
      <c r="A592" t="s">
        <v>215</v>
      </c>
      <c r="B592">
        <v>134</v>
      </c>
      <c r="C592" t="s">
        <v>18</v>
      </c>
      <c r="D592">
        <v>3</v>
      </c>
      <c r="E592" t="s">
        <v>30</v>
      </c>
      <c r="G592" t="s">
        <v>372</v>
      </c>
      <c r="I592" t="s">
        <v>181</v>
      </c>
      <c r="J592" t="s">
        <v>35</v>
      </c>
      <c r="K592" t="s">
        <v>186</v>
      </c>
      <c r="L592" t="s">
        <v>229</v>
      </c>
    </row>
    <row r="593" spans="1:12" x14ac:dyDescent="0.25">
      <c r="A593" t="s">
        <v>215</v>
      </c>
      <c r="B593">
        <v>135</v>
      </c>
      <c r="C593" t="s">
        <v>21</v>
      </c>
      <c r="D593">
        <v>1</v>
      </c>
      <c r="E593" t="s">
        <v>30</v>
      </c>
      <c r="F593">
        <v>17</v>
      </c>
      <c r="G593" t="s">
        <v>372</v>
      </c>
      <c r="H593">
        <v>21</v>
      </c>
      <c r="I593" t="s">
        <v>181</v>
      </c>
      <c r="J593" t="s">
        <v>37</v>
      </c>
      <c r="K593" t="s">
        <v>188</v>
      </c>
      <c r="L593" t="s">
        <v>229</v>
      </c>
    </row>
    <row r="594" spans="1:12" x14ac:dyDescent="0.25">
      <c r="A594" t="s">
        <v>215</v>
      </c>
      <c r="B594">
        <v>136</v>
      </c>
      <c r="C594" t="s">
        <v>21</v>
      </c>
      <c r="D594">
        <v>2</v>
      </c>
      <c r="E594" t="s">
        <v>30</v>
      </c>
      <c r="F594">
        <v>0</v>
      </c>
      <c r="G594" t="s">
        <v>372</v>
      </c>
      <c r="H594">
        <v>1</v>
      </c>
      <c r="I594" t="s">
        <v>181</v>
      </c>
      <c r="J594" t="s">
        <v>37</v>
      </c>
      <c r="K594" t="s">
        <v>188</v>
      </c>
      <c r="L594" t="s">
        <v>229</v>
      </c>
    </row>
    <row r="595" spans="1:12" x14ac:dyDescent="0.25">
      <c r="A595" t="s">
        <v>215</v>
      </c>
      <c r="B595">
        <v>137</v>
      </c>
      <c r="C595" t="s">
        <v>21</v>
      </c>
      <c r="D595">
        <v>3</v>
      </c>
      <c r="E595" t="s">
        <v>30</v>
      </c>
      <c r="G595" t="s">
        <v>372</v>
      </c>
      <c r="I595" t="s">
        <v>181</v>
      </c>
      <c r="J595" t="s">
        <v>37</v>
      </c>
      <c r="K595" t="s">
        <v>188</v>
      </c>
      <c r="L595" t="s">
        <v>229</v>
      </c>
    </row>
    <row r="596" spans="1:12" x14ac:dyDescent="0.25">
      <c r="A596" t="s">
        <v>215</v>
      </c>
      <c r="B596">
        <v>138</v>
      </c>
      <c r="C596" t="s">
        <v>24</v>
      </c>
      <c r="D596">
        <v>1</v>
      </c>
      <c r="E596" t="s">
        <v>30</v>
      </c>
      <c r="F596">
        <v>13</v>
      </c>
      <c r="G596" t="s">
        <v>372</v>
      </c>
      <c r="H596">
        <v>21</v>
      </c>
      <c r="I596" t="s">
        <v>181</v>
      </c>
      <c r="J596" t="s">
        <v>39</v>
      </c>
      <c r="K596" t="s">
        <v>190</v>
      </c>
      <c r="L596" t="s">
        <v>229</v>
      </c>
    </row>
    <row r="597" spans="1:12" x14ac:dyDescent="0.25">
      <c r="A597" t="s">
        <v>215</v>
      </c>
      <c r="B597">
        <v>139</v>
      </c>
      <c r="C597" t="s">
        <v>24</v>
      </c>
      <c r="D597">
        <v>2</v>
      </c>
      <c r="E597" t="s">
        <v>30</v>
      </c>
      <c r="F597">
        <v>0</v>
      </c>
      <c r="G597" t="s">
        <v>372</v>
      </c>
      <c r="H597">
        <v>1</v>
      </c>
      <c r="I597" t="s">
        <v>181</v>
      </c>
      <c r="J597" t="s">
        <v>39</v>
      </c>
      <c r="K597" t="s">
        <v>190</v>
      </c>
      <c r="L597" t="s">
        <v>229</v>
      </c>
    </row>
    <row r="598" spans="1:12" x14ac:dyDescent="0.25">
      <c r="A598" t="s">
        <v>215</v>
      </c>
      <c r="B598">
        <v>140</v>
      </c>
      <c r="C598" t="s">
        <v>24</v>
      </c>
      <c r="D598">
        <v>3</v>
      </c>
      <c r="E598" t="s">
        <v>30</v>
      </c>
      <c r="G598" t="s">
        <v>372</v>
      </c>
      <c r="I598" t="s">
        <v>181</v>
      </c>
      <c r="J598" t="s">
        <v>39</v>
      </c>
      <c r="K598" t="s">
        <v>190</v>
      </c>
      <c r="L598" t="s">
        <v>229</v>
      </c>
    </row>
    <row r="599" spans="1:12" x14ac:dyDescent="0.25">
      <c r="A599" t="s">
        <v>215</v>
      </c>
      <c r="B599">
        <v>141</v>
      </c>
      <c r="C599" t="s">
        <v>27</v>
      </c>
      <c r="D599">
        <v>1</v>
      </c>
      <c r="E599" t="s">
        <v>30</v>
      </c>
      <c r="F599">
        <v>21</v>
      </c>
      <c r="G599" t="s">
        <v>372</v>
      </c>
      <c r="H599">
        <v>16</v>
      </c>
      <c r="I599" t="s">
        <v>181</v>
      </c>
      <c r="J599" t="s">
        <v>41</v>
      </c>
      <c r="K599" t="s">
        <v>192</v>
      </c>
      <c r="L599" t="s">
        <v>229</v>
      </c>
    </row>
    <row r="600" spans="1:12" x14ac:dyDescent="0.25">
      <c r="A600" t="s">
        <v>215</v>
      </c>
      <c r="B600">
        <v>142</v>
      </c>
      <c r="C600" t="s">
        <v>27</v>
      </c>
      <c r="D600">
        <v>2</v>
      </c>
      <c r="E600" t="s">
        <v>30</v>
      </c>
      <c r="F600">
        <v>1</v>
      </c>
      <c r="G600" t="s">
        <v>372</v>
      </c>
      <c r="H600">
        <v>0</v>
      </c>
      <c r="I600" t="s">
        <v>181</v>
      </c>
      <c r="J600" t="s">
        <v>41</v>
      </c>
      <c r="K600" t="s">
        <v>192</v>
      </c>
      <c r="L600" t="s">
        <v>229</v>
      </c>
    </row>
    <row r="601" spans="1:12" x14ac:dyDescent="0.25">
      <c r="A601" t="s">
        <v>215</v>
      </c>
      <c r="B601">
        <v>143</v>
      </c>
      <c r="C601" t="s">
        <v>27</v>
      </c>
      <c r="D601">
        <v>3</v>
      </c>
      <c r="E601" t="s">
        <v>30</v>
      </c>
      <c r="G601" t="s">
        <v>372</v>
      </c>
      <c r="I601" t="s">
        <v>181</v>
      </c>
      <c r="J601" t="s">
        <v>41</v>
      </c>
      <c r="K601" t="s">
        <v>192</v>
      </c>
      <c r="L601" t="s">
        <v>229</v>
      </c>
    </row>
    <row r="602" spans="1:12" x14ac:dyDescent="0.25">
      <c r="A602" t="s">
        <v>215</v>
      </c>
      <c r="B602">
        <v>147</v>
      </c>
      <c r="C602" t="s">
        <v>12</v>
      </c>
      <c r="D602">
        <v>1</v>
      </c>
      <c r="E602" t="s">
        <v>70</v>
      </c>
      <c r="F602">
        <v>1</v>
      </c>
      <c r="G602" t="s">
        <v>372</v>
      </c>
      <c r="H602">
        <v>0</v>
      </c>
      <c r="I602" t="s">
        <v>96</v>
      </c>
      <c r="J602" t="s">
        <v>72</v>
      </c>
      <c r="K602" t="s">
        <v>98</v>
      </c>
      <c r="L602" t="s">
        <v>221</v>
      </c>
    </row>
    <row r="603" spans="1:12" x14ac:dyDescent="0.25">
      <c r="A603" t="s">
        <v>215</v>
      </c>
      <c r="B603">
        <v>148</v>
      </c>
      <c r="C603" t="s">
        <v>12</v>
      </c>
      <c r="D603">
        <v>2</v>
      </c>
      <c r="E603" t="s">
        <v>70</v>
      </c>
      <c r="F603">
        <v>1</v>
      </c>
      <c r="G603" t="s">
        <v>372</v>
      </c>
      <c r="H603">
        <v>0</v>
      </c>
      <c r="I603" t="s">
        <v>96</v>
      </c>
      <c r="J603" t="s">
        <v>72</v>
      </c>
      <c r="K603" t="s">
        <v>98</v>
      </c>
      <c r="L603" t="s">
        <v>221</v>
      </c>
    </row>
    <row r="604" spans="1:12" x14ac:dyDescent="0.25">
      <c r="A604" t="s">
        <v>215</v>
      </c>
      <c r="B604">
        <v>149</v>
      </c>
      <c r="C604" t="s">
        <v>12</v>
      </c>
      <c r="D604">
        <v>3</v>
      </c>
      <c r="E604" t="s">
        <v>70</v>
      </c>
      <c r="G604" t="s">
        <v>372</v>
      </c>
      <c r="I604" t="s">
        <v>96</v>
      </c>
      <c r="J604" t="s">
        <v>72</v>
      </c>
      <c r="K604" t="s">
        <v>98</v>
      </c>
      <c r="L604" t="s">
        <v>221</v>
      </c>
    </row>
    <row r="605" spans="1:12" x14ac:dyDescent="0.25">
      <c r="A605" t="s">
        <v>215</v>
      </c>
      <c r="B605">
        <v>150</v>
      </c>
      <c r="C605" t="s">
        <v>18</v>
      </c>
      <c r="D605">
        <v>1</v>
      </c>
      <c r="E605" t="s">
        <v>70</v>
      </c>
      <c r="F605">
        <v>1</v>
      </c>
      <c r="G605" t="s">
        <v>372</v>
      </c>
      <c r="H605">
        <v>0</v>
      </c>
      <c r="I605" t="s">
        <v>96</v>
      </c>
      <c r="J605" t="s">
        <v>75</v>
      </c>
      <c r="K605" t="s">
        <v>101</v>
      </c>
      <c r="L605" t="s">
        <v>221</v>
      </c>
    </row>
    <row r="606" spans="1:12" x14ac:dyDescent="0.25">
      <c r="A606" t="s">
        <v>215</v>
      </c>
      <c r="B606">
        <v>151</v>
      </c>
      <c r="C606" t="s">
        <v>18</v>
      </c>
      <c r="D606">
        <v>2</v>
      </c>
      <c r="E606" t="s">
        <v>70</v>
      </c>
      <c r="F606">
        <v>1</v>
      </c>
      <c r="G606" t="s">
        <v>372</v>
      </c>
      <c r="H606">
        <v>0</v>
      </c>
      <c r="I606" t="s">
        <v>96</v>
      </c>
      <c r="J606" t="s">
        <v>75</v>
      </c>
      <c r="K606" t="s">
        <v>101</v>
      </c>
      <c r="L606" t="s">
        <v>221</v>
      </c>
    </row>
    <row r="607" spans="1:12" x14ac:dyDescent="0.25">
      <c r="A607" t="s">
        <v>215</v>
      </c>
      <c r="B607">
        <v>152</v>
      </c>
      <c r="C607" t="s">
        <v>18</v>
      </c>
      <c r="D607">
        <v>3</v>
      </c>
      <c r="E607" t="s">
        <v>70</v>
      </c>
      <c r="G607" t="s">
        <v>372</v>
      </c>
      <c r="I607" t="s">
        <v>96</v>
      </c>
      <c r="J607" t="s">
        <v>75</v>
      </c>
      <c r="K607" t="s">
        <v>101</v>
      </c>
      <c r="L607" t="s">
        <v>221</v>
      </c>
    </row>
    <row r="608" spans="1:12" x14ac:dyDescent="0.25">
      <c r="A608" t="s">
        <v>215</v>
      </c>
      <c r="B608">
        <v>153</v>
      </c>
      <c r="C608" t="s">
        <v>21</v>
      </c>
      <c r="D608">
        <v>1</v>
      </c>
      <c r="E608" t="s">
        <v>70</v>
      </c>
      <c r="F608">
        <v>1</v>
      </c>
      <c r="G608" t="s">
        <v>372</v>
      </c>
      <c r="H608">
        <v>0</v>
      </c>
      <c r="I608" t="s">
        <v>96</v>
      </c>
      <c r="J608" t="s">
        <v>77</v>
      </c>
      <c r="K608" t="s">
        <v>103</v>
      </c>
      <c r="L608" t="s">
        <v>221</v>
      </c>
    </row>
    <row r="609" spans="1:12" x14ac:dyDescent="0.25">
      <c r="A609" t="s">
        <v>215</v>
      </c>
      <c r="B609">
        <v>154</v>
      </c>
      <c r="C609" t="s">
        <v>21</v>
      </c>
      <c r="D609">
        <v>2</v>
      </c>
      <c r="E609" t="s">
        <v>70</v>
      </c>
      <c r="F609">
        <v>1</v>
      </c>
      <c r="G609" t="s">
        <v>372</v>
      </c>
      <c r="H609">
        <v>0</v>
      </c>
      <c r="I609" t="s">
        <v>96</v>
      </c>
      <c r="J609" t="s">
        <v>77</v>
      </c>
      <c r="K609" t="s">
        <v>103</v>
      </c>
      <c r="L609" t="s">
        <v>221</v>
      </c>
    </row>
    <row r="610" spans="1:12" x14ac:dyDescent="0.25">
      <c r="A610" t="s">
        <v>215</v>
      </c>
      <c r="B610">
        <v>155</v>
      </c>
      <c r="C610" t="s">
        <v>21</v>
      </c>
      <c r="D610">
        <v>3</v>
      </c>
      <c r="E610" t="s">
        <v>70</v>
      </c>
      <c r="G610" t="s">
        <v>372</v>
      </c>
      <c r="I610" t="s">
        <v>96</v>
      </c>
      <c r="J610" t="s">
        <v>77</v>
      </c>
      <c r="K610" t="s">
        <v>103</v>
      </c>
      <c r="L610" t="s">
        <v>221</v>
      </c>
    </row>
    <row r="611" spans="1:12" x14ac:dyDescent="0.25">
      <c r="A611" t="s">
        <v>215</v>
      </c>
      <c r="B611">
        <v>156</v>
      </c>
      <c r="C611" t="s">
        <v>24</v>
      </c>
      <c r="D611">
        <v>1</v>
      </c>
      <c r="E611" t="s">
        <v>70</v>
      </c>
      <c r="F611">
        <v>1</v>
      </c>
      <c r="G611" t="s">
        <v>372</v>
      </c>
      <c r="H611">
        <v>0</v>
      </c>
      <c r="I611" t="s">
        <v>96</v>
      </c>
      <c r="J611" t="s">
        <v>79</v>
      </c>
      <c r="K611" t="s">
        <v>105</v>
      </c>
      <c r="L611" t="s">
        <v>221</v>
      </c>
    </row>
    <row r="612" spans="1:12" x14ac:dyDescent="0.25">
      <c r="A612" t="s">
        <v>215</v>
      </c>
      <c r="B612">
        <v>157</v>
      </c>
      <c r="C612" t="s">
        <v>24</v>
      </c>
      <c r="D612">
        <v>2</v>
      </c>
      <c r="E612" t="s">
        <v>70</v>
      </c>
      <c r="F612">
        <v>1</v>
      </c>
      <c r="G612" t="s">
        <v>372</v>
      </c>
      <c r="H612">
        <v>0</v>
      </c>
      <c r="I612" t="s">
        <v>96</v>
      </c>
      <c r="J612" t="s">
        <v>79</v>
      </c>
      <c r="K612" t="s">
        <v>105</v>
      </c>
      <c r="L612" t="s">
        <v>221</v>
      </c>
    </row>
    <row r="613" spans="1:12" x14ac:dyDescent="0.25">
      <c r="A613" t="s">
        <v>215</v>
      </c>
      <c r="B613">
        <v>158</v>
      </c>
      <c r="C613" t="s">
        <v>24</v>
      </c>
      <c r="D613">
        <v>3</v>
      </c>
      <c r="E613" t="s">
        <v>70</v>
      </c>
      <c r="G613" t="s">
        <v>372</v>
      </c>
      <c r="I613" t="s">
        <v>96</v>
      </c>
      <c r="J613" t="s">
        <v>79</v>
      </c>
      <c r="K613" t="s">
        <v>105</v>
      </c>
      <c r="L613" t="s">
        <v>221</v>
      </c>
    </row>
    <row r="614" spans="1:12" x14ac:dyDescent="0.25">
      <c r="A614" t="s">
        <v>215</v>
      </c>
      <c r="B614">
        <v>159</v>
      </c>
      <c r="C614" t="s">
        <v>27</v>
      </c>
      <c r="D614">
        <v>1</v>
      </c>
      <c r="E614" t="s">
        <v>70</v>
      </c>
      <c r="F614">
        <v>0</v>
      </c>
      <c r="G614" t="s">
        <v>372</v>
      </c>
      <c r="H614">
        <v>1</v>
      </c>
      <c r="I614" t="s">
        <v>96</v>
      </c>
      <c r="J614" t="s">
        <v>81</v>
      </c>
      <c r="K614" t="s">
        <v>107</v>
      </c>
      <c r="L614" t="s">
        <v>221</v>
      </c>
    </row>
    <row r="615" spans="1:12" x14ac:dyDescent="0.25">
      <c r="A615" t="s">
        <v>215</v>
      </c>
      <c r="B615">
        <v>160</v>
      </c>
      <c r="C615" t="s">
        <v>27</v>
      </c>
      <c r="D615">
        <v>2</v>
      </c>
      <c r="E615" t="s">
        <v>70</v>
      </c>
      <c r="F615">
        <v>0</v>
      </c>
      <c r="G615" t="s">
        <v>372</v>
      </c>
      <c r="H615">
        <v>1</v>
      </c>
      <c r="I615" t="s">
        <v>96</v>
      </c>
      <c r="J615" t="s">
        <v>81</v>
      </c>
      <c r="K615" t="s">
        <v>107</v>
      </c>
      <c r="L615" t="s">
        <v>221</v>
      </c>
    </row>
    <row r="616" spans="1:12" x14ac:dyDescent="0.25">
      <c r="A616" t="s">
        <v>215</v>
      </c>
      <c r="B616">
        <v>161</v>
      </c>
      <c r="C616" t="s">
        <v>27</v>
      </c>
      <c r="D616">
        <v>3</v>
      </c>
      <c r="E616" t="s">
        <v>70</v>
      </c>
      <c r="G616" t="s">
        <v>372</v>
      </c>
      <c r="I616" t="s">
        <v>96</v>
      </c>
      <c r="J616" t="s">
        <v>81</v>
      </c>
      <c r="K616" t="s">
        <v>107</v>
      </c>
      <c r="L616" t="s">
        <v>221</v>
      </c>
    </row>
    <row r="617" spans="1:12" x14ac:dyDescent="0.25">
      <c r="A617" t="s">
        <v>215</v>
      </c>
      <c r="B617">
        <v>165</v>
      </c>
      <c r="C617" t="s">
        <v>12</v>
      </c>
      <c r="D617">
        <v>1</v>
      </c>
      <c r="E617" t="s">
        <v>57</v>
      </c>
      <c r="F617">
        <v>18</v>
      </c>
      <c r="G617" t="s">
        <v>372</v>
      </c>
      <c r="H617">
        <v>21</v>
      </c>
      <c r="I617" t="s">
        <v>83</v>
      </c>
      <c r="J617" t="s">
        <v>59</v>
      </c>
      <c r="K617" t="s">
        <v>85</v>
      </c>
      <c r="L617" t="s">
        <v>221</v>
      </c>
    </row>
    <row r="618" spans="1:12" x14ac:dyDescent="0.25">
      <c r="A618" t="s">
        <v>215</v>
      </c>
      <c r="B618">
        <v>166</v>
      </c>
      <c r="C618" t="s">
        <v>12</v>
      </c>
      <c r="D618">
        <v>2</v>
      </c>
      <c r="E618" t="s">
        <v>57</v>
      </c>
      <c r="F618">
        <v>0</v>
      </c>
      <c r="G618" t="s">
        <v>372</v>
      </c>
      <c r="H618">
        <v>1</v>
      </c>
      <c r="I618" t="s">
        <v>83</v>
      </c>
      <c r="J618" t="s">
        <v>59</v>
      </c>
      <c r="K618" t="s">
        <v>85</v>
      </c>
      <c r="L618" t="s">
        <v>221</v>
      </c>
    </row>
    <row r="619" spans="1:12" x14ac:dyDescent="0.25">
      <c r="A619" t="s">
        <v>215</v>
      </c>
      <c r="B619">
        <v>167</v>
      </c>
      <c r="C619" t="s">
        <v>12</v>
      </c>
      <c r="D619">
        <v>3</v>
      </c>
      <c r="E619" t="s">
        <v>57</v>
      </c>
      <c r="G619" t="s">
        <v>372</v>
      </c>
      <c r="I619" t="s">
        <v>83</v>
      </c>
      <c r="J619" t="s">
        <v>59</v>
      </c>
      <c r="K619" t="s">
        <v>85</v>
      </c>
      <c r="L619" t="s">
        <v>221</v>
      </c>
    </row>
    <row r="620" spans="1:12" x14ac:dyDescent="0.25">
      <c r="A620" t="s">
        <v>215</v>
      </c>
      <c r="B620">
        <v>168</v>
      </c>
      <c r="C620" t="s">
        <v>18</v>
      </c>
      <c r="D620">
        <v>1</v>
      </c>
      <c r="E620" t="s">
        <v>57</v>
      </c>
      <c r="F620">
        <v>21</v>
      </c>
      <c r="G620" t="s">
        <v>372</v>
      </c>
      <c r="H620">
        <v>18</v>
      </c>
      <c r="I620" t="s">
        <v>83</v>
      </c>
      <c r="J620" t="s">
        <v>62</v>
      </c>
      <c r="K620" t="s">
        <v>88</v>
      </c>
      <c r="L620" t="s">
        <v>221</v>
      </c>
    </row>
    <row r="621" spans="1:12" x14ac:dyDescent="0.25">
      <c r="A621" t="s">
        <v>215</v>
      </c>
      <c r="B621">
        <v>169</v>
      </c>
      <c r="C621" t="s">
        <v>18</v>
      </c>
      <c r="D621">
        <v>2</v>
      </c>
      <c r="E621" t="s">
        <v>57</v>
      </c>
      <c r="F621">
        <v>1</v>
      </c>
      <c r="G621" t="s">
        <v>372</v>
      </c>
      <c r="H621">
        <v>0</v>
      </c>
      <c r="I621" t="s">
        <v>83</v>
      </c>
      <c r="J621" t="s">
        <v>62</v>
      </c>
      <c r="K621" t="s">
        <v>88</v>
      </c>
      <c r="L621" t="s">
        <v>221</v>
      </c>
    </row>
    <row r="622" spans="1:12" x14ac:dyDescent="0.25">
      <c r="A622" t="s">
        <v>215</v>
      </c>
      <c r="B622">
        <v>170</v>
      </c>
      <c r="C622" t="s">
        <v>18</v>
      </c>
      <c r="D622">
        <v>3</v>
      </c>
      <c r="E622" t="s">
        <v>57</v>
      </c>
      <c r="G622" t="s">
        <v>372</v>
      </c>
      <c r="I622" t="s">
        <v>83</v>
      </c>
      <c r="J622" t="s">
        <v>62</v>
      </c>
      <c r="K622" t="s">
        <v>88</v>
      </c>
      <c r="L622" t="s">
        <v>221</v>
      </c>
    </row>
    <row r="623" spans="1:12" x14ac:dyDescent="0.25">
      <c r="A623" t="s">
        <v>215</v>
      </c>
      <c r="B623">
        <v>171</v>
      </c>
      <c r="C623" t="s">
        <v>21</v>
      </c>
      <c r="D623">
        <v>1</v>
      </c>
      <c r="E623" t="s">
        <v>57</v>
      </c>
      <c r="F623">
        <v>14</v>
      </c>
      <c r="G623" t="s">
        <v>372</v>
      </c>
      <c r="H623">
        <v>21</v>
      </c>
      <c r="I623" t="s">
        <v>83</v>
      </c>
      <c r="J623" t="s">
        <v>64</v>
      </c>
      <c r="K623" t="s">
        <v>90</v>
      </c>
      <c r="L623" t="s">
        <v>221</v>
      </c>
    </row>
    <row r="624" spans="1:12" x14ac:dyDescent="0.25">
      <c r="A624" t="s">
        <v>215</v>
      </c>
      <c r="B624">
        <v>172</v>
      </c>
      <c r="C624" t="s">
        <v>21</v>
      </c>
      <c r="D624">
        <v>2</v>
      </c>
      <c r="E624" t="s">
        <v>57</v>
      </c>
      <c r="F624">
        <v>0</v>
      </c>
      <c r="G624" t="s">
        <v>372</v>
      </c>
      <c r="H624">
        <v>1</v>
      </c>
      <c r="I624" t="s">
        <v>83</v>
      </c>
      <c r="J624" t="s">
        <v>64</v>
      </c>
      <c r="K624" t="s">
        <v>90</v>
      </c>
      <c r="L624" t="s">
        <v>221</v>
      </c>
    </row>
    <row r="625" spans="1:12" x14ac:dyDescent="0.25">
      <c r="A625" t="s">
        <v>215</v>
      </c>
      <c r="B625">
        <v>173</v>
      </c>
      <c r="C625" t="s">
        <v>21</v>
      </c>
      <c r="D625">
        <v>3</v>
      </c>
      <c r="E625" t="s">
        <v>57</v>
      </c>
      <c r="G625" t="s">
        <v>372</v>
      </c>
      <c r="I625" t="s">
        <v>83</v>
      </c>
      <c r="J625" t="s">
        <v>64</v>
      </c>
      <c r="K625" t="s">
        <v>90</v>
      </c>
      <c r="L625" t="s">
        <v>221</v>
      </c>
    </row>
    <row r="626" spans="1:12" x14ac:dyDescent="0.25">
      <c r="A626" t="s">
        <v>215</v>
      </c>
      <c r="B626">
        <v>174</v>
      </c>
      <c r="C626" t="s">
        <v>24</v>
      </c>
      <c r="D626">
        <v>1</v>
      </c>
      <c r="E626" t="s">
        <v>57</v>
      </c>
      <c r="F626">
        <v>21</v>
      </c>
      <c r="G626" t="s">
        <v>372</v>
      </c>
      <c r="H626">
        <v>13</v>
      </c>
      <c r="I626" t="s">
        <v>83</v>
      </c>
      <c r="J626" t="s">
        <v>66</v>
      </c>
      <c r="K626" t="s">
        <v>92</v>
      </c>
      <c r="L626" t="s">
        <v>221</v>
      </c>
    </row>
    <row r="627" spans="1:12" x14ac:dyDescent="0.25">
      <c r="A627" t="s">
        <v>215</v>
      </c>
      <c r="B627">
        <v>175</v>
      </c>
      <c r="C627" t="s">
        <v>24</v>
      </c>
      <c r="D627">
        <v>2</v>
      </c>
      <c r="E627" t="s">
        <v>57</v>
      </c>
      <c r="F627">
        <v>1</v>
      </c>
      <c r="G627" t="s">
        <v>372</v>
      </c>
      <c r="H627">
        <v>0</v>
      </c>
      <c r="I627" t="s">
        <v>83</v>
      </c>
      <c r="J627" t="s">
        <v>66</v>
      </c>
      <c r="K627" t="s">
        <v>92</v>
      </c>
      <c r="L627" t="s">
        <v>221</v>
      </c>
    </row>
    <row r="628" spans="1:12" x14ac:dyDescent="0.25">
      <c r="A628" t="s">
        <v>215</v>
      </c>
      <c r="B628">
        <v>176</v>
      </c>
      <c r="C628" t="s">
        <v>24</v>
      </c>
      <c r="D628">
        <v>3</v>
      </c>
      <c r="E628" t="s">
        <v>57</v>
      </c>
      <c r="G628" t="s">
        <v>372</v>
      </c>
      <c r="I628" t="s">
        <v>83</v>
      </c>
      <c r="J628" t="s">
        <v>66</v>
      </c>
      <c r="K628" t="s">
        <v>92</v>
      </c>
      <c r="L628" t="s">
        <v>221</v>
      </c>
    </row>
    <row r="629" spans="1:12" x14ac:dyDescent="0.25">
      <c r="A629" t="s">
        <v>215</v>
      </c>
      <c r="B629">
        <v>177</v>
      </c>
      <c r="C629" t="s">
        <v>27</v>
      </c>
      <c r="D629">
        <v>1</v>
      </c>
      <c r="E629" t="s">
        <v>57</v>
      </c>
      <c r="F629">
        <v>21</v>
      </c>
      <c r="G629" t="s">
        <v>372</v>
      </c>
      <c r="H629">
        <v>17</v>
      </c>
      <c r="I629" t="s">
        <v>83</v>
      </c>
      <c r="J629" t="s">
        <v>68</v>
      </c>
      <c r="K629" t="s">
        <v>94</v>
      </c>
      <c r="L629" t="s">
        <v>221</v>
      </c>
    </row>
    <row r="630" spans="1:12" x14ac:dyDescent="0.25">
      <c r="A630" t="s">
        <v>215</v>
      </c>
      <c r="B630">
        <v>178</v>
      </c>
      <c r="C630" t="s">
        <v>27</v>
      </c>
      <c r="D630">
        <v>2</v>
      </c>
      <c r="E630" t="s">
        <v>57</v>
      </c>
      <c r="F630">
        <v>1</v>
      </c>
      <c r="G630" t="s">
        <v>372</v>
      </c>
      <c r="H630">
        <v>0</v>
      </c>
      <c r="I630" t="s">
        <v>83</v>
      </c>
      <c r="J630" t="s">
        <v>68</v>
      </c>
      <c r="K630" t="s">
        <v>94</v>
      </c>
      <c r="L630" t="s">
        <v>221</v>
      </c>
    </row>
    <row r="631" spans="1:12" x14ac:dyDescent="0.25">
      <c r="A631" t="s">
        <v>215</v>
      </c>
      <c r="B631">
        <v>179</v>
      </c>
      <c r="C631" t="s">
        <v>27</v>
      </c>
      <c r="D631">
        <v>3</v>
      </c>
      <c r="E631" t="s">
        <v>57</v>
      </c>
      <c r="G631" t="s">
        <v>372</v>
      </c>
      <c r="I631" t="s">
        <v>83</v>
      </c>
      <c r="J631" t="s">
        <v>68</v>
      </c>
      <c r="K631" t="s">
        <v>94</v>
      </c>
      <c r="L631" t="s">
        <v>221</v>
      </c>
    </row>
    <row r="632" spans="1:12" x14ac:dyDescent="0.25">
      <c r="A632" t="s">
        <v>215</v>
      </c>
      <c r="B632">
        <v>183</v>
      </c>
      <c r="C632" t="s">
        <v>12</v>
      </c>
      <c r="D632">
        <v>1</v>
      </c>
      <c r="E632" t="s">
        <v>95</v>
      </c>
      <c r="F632">
        <v>17</v>
      </c>
      <c r="G632" t="s">
        <v>372</v>
      </c>
      <c r="H632">
        <v>21</v>
      </c>
      <c r="I632" t="s">
        <v>69</v>
      </c>
      <c r="J632" t="s">
        <v>97</v>
      </c>
      <c r="K632" t="s">
        <v>71</v>
      </c>
      <c r="L632" t="s">
        <v>221</v>
      </c>
    </row>
    <row r="633" spans="1:12" x14ac:dyDescent="0.25">
      <c r="A633" t="s">
        <v>215</v>
      </c>
      <c r="B633">
        <v>184</v>
      </c>
      <c r="C633" t="s">
        <v>12</v>
      </c>
      <c r="D633">
        <v>2</v>
      </c>
      <c r="E633" t="s">
        <v>95</v>
      </c>
      <c r="F633">
        <v>0</v>
      </c>
      <c r="G633" t="s">
        <v>372</v>
      </c>
      <c r="H633">
        <v>1</v>
      </c>
      <c r="I633" t="s">
        <v>69</v>
      </c>
      <c r="J633" t="s">
        <v>97</v>
      </c>
      <c r="K633" t="s">
        <v>71</v>
      </c>
      <c r="L633" t="s">
        <v>221</v>
      </c>
    </row>
    <row r="634" spans="1:12" x14ac:dyDescent="0.25">
      <c r="A634" t="s">
        <v>215</v>
      </c>
      <c r="B634">
        <v>185</v>
      </c>
      <c r="C634" t="s">
        <v>12</v>
      </c>
      <c r="D634">
        <v>3</v>
      </c>
      <c r="E634" t="s">
        <v>95</v>
      </c>
      <c r="G634" t="s">
        <v>372</v>
      </c>
      <c r="I634" t="s">
        <v>69</v>
      </c>
      <c r="J634" t="s">
        <v>97</v>
      </c>
      <c r="K634" t="s">
        <v>71</v>
      </c>
      <c r="L634" t="s">
        <v>221</v>
      </c>
    </row>
    <row r="635" spans="1:12" x14ac:dyDescent="0.25">
      <c r="A635" t="s">
        <v>215</v>
      </c>
      <c r="B635">
        <v>186</v>
      </c>
      <c r="C635" t="s">
        <v>18</v>
      </c>
      <c r="D635">
        <v>1</v>
      </c>
      <c r="E635" t="s">
        <v>95</v>
      </c>
      <c r="F635">
        <v>18</v>
      </c>
      <c r="G635" t="s">
        <v>372</v>
      </c>
      <c r="H635">
        <v>21</v>
      </c>
      <c r="I635" t="s">
        <v>69</v>
      </c>
      <c r="J635" t="s">
        <v>100</v>
      </c>
      <c r="K635" t="s">
        <v>74</v>
      </c>
      <c r="L635" t="s">
        <v>221</v>
      </c>
    </row>
    <row r="636" spans="1:12" x14ac:dyDescent="0.25">
      <c r="A636" t="s">
        <v>215</v>
      </c>
      <c r="B636">
        <v>187</v>
      </c>
      <c r="C636" t="s">
        <v>18</v>
      </c>
      <c r="D636">
        <v>2</v>
      </c>
      <c r="E636" t="s">
        <v>95</v>
      </c>
      <c r="F636">
        <v>0</v>
      </c>
      <c r="G636" t="s">
        <v>372</v>
      </c>
      <c r="H636">
        <v>1</v>
      </c>
      <c r="I636" t="s">
        <v>69</v>
      </c>
      <c r="J636" t="s">
        <v>100</v>
      </c>
      <c r="K636" t="s">
        <v>74</v>
      </c>
      <c r="L636" t="s">
        <v>221</v>
      </c>
    </row>
    <row r="637" spans="1:12" x14ac:dyDescent="0.25">
      <c r="A637" t="s">
        <v>215</v>
      </c>
      <c r="B637">
        <v>188</v>
      </c>
      <c r="C637" t="s">
        <v>18</v>
      </c>
      <c r="D637">
        <v>3</v>
      </c>
      <c r="E637" t="s">
        <v>95</v>
      </c>
      <c r="G637" t="s">
        <v>372</v>
      </c>
      <c r="I637" t="s">
        <v>69</v>
      </c>
      <c r="J637" t="s">
        <v>100</v>
      </c>
      <c r="K637" t="s">
        <v>74</v>
      </c>
      <c r="L637" t="s">
        <v>221</v>
      </c>
    </row>
    <row r="638" spans="1:12" x14ac:dyDescent="0.25">
      <c r="A638" t="s">
        <v>215</v>
      </c>
      <c r="B638">
        <v>189</v>
      </c>
      <c r="C638" t="s">
        <v>21</v>
      </c>
      <c r="D638">
        <v>1</v>
      </c>
      <c r="E638" t="s">
        <v>95</v>
      </c>
      <c r="F638">
        <v>21</v>
      </c>
      <c r="G638" t="s">
        <v>372</v>
      </c>
      <c r="H638">
        <v>23</v>
      </c>
      <c r="I638" t="s">
        <v>69</v>
      </c>
      <c r="J638" t="s">
        <v>102</v>
      </c>
      <c r="K638" t="s">
        <v>76</v>
      </c>
      <c r="L638" t="s">
        <v>221</v>
      </c>
    </row>
    <row r="639" spans="1:12" x14ac:dyDescent="0.25">
      <c r="A639" t="s">
        <v>215</v>
      </c>
      <c r="B639">
        <v>190</v>
      </c>
      <c r="C639" t="s">
        <v>21</v>
      </c>
      <c r="D639">
        <v>2</v>
      </c>
      <c r="E639" t="s">
        <v>95</v>
      </c>
      <c r="F639">
        <v>0</v>
      </c>
      <c r="G639" t="s">
        <v>372</v>
      </c>
      <c r="H639">
        <v>1</v>
      </c>
      <c r="I639" t="s">
        <v>69</v>
      </c>
      <c r="J639" t="s">
        <v>102</v>
      </c>
      <c r="K639" t="s">
        <v>76</v>
      </c>
      <c r="L639" t="s">
        <v>221</v>
      </c>
    </row>
    <row r="640" spans="1:12" x14ac:dyDescent="0.25">
      <c r="A640" t="s">
        <v>215</v>
      </c>
      <c r="B640">
        <v>191</v>
      </c>
      <c r="C640" t="s">
        <v>21</v>
      </c>
      <c r="D640">
        <v>3</v>
      </c>
      <c r="E640" t="s">
        <v>95</v>
      </c>
      <c r="G640" t="s">
        <v>372</v>
      </c>
      <c r="I640" t="s">
        <v>69</v>
      </c>
      <c r="J640" t="s">
        <v>102</v>
      </c>
      <c r="K640" t="s">
        <v>76</v>
      </c>
      <c r="L640" t="s">
        <v>221</v>
      </c>
    </row>
    <row r="641" spans="1:12" x14ac:dyDescent="0.25">
      <c r="A641" t="s">
        <v>215</v>
      </c>
      <c r="B641">
        <v>192</v>
      </c>
      <c r="C641" t="s">
        <v>24</v>
      </c>
      <c r="D641">
        <v>1</v>
      </c>
      <c r="E641" t="s">
        <v>95</v>
      </c>
      <c r="F641">
        <v>21</v>
      </c>
      <c r="G641" t="s">
        <v>372</v>
      </c>
      <c r="H641">
        <v>19</v>
      </c>
      <c r="I641" t="s">
        <v>69</v>
      </c>
      <c r="J641" t="s">
        <v>104</v>
      </c>
      <c r="K641" t="s">
        <v>78</v>
      </c>
      <c r="L641" t="s">
        <v>221</v>
      </c>
    </row>
    <row r="642" spans="1:12" x14ac:dyDescent="0.25">
      <c r="A642" t="s">
        <v>215</v>
      </c>
      <c r="B642">
        <v>193</v>
      </c>
      <c r="C642" t="s">
        <v>24</v>
      </c>
      <c r="D642">
        <v>2</v>
      </c>
      <c r="E642" t="s">
        <v>95</v>
      </c>
      <c r="F642">
        <v>1</v>
      </c>
      <c r="G642" t="s">
        <v>372</v>
      </c>
      <c r="H642">
        <v>0</v>
      </c>
      <c r="I642" t="s">
        <v>69</v>
      </c>
      <c r="J642" t="s">
        <v>104</v>
      </c>
      <c r="K642" t="s">
        <v>78</v>
      </c>
      <c r="L642" t="s">
        <v>221</v>
      </c>
    </row>
    <row r="643" spans="1:12" x14ac:dyDescent="0.25">
      <c r="A643" t="s">
        <v>215</v>
      </c>
      <c r="B643">
        <v>194</v>
      </c>
      <c r="C643" t="s">
        <v>24</v>
      </c>
      <c r="D643">
        <v>3</v>
      </c>
      <c r="E643" t="s">
        <v>95</v>
      </c>
      <c r="G643" t="s">
        <v>372</v>
      </c>
      <c r="I643" t="s">
        <v>69</v>
      </c>
      <c r="J643" t="s">
        <v>104</v>
      </c>
      <c r="K643" t="s">
        <v>78</v>
      </c>
      <c r="L643" t="s">
        <v>221</v>
      </c>
    </row>
    <row r="644" spans="1:12" x14ac:dyDescent="0.25">
      <c r="A644" t="s">
        <v>215</v>
      </c>
      <c r="B644">
        <v>195</v>
      </c>
      <c r="C644" t="s">
        <v>27</v>
      </c>
      <c r="D644">
        <v>1</v>
      </c>
      <c r="E644" t="s">
        <v>95</v>
      </c>
      <c r="F644">
        <v>21</v>
      </c>
      <c r="G644" t="s">
        <v>372</v>
      </c>
      <c r="H644">
        <v>15</v>
      </c>
      <c r="I644" t="s">
        <v>69</v>
      </c>
      <c r="J644" t="s">
        <v>106</v>
      </c>
      <c r="K644" t="s">
        <v>80</v>
      </c>
      <c r="L644" t="s">
        <v>221</v>
      </c>
    </row>
    <row r="645" spans="1:12" x14ac:dyDescent="0.25">
      <c r="A645" t="s">
        <v>215</v>
      </c>
      <c r="B645">
        <v>196</v>
      </c>
      <c r="C645" t="s">
        <v>27</v>
      </c>
      <c r="D645">
        <v>2</v>
      </c>
      <c r="E645" t="s">
        <v>95</v>
      </c>
      <c r="F645">
        <v>1</v>
      </c>
      <c r="G645" t="s">
        <v>372</v>
      </c>
      <c r="H645">
        <v>0</v>
      </c>
      <c r="I645" t="s">
        <v>69</v>
      </c>
      <c r="J645" t="s">
        <v>106</v>
      </c>
      <c r="K645" t="s">
        <v>80</v>
      </c>
      <c r="L645" t="s">
        <v>221</v>
      </c>
    </row>
    <row r="646" spans="1:12" x14ac:dyDescent="0.25">
      <c r="A646" t="s">
        <v>215</v>
      </c>
      <c r="B646">
        <v>197</v>
      </c>
      <c r="C646" t="s">
        <v>27</v>
      </c>
      <c r="D646">
        <v>3</v>
      </c>
      <c r="E646" t="s">
        <v>95</v>
      </c>
      <c r="G646" t="s">
        <v>372</v>
      </c>
      <c r="I646" t="s">
        <v>69</v>
      </c>
      <c r="J646" t="s">
        <v>106</v>
      </c>
      <c r="K646" t="s">
        <v>80</v>
      </c>
      <c r="L646" t="s">
        <v>221</v>
      </c>
    </row>
    <row r="647" spans="1:12" x14ac:dyDescent="0.25">
      <c r="A647" t="s">
        <v>215</v>
      </c>
      <c r="B647">
        <v>201</v>
      </c>
      <c r="C647" t="s">
        <v>12</v>
      </c>
      <c r="D647">
        <v>1</v>
      </c>
      <c r="E647" t="s">
        <v>82</v>
      </c>
      <c r="F647">
        <v>18</v>
      </c>
      <c r="G647" t="s">
        <v>372</v>
      </c>
      <c r="H647">
        <v>21</v>
      </c>
      <c r="I647" t="s">
        <v>56</v>
      </c>
      <c r="J647" t="s">
        <v>84</v>
      </c>
      <c r="K647" t="s">
        <v>58</v>
      </c>
      <c r="L647" t="s">
        <v>221</v>
      </c>
    </row>
    <row r="648" spans="1:12" x14ac:dyDescent="0.25">
      <c r="A648" t="s">
        <v>215</v>
      </c>
      <c r="B648">
        <v>202</v>
      </c>
      <c r="C648" t="s">
        <v>12</v>
      </c>
      <c r="D648">
        <v>2</v>
      </c>
      <c r="E648" t="s">
        <v>82</v>
      </c>
      <c r="F648">
        <v>0</v>
      </c>
      <c r="G648" t="s">
        <v>372</v>
      </c>
      <c r="H648">
        <v>1</v>
      </c>
      <c r="I648" t="s">
        <v>56</v>
      </c>
      <c r="J648" t="s">
        <v>84</v>
      </c>
      <c r="K648" t="s">
        <v>58</v>
      </c>
      <c r="L648" t="s">
        <v>221</v>
      </c>
    </row>
    <row r="649" spans="1:12" x14ac:dyDescent="0.25">
      <c r="A649" t="s">
        <v>215</v>
      </c>
      <c r="B649">
        <v>203</v>
      </c>
      <c r="C649" t="s">
        <v>12</v>
      </c>
      <c r="D649">
        <v>3</v>
      </c>
      <c r="E649" t="s">
        <v>82</v>
      </c>
      <c r="G649" t="s">
        <v>372</v>
      </c>
      <c r="I649" t="s">
        <v>56</v>
      </c>
      <c r="J649" t="s">
        <v>84</v>
      </c>
      <c r="K649" t="s">
        <v>58</v>
      </c>
      <c r="L649" t="s">
        <v>221</v>
      </c>
    </row>
    <row r="650" spans="1:12" x14ac:dyDescent="0.25">
      <c r="A650" t="s">
        <v>215</v>
      </c>
      <c r="B650">
        <v>204</v>
      </c>
      <c r="C650" t="s">
        <v>18</v>
      </c>
      <c r="D650">
        <v>1</v>
      </c>
      <c r="E650" t="s">
        <v>82</v>
      </c>
      <c r="F650">
        <v>21</v>
      </c>
      <c r="G650" t="s">
        <v>372</v>
      </c>
      <c r="H650">
        <v>12</v>
      </c>
      <c r="I650" t="s">
        <v>56</v>
      </c>
      <c r="J650" t="s">
        <v>87</v>
      </c>
      <c r="K650" t="s">
        <v>61</v>
      </c>
      <c r="L650" t="s">
        <v>221</v>
      </c>
    </row>
    <row r="651" spans="1:12" x14ac:dyDescent="0.25">
      <c r="A651" t="s">
        <v>215</v>
      </c>
      <c r="B651">
        <v>205</v>
      </c>
      <c r="C651" t="s">
        <v>18</v>
      </c>
      <c r="D651">
        <v>2</v>
      </c>
      <c r="E651" t="s">
        <v>82</v>
      </c>
      <c r="F651">
        <v>1</v>
      </c>
      <c r="G651" t="s">
        <v>372</v>
      </c>
      <c r="H651">
        <v>0</v>
      </c>
      <c r="I651" t="s">
        <v>56</v>
      </c>
      <c r="J651" t="s">
        <v>87</v>
      </c>
      <c r="K651" t="s">
        <v>61</v>
      </c>
      <c r="L651" t="s">
        <v>221</v>
      </c>
    </row>
    <row r="652" spans="1:12" x14ac:dyDescent="0.25">
      <c r="A652" t="s">
        <v>215</v>
      </c>
      <c r="B652">
        <v>206</v>
      </c>
      <c r="C652" t="s">
        <v>18</v>
      </c>
      <c r="D652">
        <v>3</v>
      </c>
      <c r="E652" t="s">
        <v>82</v>
      </c>
      <c r="G652" t="s">
        <v>372</v>
      </c>
      <c r="I652" t="s">
        <v>56</v>
      </c>
      <c r="J652" t="s">
        <v>87</v>
      </c>
      <c r="K652" t="s">
        <v>61</v>
      </c>
      <c r="L652" t="s">
        <v>221</v>
      </c>
    </row>
    <row r="653" spans="1:12" x14ac:dyDescent="0.25">
      <c r="A653" t="s">
        <v>215</v>
      </c>
      <c r="B653">
        <v>207</v>
      </c>
      <c r="C653" t="s">
        <v>21</v>
      </c>
      <c r="D653">
        <v>1</v>
      </c>
      <c r="E653" t="s">
        <v>82</v>
      </c>
      <c r="F653">
        <v>21</v>
      </c>
      <c r="G653" t="s">
        <v>372</v>
      </c>
      <c r="H653">
        <v>15</v>
      </c>
      <c r="I653" t="s">
        <v>56</v>
      </c>
      <c r="J653" t="s">
        <v>89</v>
      </c>
      <c r="K653" t="s">
        <v>63</v>
      </c>
      <c r="L653" t="s">
        <v>221</v>
      </c>
    </row>
    <row r="654" spans="1:12" x14ac:dyDescent="0.25">
      <c r="A654" t="s">
        <v>215</v>
      </c>
      <c r="B654">
        <v>208</v>
      </c>
      <c r="C654" t="s">
        <v>21</v>
      </c>
      <c r="D654">
        <v>2</v>
      </c>
      <c r="E654" t="s">
        <v>82</v>
      </c>
      <c r="F654">
        <v>1</v>
      </c>
      <c r="G654" t="s">
        <v>372</v>
      </c>
      <c r="H654">
        <v>0</v>
      </c>
      <c r="I654" t="s">
        <v>56</v>
      </c>
      <c r="J654" t="s">
        <v>89</v>
      </c>
      <c r="K654" t="s">
        <v>63</v>
      </c>
      <c r="L654" t="s">
        <v>221</v>
      </c>
    </row>
    <row r="655" spans="1:12" x14ac:dyDescent="0.25">
      <c r="A655" t="s">
        <v>215</v>
      </c>
      <c r="B655">
        <v>209</v>
      </c>
      <c r="C655" t="s">
        <v>21</v>
      </c>
      <c r="D655">
        <v>3</v>
      </c>
      <c r="E655" t="s">
        <v>82</v>
      </c>
      <c r="G655" t="s">
        <v>372</v>
      </c>
      <c r="I655" t="s">
        <v>56</v>
      </c>
      <c r="J655" t="s">
        <v>89</v>
      </c>
      <c r="K655" t="s">
        <v>63</v>
      </c>
      <c r="L655" t="s">
        <v>221</v>
      </c>
    </row>
    <row r="656" spans="1:12" x14ac:dyDescent="0.25">
      <c r="A656" t="s">
        <v>215</v>
      </c>
      <c r="B656">
        <v>210</v>
      </c>
      <c r="C656" t="s">
        <v>24</v>
      </c>
      <c r="D656">
        <v>1</v>
      </c>
      <c r="E656" t="s">
        <v>82</v>
      </c>
      <c r="F656">
        <v>17</v>
      </c>
      <c r="G656" t="s">
        <v>372</v>
      </c>
      <c r="H656">
        <v>21</v>
      </c>
      <c r="I656" t="s">
        <v>56</v>
      </c>
      <c r="J656" t="s">
        <v>91</v>
      </c>
      <c r="K656" t="s">
        <v>65</v>
      </c>
      <c r="L656" t="s">
        <v>221</v>
      </c>
    </row>
    <row r="657" spans="1:12" x14ac:dyDescent="0.25">
      <c r="A657" t="s">
        <v>215</v>
      </c>
      <c r="B657">
        <v>211</v>
      </c>
      <c r="C657" t="s">
        <v>24</v>
      </c>
      <c r="D657">
        <v>2</v>
      </c>
      <c r="E657" t="s">
        <v>82</v>
      </c>
      <c r="F657">
        <v>0</v>
      </c>
      <c r="G657" t="s">
        <v>372</v>
      </c>
      <c r="H657">
        <v>1</v>
      </c>
      <c r="I657" t="s">
        <v>56</v>
      </c>
      <c r="J657" t="s">
        <v>91</v>
      </c>
      <c r="K657" t="s">
        <v>65</v>
      </c>
      <c r="L657" t="s">
        <v>221</v>
      </c>
    </row>
    <row r="658" spans="1:12" x14ac:dyDescent="0.25">
      <c r="A658" t="s">
        <v>215</v>
      </c>
      <c r="B658">
        <v>212</v>
      </c>
      <c r="C658" t="s">
        <v>24</v>
      </c>
      <c r="D658">
        <v>3</v>
      </c>
      <c r="E658" t="s">
        <v>82</v>
      </c>
      <c r="G658" t="s">
        <v>372</v>
      </c>
      <c r="I658" t="s">
        <v>56</v>
      </c>
      <c r="J658" t="s">
        <v>91</v>
      </c>
      <c r="K658" t="s">
        <v>65</v>
      </c>
      <c r="L658" t="s">
        <v>221</v>
      </c>
    </row>
    <row r="659" spans="1:12" x14ac:dyDescent="0.25">
      <c r="A659" t="s">
        <v>215</v>
      </c>
      <c r="B659">
        <v>213</v>
      </c>
      <c r="C659" t="s">
        <v>27</v>
      </c>
      <c r="D659">
        <v>1</v>
      </c>
      <c r="E659" t="s">
        <v>82</v>
      </c>
      <c r="F659">
        <v>16</v>
      </c>
      <c r="G659" t="s">
        <v>372</v>
      </c>
      <c r="H659">
        <v>21</v>
      </c>
      <c r="I659" t="s">
        <v>56</v>
      </c>
      <c r="J659" t="s">
        <v>93</v>
      </c>
      <c r="K659" t="s">
        <v>67</v>
      </c>
      <c r="L659" t="s">
        <v>221</v>
      </c>
    </row>
    <row r="660" spans="1:12" x14ac:dyDescent="0.25">
      <c r="A660" t="s">
        <v>215</v>
      </c>
      <c r="B660">
        <v>214</v>
      </c>
      <c r="C660" t="s">
        <v>27</v>
      </c>
      <c r="D660">
        <v>2</v>
      </c>
      <c r="E660" t="s">
        <v>82</v>
      </c>
      <c r="F660">
        <v>0</v>
      </c>
      <c r="G660" t="s">
        <v>372</v>
      </c>
      <c r="H660">
        <v>1</v>
      </c>
      <c r="I660" t="s">
        <v>56</v>
      </c>
      <c r="J660" t="s">
        <v>93</v>
      </c>
      <c r="K660" t="s">
        <v>67</v>
      </c>
      <c r="L660" t="s">
        <v>221</v>
      </c>
    </row>
    <row r="661" spans="1:12" x14ac:dyDescent="0.25">
      <c r="A661" t="s">
        <v>215</v>
      </c>
      <c r="B661">
        <v>215</v>
      </c>
      <c r="C661" t="s">
        <v>27</v>
      </c>
      <c r="D661">
        <v>3</v>
      </c>
      <c r="E661" t="s">
        <v>82</v>
      </c>
      <c r="G661" t="s">
        <v>372</v>
      </c>
      <c r="I661" t="s">
        <v>56</v>
      </c>
      <c r="J661" t="s">
        <v>93</v>
      </c>
      <c r="K661" t="s">
        <v>67</v>
      </c>
      <c r="L661" t="s">
        <v>221</v>
      </c>
    </row>
    <row r="662" spans="1:12" x14ac:dyDescent="0.25">
      <c r="A662" t="s">
        <v>215</v>
      </c>
      <c r="B662">
        <v>219</v>
      </c>
      <c r="C662" t="s">
        <v>12</v>
      </c>
      <c r="D662">
        <v>1</v>
      </c>
      <c r="E662" t="s">
        <v>108</v>
      </c>
      <c r="F662">
        <v>1</v>
      </c>
      <c r="G662" t="s">
        <v>372</v>
      </c>
      <c r="H662">
        <v>0</v>
      </c>
      <c r="I662" t="s">
        <v>225</v>
      </c>
      <c r="J662" t="s">
        <v>110</v>
      </c>
      <c r="L662" t="s">
        <v>226</v>
      </c>
    </row>
    <row r="663" spans="1:12" x14ac:dyDescent="0.25">
      <c r="A663" t="s">
        <v>215</v>
      </c>
      <c r="B663">
        <v>220</v>
      </c>
      <c r="C663" t="s">
        <v>12</v>
      </c>
      <c r="D663">
        <v>2</v>
      </c>
      <c r="E663" t="s">
        <v>108</v>
      </c>
      <c r="F663">
        <v>1</v>
      </c>
      <c r="G663" t="s">
        <v>372</v>
      </c>
      <c r="H663">
        <v>0</v>
      </c>
      <c r="I663" t="s">
        <v>225</v>
      </c>
      <c r="J663" t="s">
        <v>110</v>
      </c>
      <c r="L663" t="s">
        <v>226</v>
      </c>
    </row>
    <row r="664" spans="1:12" x14ac:dyDescent="0.25">
      <c r="A664" t="s">
        <v>215</v>
      </c>
      <c r="B664">
        <v>221</v>
      </c>
      <c r="C664" t="s">
        <v>12</v>
      </c>
      <c r="D664">
        <v>3</v>
      </c>
      <c r="E664" t="s">
        <v>108</v>
      </c>
      <c r="G664" t="s">
        <v>372</v>
      </c>
      <c r="I664" t="s">
        <v>225</v>
      </c>
      <c r="J664" t="s">
        <v>110</v>
      </c>
      <c r="L664" t="s">
        <v>226</v>
      </c>
    </row>
    <row r="665" spans="1:12" x14ac:dyDescent="0.25">
      <c r="A665" t="s">
        <v>215</v>
      </c>
      <c r="B665">
        <v>222</v>
      </c>
      <c r="C665" t="s">
        <v>18</v>
      </c>
      <c r="D665">
        <v>1</v>
      </c>
      <c r="E665" t="s">
        <v>108</v>
      </c>
      <c r="F665">
        <v>1</v>
      </c>
      <c r="G665" t="s">
        <v>372</v>
      </c>
      <c r="H665">
        <v>0</v>
      </c>
      <c r="I665" t="s">
        <v>225</v>
      </c>
      <c r="J665" t="s">
        <v>113</v>
      </c>
      <c r="L665" t="s">
        <v>226</v>
      </c>
    </row>
    <row r="666" spans="1:12" x14ac:dyDescent="0.25">
      <c r="A666" t="s">
        <v>215</v>
      </c>
      <c r="B666">
        <v>223</v>
      </c>
      <c r="C666" t="s">
        <v>18</v>
      </c>
      <c r="D666">
        <v>2</v>
      </c>
      <c r="E666" t="s">
        <v>108</v>
      </c>
      <c r="F666">
        <v>1</v>
      </c>
      <c r="G666" t="s">
        <v>372</v>
      </c>
      <c r="H666">
        <v>0</v>
      </c>
      <c r="I666" t="s">
        <v>225</v>
      </c>
      <c r="J666" t="s">
        <v>113</v>
      </c>
      <c r="L666" t="s">
        <v>226</v>
      </c>
    </row>
    <row r="667" spans="1:12" x14ac:dyDescent="0.25">
      <c r="A667" t="s">
        <v>215</v>
      </c>
      <c r="B667">
        <v>224</v>
      </c>
      <c r="C667" t="s">
        <v>18</v>
      </c>
      <c r="D667">
        <v>3</v>
      </c>
      <c r="E667" t="s">
        <v>108</v>
      </c>
      <c r="G667" t="s">
        <v>372</v>
      </c>
      <c r="I667" t="s">
        <v>225</v>
      </c>
      <c r="J667" t="s">
        <v>113</v>
      </c>
      <c r="L667" t="s">
        <v>226</v>
      </c>
    </row>
    <row r="668" spans="1:12" x14ac:dyDescent="0.25">
      <c r="A668" t="s">
        <v>215</v>
      </c>
      <c r="B668">
        <v>225</v>
      </c>
      <c r="C668" t="s">
        <v>21</v>
      </c>
      <c r="D668">
        <v>1</v>
      </c>
      <c r="E668" t="s">
        <v>108</v>
      </c>
      <c r="F668">
        <v>1</v>
      </c>
      <c r="G668" t="s">
        <v>372</v>
      </c>
      <c r="H668">
        <v>0</v>
      </c>
      <c r="I668" t="s">
        <v>225</v>
      </c>
      <c r="J668" t="s">
        <v>115</v>
      </c>
      <c r="L668" t="s">
        <v>226</v>
      </c>
    </row>
    <row r="669" spans="1:12" x14ac:dyDescent="0.25">
      <c r="A669" t="s">
        <v>215</v>
      </c>
      <c r="B669">
        <v>226</v>
      </c>
      <c r="C669" t="s">
        <v>21</v>
      </c>
      <c r="D669">
        <v>2</v>
      </c>
      <c r="E669" t="s">
        <v>108</v>
      </c>
      <c r="F669">
        <v>1</v>
      </c>
      <c r="G669" t="s">
        <v>372</v>
      </c>
      <c r="H669">
        <v>0</v>
      </c>
      <c r="I669" t="s">
        <v>225</v>
      </c>
      <c r="J669" t="s">
        <v>115</v>
      </c>
      <c r="L669" t="s">
        <v>226</v>
      </c>
    </row>
    <row r="670" spans="1:12" x14ac:dyDescent="0.25">
      <c r="A670" t="s">
        <v>215</v>
      </c>
      <c r="B670">
        <v>227</v>
      </c>
      <c r="C670" t="s">
        <v>21</v>
      </c>
      <c r="D670">
        <v>3</v>
      </c>
      <c r="E670" t="s">
        <v>108</v>
      </c>
      <c r="G670" t="s">
        <v>372</v>
      </c>
      <c r="I670" t="s">
        <v>225</v>
      </c>
      <c r="J670" t="s">
        <v>115</v>
      </c>
      <c r="L670" t="s">
        <v>226</v>
      </c>
    </row>
    <row r="671" spans="1:12" x14ac:dyDescent="0.25">
      <c r="A671" t="s">
        <v>215</v>
      </c>
      <c r="B671">
        <v>228</v>
      </c>
      <c r="C671" t="s">
        <v>24</v>
      </c>
      <c r="D671">
        <v>1</v>
      </c>
      <c r="E671" t="s">
        <v>108</v>
      </c>
      <c r="F671">
        <v>1</v>
      </c>
      <c r="G671" t="s">
        <v>372</v>
      </c>
      <c r="H671">
        <v>0</v>
      </c>
      <c r="I671" t="s">
        <v>225</v>
      </c>
      <c r="J671" t="s">
        <v>117</v>
      </c>
      <c r="L671" t="s">
        <v>226</v>
      </c>
    </row>
    <row r="672" spans="1:12" x14ac:dyDescent="0.25">
      <c r="A672" t="s">
        <v>215</v>
      </c>
      <c r="B672">
        <v>229</v>
      </c>
      <c r="C672" t="s">
        <v>24</v>
      </c>
      <c r="D672">
        <v>2</v>
      </c>
      <c r="E672" t="s">
        <v>108</v>
      </c>
      <c r="F672">
        <v>1</v>
      </c>
      <c r="G672" t="s">
        <v>372</v>
      </c>
      <c r="H672">
        <v>0</v>
      </c>
      <c r="I672" t="s">
        <v>225</v>
      </c>
      <c r="J672" t="s">
        <v>117</v>
      </c>
      <c r="L672" t="s">
        <v>226</v>
      </c>
    </row>
    <row r="673" spans="1:12" x14ac:dyDescent="0.25">
      <c r="A673" t="s">
        <v>215</v>
      </c>
      <c r="B673">
        <v>230</v>
      </c>
      <c r="C673" t="s">
        <v>24</v>
      </c>
      <c r="D673">
        <v>3</v>
      </c>
      <c r="E673" t="s">
        <v>108</v>
      </c>
      <c r="G673" t="s">
        <v>372</v>
      </c>
      <c r="I673" t="s">
        <v>225</v>
      </c>
      <c r="J673" t="s">
        <v>117</v>
      </c>
      <c r="L673" t="s">
        <v>226</v>
      </c>
    </row>
    <row r="674" spans="1:12" x14ac:dyDescent="0.25">
      <c r="A674" t="s">
        <v>215</v>
      </c>
      <c r="B674">
        <v>231</v>
      </c>
      <c r="C674" t="s">
        <v>27</v>
      </c>
      <c r="D674">
        <v>1</v>
      </c>
      <c r="E674" t="s">
        <v>108</v>
      </c>
      <c r="F674">
        <v>1</v>
      </c>
      <c r="G674" t="s">
        <v>372</v>
      </c>
      <c r="H674">
        <v>0</v>
      </c>
      <c r="I674" t="s">
        <v>225</v>
      </c>
      <c r="J674" t="s">
        <v>119</v>
      </c>
      <c r="L674" t="s">
        <v>226</v>
      </c>
    </row>
    <row r="675" spans="1:12" x14ac:dyDescent="0.25">
      <c r="A675" t="s">
        <v>215</v>
      </c>
      <c r="B675">
        <v>232</v>
      </c>
      <c r="C675" t="s">
        <v>27</v>
      </c>
      <c r="D675">
        <v>2</v>
      </c>
      <c r="E675" t="s">
        <v>108</v>
      </c>
      <c r="F675">
        <v>1</v>
      </c>
      <c r="G675" t="s">
        <v>372</v>
      </c>
      <c r="H675">
        <v>0</v>
      </c>
      <c r="I675" t="s">
        <v>225</v>
      </c>
      <c r="J675" t="s">
        <v>119</v>
      </c>
      <c r="L675" t="s">
        <v>226</v>
      </c>
    </row>
    <row r="676" spans="1:12" x14ac:dyDescent="0.25">
      <c r="A676" t="s">
        <v>215</v>
      </c>
      <c r="B676">
        <v>233</v>
      </c>
      <c r="C676" t="s">
        <v>27</v>
      </c>
      <c r="D676">
        <v>3</v>
      </c>
      <c r="E676" t="s">
        <v>108</v>
      </c>
      <c r="G676" t="s">
        <v>372</v>
      </c>
      <c r="I676" t="s">
        <v>225</v>
      </c>
      <c r="J676" t="s">
        <v>119</v>
      </c>
      <c r="L676" t="s">
        <v>226</v>
      </c>
    </row>
    <row r="677" spans="1:12" x14ac:dyDescent="0.25">
      <c r="A677" t="s">
        <v>215</v>
      </c>
      <c r="B677">
        <v>237</v>
      </c>
      <c r="C677" t="s">
        <v>12</v>
      </c>
      <c r="D677">
        <v>1</v>
      </c>
      <c r="E677" t="s">
        <v>121</v>
      </c>
      <c r="F677">
        <v>1</v>
      </c>
      <c r="G677" t="s">
        <v>372</v>
      </c>
      <c r="H677">
        <v>0</v>
      </c>
      <c r="I677" t="s">
        <v>225</v>
      </c>
      <c r="J677" t="s">
        <v>123</v>
      </c>
      <c r="L677" t="s">
        <v>226</v>
      </c>
    </row>
    <row r="678" spans="1:12" x14ac:dyDescent="0.25">
      <c r="A678" t="s">
        <v>215</v>
      </c>
      <c r="B678">
        <v>238</v>
      </c>
      <c r="C678" t="s">
        <v>12</v>
      </c>
      <c r="D678">
        <v>2</v>
      </c>
      <c r="E678" t="s">
        <v>121</v>
      </c>
      <c r="F678">
        <v>1</v>
      </c>
      <c r="G678" t="s">
        <v>372</v>
      </c>
      <c r="H678">
        <v>0</v>
      </c>
      <c r="I678" t="s">
        <v>225</v>
      </c>
      <c r="J678" t="s">
        <v>123</v>
      </c>
      <c r="L678" t="s">
        <v>226</v>
      </c>
    </row>
    <row r="679" spans="1:12" x14ac:dyDescent="0.25">
      <c r="A679" t="s">
        <v>215</v>
      </c>
      <c r="B679">
        <v>239</v>
      </c>
      <c r="C679" t="s">
        <v>12</v>
      </c>
      <c r="D679">
        <v>3</v>
      </c>
      <c r="E679" t="s">
        <v>121</v>
      </c>
      <c r="G679" t="s">
        <v>372</v>
      </c>
      <c r="I679" t="s">
        <v>225</v>
      </c>
      <c r="J679" t="s">
        <v>123</v>
      </c>
      <c r="L679" t="s">
        <v>226</v>
      </c>
    </row>
    <row r="680" spans="1:12" x14ac:dyDescent="0.25">
      <c r="A680" t="s">
        <v>215</v>
      </c>
      <c r="B680">
        <v>240</v>
      </c>
      <c r="C680" t="s">
        <v>18</v>
      </c>
      <c r="D680">
        <v>1</v>
      </c>
      <c r="E680" t="s">
        <v>121</v>
      </c>
      <c r="F680">
        <v>1</v>
      </c>
      <c r="G680" t="s">
        <v>372</v>
      </c>
      <c r="H680">
        <v>0</v>
      </c>
      <c r="I680" t="s">
        <v>225</v>
      </c>
      <c r="J680" t="s">
        <v>126</v>
      </c>
      <c r="L680" t="s">
        <v>226</v>
      </c>
    </row>
    <row r="681" spans="1:12" x14ac:dyDescent="0.25">
      <c r="A681" t="s">
        <v>215</v>
      </c>
      <c r="B681">
        <v>241</v>
      </c>
      <c r="C681" t="s">
        <v>18</v>
      </c>
      <c r="D681">
        <v>2</v>
      </c>
      <c r="E681" t="s">
        <v>121</v>
      </c>
      <c r="F681">
        <v>1</v>
      </c>
      <c r="G681" t="s">
        <v>372</v>
      </c>
      <c r="H681">
        <v>0</v>
      </c>
      <c r="I681" t="s">
        <v>225</v>
      </c>
      <c r="J681" t="s">
        <v>126</v>
      </c>
      <c r="L681" t="s">
        <v>226</v>
      </c>
    </row>
    <row r="682" spans="1:12" x14ac:dyDescent="0.25">
      <c r="A682" t="s">
        <v>215</v>
      </c>
      <c r="B682">
        <v>242</v>
      </c>
      <c r="C682" t="s">
        <v>18</v>
      </c>
      <c r="D682">
        <v>3</v>
      </c>
      <c r="E682" t="s">
        <v>121</v>
      </c>
      <c r="G682" t="s">
        <v>372</v>
      </c>
      <c r="I682" t="s">
        <v>225</v>
      </c>
      <c r="J682" t="s">
        <v>126</v>
      </c>
      <c r="L682" t="s">
        <v>226</v>
      </c>
    </row>
    <row r="683" spans="1:12" x14ac:dyDescent="0.25">
      <c r="A683" t="s">
        <v>215</v>
      </c>
      <c r="B683">
        <v>243</v>
      </c>
      <c r="C683" t="s">
        <v>21</v>
      </c>
      <c r="D683">
        <v>1</v>
      </c>
      <c r="E683" t="s">
        <v>121</v>
      </c>
      <c r="F683">
        <v>1</v>
      </c>
      <c r="G683" t="s">
        <v>372</v>
      </c>
      <c r="H683">
        <v>0</v>
      </c>
      <c r="I683" t="s">
        <v>225</v>
      </c>
      <c r="J683" t="s">
        <v>128</v>
      </c>
      <c r="L683" t="s">
        <v>226</v>
      </c>
    </row>
    <row r="684" spans="1:12" x14ac:dyDescent="0.25">
      <c r="A684" t="s">
        <v>215</v>
      </c>
      <c r="B684">
        <v>244</v>
      </c>
      <c r="C684" t="s">
        <v>21</v>
      </c>
      <c r="D684">
        <v>2</v>
      </c>
      <c r="E684" t="s">
        <v>121</v>
      </c>
      <c r="F684">
        <v>1</v>
      </c>
      <c r="G684" t="s">
        <v>372</v>
      </c>
      <c r="H684">
        <v>0</v>
      </c>
      <c r="I684" t="s">
        <v>225</v>
      </c>
      <c r="J684" t="s">
        <v>128</v>
      </c>
      <c r="L684" t="s">
        <v>226</v>
      </c>
    </row>
    <row r="685" spans="1:12" x14ac:dyDescent="0.25">
      <c r="A685" t="s">
        <v>215</v>
      </c>
      <c r="B685">
        <v>245</v>
      </c>
      <c r="C685" t="s">
        <v>21</v>
      </c>
      <c r="D685">
        <v>3</v>
      </c>
      <c r="E685" t="s">
        <v>121</v>
      </c>
      <c r="G685" t="s">
        <v>372</v>
      </c>
      <c r="I685" t="s">
        <v>225</v>
      </c>
      <c r="J685" t="s">
        <v>128</v>
      </c>
      <c r="L685" t="s">
        <v>226</v>
      </c>
    </row>
    <row r="686" spans="1:12" x14ac:dyDescent="0.25">
      <c r="A686" t="s">
        <v>215</v>
      </c>
      <c r="B686">
        <v>246</v>
      </c>
      <c r="C686" t="s">
        <v>24</v>
      </c>
      <c r="D686">
        <v>1</v>
      </c>
      <c r="E686" t="s">
        <v>121</v>
      </c>
      <c r="F686">
        <v>1</v>
      </c>
      <c r="G686" t="s">
        <v>372</v>
      </c>
      <c r="H686">
        <v>0</v>
      </c>
      <c r="I686" t="s">
        <v>225</v>
      </c>
      <c r="J686" t="s">
        <v>130</v>
      </c>
      <c r="L686" t="s">
        <v>226</v>
      </c>
    </row>
    <row r="687" spans="1:12" x14ac:dyDescent="0.25">
      <c r="A687" t="s">
        <v>215</v>
      </c>
      <c r="B687">
        <v>247</v>
      </c>
      <c r="C687" t="s">
        <v>24</v>
      </c>
      <c r="D687">
        <v>2</v>
      </c>
      <c r="E687" t="s">
        <v>121</v>
      </c>
      <c r="F687">
        <v>1</v>
      </c>
      <c r="G687" t="s">
        <v>372</v>
      </c>
      <c r="H687">
        <v>0</v>
      </c>
      <c r="I687" t="s">
        <v>225</v>
      </c>
      <c r="J687" t="s">
        <v>130</v>
      </c>
      <c r="L687" t="s">
        <v>226</v>
      </c>
    </row>
    <row r="688" spans="1:12" x14ac:dyDescent="0.25">
      <c r="A688" t="s">
        <v>215</v>
      </c>
      <c r="B688">
        <v>248</v>
      </c>
      <c r="C688" t="s">
        <v>24</v>
      </c>
      <c r="D688">
        <v>3</v>
      </c>
      <c r="E688" t="s">
        <v>121</v>
      </c>
      <c r="G688" t="s">
        <v>372</v>
      </c>
      <c r="I688" t="s">
        <v>225</v>
      </c>
      <c r="J688" t="s">
        <v>130</v>
      </c>
      <c r="L688" t="s">
        <v>226</v>
      </c>
    </row>
    <row r="689" spans="1:12" x14ac:dyDescent="0.25">
      <c r="A689" t="s">
        <v>215</v>
      </c>
      <c r="B689">
        <v>249</v>
      </c>
      <c r="C689" t="s">
        <v>27</v>
      </c>
      <c r="D689">
        <v>1</v>
      </c>
      <c r="E689" t="s">
        <v>121</v>
      </c>
      <c r="F689">
        <v>1</v>
      </c>
      <c r="G689" t="s">
        <v>372</v>
      </c>
      <c r="H689">
        <v>0</v>
      </c>
      <c r="I689" t="s">
        <v>225</v>
      </c>
      <c r="J689" t="s">
        <v>132</v>
      </c>
      <c r="L689" t="s">
        <v>226</v>
      </c>
    </row>
    <row r="690" spans="1:12" x14ac:dyDescent="0.25">
      <c r="A690" t="s">
        <v>215</v>
      </c>
      <c r="B690">
        <v>250</v>
      </c>
      <c r="C690" t="s">
        <v>27</v>
      </c>
      <c r="D690">
        <v>2</v>
      </c>
      <c r="E690" t="s">
        <v>121</v>
      </c>
      <c r="F690">
        <v>1</v>
      </c>
      <c r="G690" t="s">
        <v>372</v>
      </c>
      <c r="H690">
        <v>0</v>
      </c>
      <c r="I690" t="s">
        <v>225</v>
      </c>
      <c r="J690" t="s">
        <v>132</v>
      </c>
      <c r="L690" t="s">
        <v>226</v>
      </c>
    </row>
    <row r="691" spans="1:12" x14ac:dyDescent="0.25">
      <c r="A691" t="s">
        <v>215</v>
      </c>
      <c r="B691">
        <v>251</v>
      </c>
      <c r="C691" t="s">
        <v>27</v>
      </c>
      <c r="D691">
        <v>3</v>
      </c>
      <c r="E691" t="s">
        <v>121</v>
      </c>
      <c r="G691" t="s">
        <v>372</v>
      </c>
      <c r="I691" t="s">
        <v>225</v>
      </c>
      <c r="J691" t="s">
        <v>132</v>
      </c>
      <c r="L691" t="s">
        <v>226</v>
      </c>
    </row>
    <row r="692" spans="1:12" x14ac:dyDescent="0.25">
      <c r="A692" t="s">
        <v>215</v>
      </c>
      <c r="B692">
        <v>255</v>
      </c>
      <c r="C692" t="s">
        <v>12</v>
      </c>
      <c r="D692">
        <v>1</v>
      </c>
      <c r="E692" t="s">
        <v>109</v>
      </c>
      <c r="F692">
        <v>21</v>
      </c>
      <c r="G692" t="s">
        <v>372</v>
      </c>
      <c r="H692">
        <v>15</v>
      </c>
      <c r="I692" t="s">
        <v>135</v>
      </c>
      <c r="J692" t="s">
        <v>111</v>
      </c>
      <c r="K692" t="s">
        <v>137</v>
      </c>
      <c r="L692" t="s">
        <v>226</v>
      </c>
    </row>
    <row r="693" spans="1:12" x14ac:dyDescent="0.25">
      <c r="A693" t="s">
        <v>215</v>
      </c>
      <c r="B693">
        <v>256</v>
      </c>
      <c r="C693" t="s">
        <v>12</v>
      </c>
      <c r="D693">
        <v>2</v>
      </c>
      <c r="E693" t="s">
        <v>109</v>
      </c>
      <c r="F693">
        <v>1</v>
      </c>
      <c r="G693" t="s">
        <v>372</v>
      </c>
      <c r="H693">
        <v>0</v>
      </c>
      <c r="I693" t="s">
        <v>135</v>
      </c>
      <c r="J693" t="s">
        <v>111</v>
      </c>
      <c r="K693" t="s">
        <v>137</v>
      </c>
      <c r="L693" t="s">
        <v>226</v>
      </c>
    </row>
    <row r="694" spans="1:12" x14ac:dyDescent="0.25">
      <c r="A694" t="s">
        <v>215</v>
      </c>
      <c r="B694">
        <v>257</v>
      </c>
      <c r="C694" t="s">
        <v>12</v>
      </c>
      <c r="D694">
        <v>3</v>
      </c>
      <c r="E694" t="s">
        <v>109</v>
      </c>
      <c r="G694" t="s">
        <v>372</v>
      </c>
      <c r="I694" t="s">
        <v>135</v>
      </c>
      <c r="J694" t="s">
        <v>111</v>
      </c>
      <c r="K694" t="s">
        <v>137</v>
      </c>
      <c r="L694" t="s">
        <v>226</v>
      </c>
    </row>
    <row r="695" spans="1:12" x14ac:dyDescent="0.25">
      <c r="A695" t="s">
        <v>215</v>
      </c>
      <c r="B695">
        <v>258</v>
      </c>
      <c r="C695" t="s">
        <v>18</v>
      </c>
      <c r="D695">
        <v>1</v>
      </c>
      <c r="E695" t="s">
        <v>109</v>
      </c>
      <c r="F695">
        <v>22</v>
      </c>
      <c r="G695" t="s">
        <v>372</v>
      </c>
      <c r="H695">
        <v>20</v>
      </c>
      <c r="I695" t="s">
        <v>135</v>
      </c>
      <c r="J695" t="s">
        <v>114</v>
      </c>
      <c r="K695" t="s">
        <v>140</v>
      </c>
      <c r="L695" t="s">
        <v>226</v>
      </c>
    </row>
    <row r="696" spans="1:12" x14ac:dyDescent="0.25">
      <c r="A696" t="s">
        <v>215</v>
      </c>
      <c r="B696">
        <v>259</v>
      </c>
      <c r="C696" t="s">
        <v>18</v>
      </c>
      <c r="D696">
        <v>2</v>
      </c>
      <c r="E696" t="s">
        <v>109</v>
      </c>
      <c r="F696">
        <v>1</v>
      </c>
      <c r="G696" t="s">
        <v>372</v>
      </c>
      <c r="H696">
        <v>0</v>
      </c>
      <c r="I696" t="s">
        <v>135</v>
      </c>
      <c r="J696" t="s">
        <v>114</v>
      </c>
      <c r="K696" t="s">
        <v>140</v>
      </c>
      <c r="L696" t="s">
        <v>226</v>
      </c>
    </row>
    <row r="697" spans="1:12" x14ac:dyDescent="0.25">
      <c r="A697" t="s">
        <v>215</v>
      </c>
      <c r="B697">
        <v>260</v>
      </c>
      <c r="C697" t="s">
        <v>18</v>
      </c>
      <c r="D697">
        <v>3</v>
      </c>
      <c r="E697" t="s">
        <v>109</v>
      </c>
      <c r="G697" t="s">
        <v>372</v>
      </c>
      <c r="I697" t="s">
        <v>135</v>
      </c>
      <c r="J697" t="s">
        <v>114</v>
      </c>
      <c r="K697" t="s">
        <v>140</v>
      </c>
      <c r="L697" t="s">
        <v>226</v>
      </c>
    </row>
    <row r="698" spans="1:12" x14ac:dyDescent="0.25">
      <c r="A698" t="s">
        <v>215</v>
      </c>
      <c r="B698">
        <v>261</v>
      </c>
      <c r="C698" t="s">
        <v>21</v>
      </c>
      <c r="D698">
        <v>1</v>
      </c>
      <c r="E698" t="s">
        <v>109</v>
      </c>
      <c r="F698">
        <v>21</v>
      </c>
      <c r="G698" t="s">
        <v>372</v>
      </c>
      <c r="H698">
        <v>18</v>
      </c>
      <c r="I698" t="s">
        <v>135</v>
      </c>
      <c r="J698" t="s">
        <v>116</v>
      </c>
      <c r="K698" t="s">
        <v>142</v>
      </c>
      <c r="L698" t="s">
        <v>226</v>
      </c>
    </row>
    <row r="699" spans="1:12" x14ac:dyDescent="0.25">
      <c r="A699" t="s">
        <v>215</v>
      </c>
      <c r="B699">
        <v>262</v>
      </c>
      <c r="C699" t="s">
        <v>21</v>
      </c>
      <c r="D699">
        <v>2</v>
      </c>
      <c r="E699" t="s">
        <v>109</v>
      </c>
      <c r="F699">
        <v>1</v>
      </c>
      <c r="G699" t="s">
        <v>372</v>
      </c>
      <c r="H699">
        <v>0</v>
      </c>
      <c r="I699" t="s">
        <v>135</v>
      </c>
      <c r="J699" t="s">
        <v>116</v>
      </c>
      <c r="K699" t="s">
        <v>142</v>
      </c>
      <c r="L699" t="s">
        <v>226</v>
      </c>
    </row>
    <row r="700" spans="1:12" x14ac:dyDescent="0.25">
      <c r="A700" t="s">
        <v>215</v>
      </c>
      <c r="B700">
        <v>263</v>
      </c>
      <c r="C700" t="s">
        <v>21</v>
      </c>
      <c r="D700">
        <v>3</v>
      </c>
      <c r="E700" t="s">
        <v>109</v>
      </c>
      <c r="G700" t="s">
        <v>372</v>
      </c>
      <c r="I700" t="s">
        <v>135</v>
      </c>
      <c r="J700" t="s">
        <v>116</v>
      </c>
      <c r="K700" t="s">
        <v>142</v>
      </c>
      <c r="L700" t="s">
        <v>226</v>
      </c>
    </row>
    <row r="701" spans="1:12" x14ac:dyDescent="0.25">
      <c r="A701" t="s">
        <v>215</v>
      </c>
      <c r="B701">
        <v>264</v>
      </c>
      <c r="C701" t="s">
        <v>24</v>
      </c>
      <c r="D701">
        <v>1</v>
      </c>
      <c r="E701" t="s">
        <v>109</v>
      </c>
      <c r="F701">
        <v>21</v>
      </c>
      <c r="G701" t="s">
        <v>372</v>
      </c>
      <c r="H701">
        <v>17</v>
      </c>
      <c r="I701" t="s">
        <v>135</v>
      </c>
      <c r="J701" t="s">
        <v>118</v>
      </c>
      <c r="K701" t="s">
        <v>144</v>
      </c>
      <c r="L701" t="s">
        <v>226</v>
      </c>
    </row>
    <row r="702" spans="1:12" x14ac:dyDescent="0.25">
      <c r="A702" t="s">
        <v>215</v>
      </c>
      <c r="B702">
        <v>265</v>
      </c>
      <c r="C702" t="s">
        <v>24</v>
      </c>
      <c r="D702">
        <v>2</v>
      </c>
      <c r="E702" t="s">
        <v>109</v>
      </c>
      <c r="F702">
        <v>1</v>
      </c>
      <c r="G702" t="s">
        <v>372</v>
      </c>
      <c r="H702">
        <v>0</v>
      </c>
      <c r="I702" t="s">
        <v>135</v>
      </c>
      <c r="J702" t="s">
        <v>118</v>
      </c>
      <c r="K702" t="s">
        <v>144</v>
      </c>
      <c r="L702" t="s">
        <v>226</v>
      </c>
    </row>
    <row r="703" spans="1:12" x14ac:dyDescent="0.25">
      <c r="A703" t="s">
        <v>215</v>
      </c>
      <c r="B703">
        <v>266</v>
      </c>
      <c r="C703" t="s">
        <v>24</v>
      </c>
      <c r="D703">
        <v>3</v>
      </c>
      <c r="E703" t="s">
        <v>109</v>
      </c>
      <c r="G703" t="s">
        <v>372</v>
      </c>
      <c r="I703" t="s">
        <v>135</v>
      </c>
      <c r="J703" t="s">
        <v>118</v>
      </c>
      <c r="K703" t="s">
        <v>144</v>
      </c>
      <c r="L703" t="s">
        <v>226</v>
      </c>
    </row>
    <row r="704" spans="1:12" x14ac:dyDescent="0.25">
      <c r="A704" t="s">
        <v>215</v>
      </c>
      <c r="B704">
        <v>267</v>
      </c>
      <c r="C704" t="s">
        <v>27</v>
      </c>
      <c r="D704">
        <v>1</v>
      </c>
      <c r="E704" t="s">
        <v>109</v>
      </c>
      <c r="F704">
        <v>1</v>
      </c>
      <c r="G704" t="s">
        <v>372</v>
      </c>
      <c r="H704">
        <v>0</v>
      </c>
      <c r="I704" t="s">
        <v>135</v>
      </c>
      <c r="J704" t="s">
        <v>120</v>
      </c>
      <c r="L704" t="s">
        <v>226</v>
      </c>
    </row>
    <row r="705" spans="1:12" x14ac:dyDescent="0.25">
      <c r="A705" t="s">
        <v>215</v>
      </c>
      <c r="B705">
        <v>268</v>
      </c>
      <c r="C705" t="s">
        <v>27</v>
      </c>
      <c r="D705">
        <v>2</v>
      </c>
      <c r="E705" t="s">
        <v>109</v>
      </c>
      <c r="F705">
        <v>1</v>
      </c>
      <c r="G705" t="s">
        <v>372</v>
      </c>
      <c r="H705">
        <v>0</v>
      </c>
      <c r="I705" t="s">
        <v>135</v>
      </c>
      <c r="J705" t="s">
        <v>120</v>
      </c>
      <c r="L705" t="s">
        <v>226</v>
      </c>
    </row>
    <row r="706" spans="1:12" x14ac:dyDescent="0.25">
      <c r="A706" t="s">
        <v>215</v>
      </c>
      <c r="B706">
        <v>269</v>
      </c>
      <c r="C706" t="s">
        <v>27</v>
      </c>
      <c r="D706">
        <v>3</v>
      </c>
      <c r="E706" t="s">
        <v>109</v>
      </c>
      <c r="G706" t="s">
        <v>372</v>
      </c>
      <c r="I706" t="s">
        <v>135</v>
      </c>
      <c r="J706" t="s">
        <v>120</v>
      </c>
      <c r="L706" t="s">
        <v>226</v>
      </c>
    </row>
    <row r="707" spans="1:12" x14ac:dyDescent="0.25">
      <c r="A707" t="s">
        <v>215</v>
      </c>
      <c r="B707">
        <v>273</v>
      </c>
      <c r="C707" t="s">
        <v>12</v>
      </c>
      <c r="D707">
        <v>1</v>
      </c>
      <c r="E707" t="s">
        <v>122</v>
      </c>
      <c r="F707">
        <v>1</v>
      </c>
      <c r="G707" t="s">
        <v>372</v>
      </c>
      <c r="H707">
        <v>0</v>
      </c>
      <c r="I707" t="s">
        <v>134</v>
      </c>
      <c r="J707" t="s">
        <v>124</v>
      </c>
      <c r="K707" t="s">
        <v>136</v>
      </c>
      <c r="L707" t="s">
        <v>226</v>
      </c>
    </row>
    <row r="708" spans="1:12" x14ac:dyDescent="0.25">
      <c r="A708" t="s">
        <v>215</v>
      </c>
      <c r="B708">
        <v>274</v>
      </c>
      <c r="C708" t="s">
        <v>12</v>
      </c>
      <c r="D708">
        <v>2</v>
      </c>
      <c r="E708" t="s">
        <v>122</v>
      </c>
      <c r="F708">
        <v>1</v>
      </c>
      <c r="G708" t="s">
        <v>372</v>
      </c>
      <c r="H708">
        <v>0</v>
      </c>
      <c r="I708" t="s">
        <v>134</v>
      </c>
      <c r="J708" t="s">
        <v>124</v>
      </c>
      <c r="K708" t="s">
        <v>136</v>
      </c>
      <c r="L708" t="s">
        <v>226</v>
      </c>
    </row>
    <row r="709" spans="1:12" x14ac:dyDescent="0.25">
      <c r="A709" t="s">
        <v>215</v>
      </c>
      <c r="B709">
        <v>275</v>
      </c>
      <c r="C709" t="s">
        <v>12</v>
      </c>
      <c r="D709">
        <v>3</v>
      </c>
      <c r="E709" t="s">
        <v>122</v>
      </c>
      <c r="G709" t="s">
        <v>372</v>
      </c>
      <c r="I709" t="s">
        <v>134</v>
      </c>
      <c r="J709" t="s">
        <v>124</v>
      </c>
      <c r="K709" t="s">
        <v>136</v>
      </c>
      <c r="L709" t="s">
        <v>226</v>
      </c>
    </row>
    <row r="710" spans="1:12" x14ac:dyDescent="0.25">
      <c r="A710" t="s">
        <v>215</v>
      </c>
      <c r="B710">
        <v>276</v>
      </c>
      <c r="C710" t="s">
        <v>18</v>
      </c>
      <c r="D710">
        <v>1</v>
      </c>
      <c r="E710" t="s">
        <v>122</v>
      </c>
      <c r="F710">
        <v>1</v>
      </c>
      <c r="G710" t="s">
        <v>372</v>
      </c>
      <c r="H710">
        <v>0</v>
      </c>
      <c r="I710" t="s">
        <v>134</v>
      </c>
      <c r="J710" t="s">
        <v>127</v>
      </c>
      <c r="K710" t="s">
        <v>139</v>
      </c>
      <c r="L710" t="s">
        <v>226</v>
      </c>
    </row>
    <row r="711" spans="1:12" x14ac:dyDescent="0.25">
      <c r="A711" t="s">
        <v>215</v>
      </c>
      <c r="B711">
        <v>277</v>
      </c>
      <c r="C711" t="s">
        <v>18</v>
      </c>
      <c r="D711">
        <v>2</v>
      </c>
      <c r="E711" t="s">
        <v>122</v>
      </c>
      <c r="F711">
        <v>1</v>
      </c>
      <c r="G711" t="s">
        <v>372</v>
      </c>
      <c r="H711">
        <v>0</v>
      </c>
      <c r="I711" t="s">
        <v>134</v>
      </c>
      <c r="J711" t="s">
        <v>127</v>
      </c>
      <c r="K711" t="s">
        <v>139</v>
      </c>
      <c r="L711" t="s">
        <v>226</v>
      </c>
    </row>
    <row r="712" spans="1:12" x14ac:dyDescent="0.25">
      <c r="A712" t="s">
        <v>215</v>
      </c>
      <c r="B712">
        <v>278</v>
      </c>
      <c r="C712" t="s">
        <v>18</v>
      </c>
      <c r="D712">
        <v>3</v>
      </c>
      <c r="E712" t="s">
        <v>122</v>
      </c>
      <c r="G712" t="s">
        <v>372</v>
      </c>
      <c r="I712" t="s">
        <v>134</v>
      </c>
      <c r="J712" t="s">
        <v>127</v>
      </c>
      <c r="K712" t="s">
        <v>139</v>
      </c>
      <c r="L712" t="s">
        <v>226</v>
      </c>
    </row>
    <row r="713" spans="1:12" x14ac:dyDescent="0.25">
      <c r="A713" t="s">
        <v>215</v>
      </c>
      <c r="B713">
        <v>279</v>
      </c>
      <c r="C713" t="s">
        <v>21</v>
      </c>
      <c r="D713">
        <v>1</v>
      </c>
      <c r="E713" t="s">
        <v>122</v>
      </c>
      <c r="F713">
        <v>1</v>
      </c>
      <c r="G713" t="s">
        <v>372</v>
      </c>
      <c r="H713">
        <v>0</v>
      </c>
      <c r="I713" t="s">
        <v>134</v>
      </c>
      <c r="J713" t="s">
        <v>129</v>
      </c>
      <c r="K713" t="s">
        <v>141</v>
      </c>
      <c r="L713" t="s">
        <v>226</v>
      </c>
    </row>
    <row r="714" spans="1:12" x14ac:dyDescent="0.25">
      <c r="A714" t="s">
        <v>215</v>
      </c>
      <c r="B714">
        <v>280</v>
      </c>
      <c r="C714" t="s">
        <v>21</v>
      </c>
      <c r="D714">
        <v>2</v>
      </c>
      <c r="E714" t="s">
        <v>122</v>
      </c>
      <c r="F714">
        <v>1</v>
      </c>
      <c r="G714" t="s">
        <v>372</v>
      </c>
      <c r="H714">
        <v>0</v>
      </c>
      <c r="I714" t="s">
        <v>134</v>
      </c>
      <c r="J714" t="s">
        <v>129</v>
      </c>
      <c r="K714" t="s">
        <v>141</v>
      </c>
      <c r="L714" t="s">
        <v>226</v>
      </c>
    </row>
    <row r="715" spans="1:12" x14ac:dyDescent="0.25">
      <c r="A715" t="s">
        <v>215</v>
      </c>
      <c r="B715">
        <v>281</v>
      </c>
      <c r="C715" t="s">
        <v>21</v>
      </c>
      <c r="D715">
        <v>3</v>
      </c>
      <c r="E715" t="s">
        <v>122</v>
      </c>
      <c r="G715" t="s">
        <v>372</v>
      </c>
      <c r="I715" t="s">
        <v>134</v>
      </c>
      <c r="J715" t="s">
        <v>129</v>
      </c>
      <c r="K715" t="s">
        <v>141</v>
      </c>
      <c r="L715" t="s">
        <v>226</v>
      </c>
    </row>
    <row r="716" spans="1:12" x14ac:dyDescent="0.25">
      <c r="A716" t="s">
        <v>215</v>
      </c>
      <c r="B716">
        <v>282</v>
      </c>
      <c r="C716" t="s">
        <v>24</v>
      </c>
      <c r="D716">
        <v>1</v>
      </c>
      <c r="E716" t="s">
        <v>122</v>
      </c>
      <c r="G716" t="s">
        <v>372</v>
      </c>
      <c r="I716" t="s">
        <v>134</v>
      </c>
      <c r="J716" t="s">
        <v>131</v>
      </c>
      <c r="K716" t="s">
        <v>143</v>
      </c>
      <c r="L716" t="s">
        <v>226</v>
      </c>
    </row>
    <row r="717" spans="1:12" x14ac:dyDescent="0.25">
      <c r="A717" t="s">
        <v>215</v>
      </c>
      <c r="B717">
        <v>283</v>
      </c>
      <c r="C717" t="s">
        <v>24</v>
      </c>
      <c r="D717">
        <v>2</v>
      </c>
      <c r="E717" t="s">
        <v>122</v>
      </c>
      <c r="G717" t="s">
        <v>372</v>
      </c>
      <c r="I717" t="s">
        <v>134</v>
      </c>
      <c r="J717" t="s">
        <v>131</v>
      </c>
      <c r="K717" t="s">
        <v>143</v>
      </c>
      <c r="L717" t="s">
        <v>226</v>
      </c>
    </row>
    <row r="718" spans="1:12" x14ac:dyDescent="0.25">
      <c r="A718" t="s">
        <v>215</v>
      </c>
      <c r="B718">
        <v>284</v>
      </c>
      <c r="C718" t="s">
        <v>24</v>
      </c>
      <c r="D718">
        <v>3</v>
      </c>
      <c r="E718" t="s">
        <v>122</v>
      </c>
      <c r="G718" t="s">
        <v>372</v>
      </c>
      <c r="I718" t="s">
        <v>134</v>
      </c>
      <c r="J718" t="s">
        <v>131</v>
      </c>
      <c r="K718" t="s">
        <v>143</v>
      </c>
      <c r="L718" t="s">
        <v>226</v>
      </c>
    </row>
    <row r="719" spans="1:12" x14ac:dyDescent="0.25">
      <c r="A719" t="s">
        <v>215</v>
      </c>
      <c r="B719">
        <v>285</v>
      </c>
      <c r="C719" t="s">
        <v>27</v>
      </c>
      <c r="D719">
        <v>1</v>
      </c>
      <c r="E719" t="s">
        <v>122</v>
      </c>
      <c r="G719" t="s">
        <v>372</v>
      </c>
      <c r="I719" t="s">
        <v>134</v>
      </c>
      <c r="J719" t="s">
        <v>133</v>
      </c>
      <c r="K719" t="s">
        <v>145</v>
      </c>
      <c r="L719" t="s">
        <v>226</v>
      </c>
    </row>
    <row r="720" spans="1:12" x14ac:dyDescent="0.25">
      <c r="A720" t="s">
        <v>215</v>
      </c>
      <c r="B720">
        <v>286</v>
      </c>
      <c r="C720" t="s">
        <v>27</v>
      </c>
      <c r="D720">
        <v>2</v>
      </c>
      <c r="E720" t="s">
        <v>122</v>
      </c>
      <c r="G720" t="s">
        <v>372</v>
      </c>
      <c r="I720" t="s">
        <v>134</v>
      </c>
      <c r="J720" t="s">
        <v>133</v>
      </c>
      <c r="K720" t="s">
        <v>145</v>
      </c>
      <c r="L720" t="s">
        <v>226</v>
      </c>
    </row>
    <row r="721" spans="1:12" x14ac:dyDescent="0.25">
      <c r="A721" t="s">
        <v>215</v>
      </c>
      <c r="B721">
        <v>287</v>
      </c>
      <c r="C721" t="s">
        <v>27</v>
      </c>
      <c r="D721">
        <v>3</v>
      </c>
      <c r="E721" t="s">
        <v>122</v>
      </c>
      <c r="G721" t="s">
        <v>372</v>
      </c>
      <c r="I721" t="s">
        <v>134</v>
      </c>
      <c r="J721" t="s">
        <v>133</v>
      </c>
      <c r="K721" t="s">
        <v>145</v>
      </c>
      <c r="L721" t="s">
        <v>226</v>
      </c>
    </row>
    <row r="722" spans="1:12" x14ac:dyDescent="0.25">
      <c r="A722" t="s">
        <v>217</v>
      </c>
      <c r="B722">
        <v>3</v>
      </c>
      <c r="C722" t="s">
        <v>12</v>
      </c>
      <c r="D722">
        <v>1</v>
      </c>
      <c r="E722" t="s">
        <v>194</v>
      </c>
      <c r="F722">
        <v>22</v>
      </c>
      <c r="G722" t="s">
        <v>372</v>
      </c>
      <c r="H722">
        <v>20</v>
      </c>
      <c r="I722" t="s">
        <v>147</v>
      </c>
      <c r="J722" t="s">
        <v>196</v>
      </c>
      <c r="K722" t="s">
        <v>149</v>
      </c>
      <c r="L722" t="s">
        <v>218</v>
      </c>
    </row>
    <row r="723" spans="1:12" x14ac:dyDescent="0.25">
      <c r="A723" t="s">
        <v>217</v>
      </c>
      <c r="B723">
        <v>4</v>
      </c>
      <c r="C723" t="s">
        <v>12</v>
      </c>
      <c r="D723">
        <v>2</v>
      </c>
      <c r="E723" t="s">
        <v>194</v>
      </c>
      <c r="F723">
        <v>29</v>
      </c>
      <c r="G723" t="s">
        <v>372</v>
      </c>
      <c r="H723">
        <v>27</v>
      </c>
      <c r="I723" t="s">
        <v>147</v>
      </c>
      <c r="J723" t="s">
        <v>196</v>
      </c>
      <c r="K723" t="s">
        <v>149</v>
      </c>
      <c r="L723" t="s">
        <v>218</v>
      </c>
    </row>
    <row r="724" spans="1:12" x14ac:dyDescent="0.25">
      <c r="A724" t="s">
        <v>217</v>
      </c>
      <c r="B724">
        <v>5</v>
      </c>
      <c r="C724" t="s">
        <v>12</v>
      </c>
      <c r="D724">
        <v>3</v>
      </c>
      <c r="E724" t="s">
        <v>194</v>
      </c>
      <c r="G724" t="s">
        <v>372</v>
      </c>
      <c r="I724" t="s">
        <v>147</v>
      </c>
      <c r="J724" t="s">
        <v>196</v>
      </c>
      <c r="K724" t="s">
        <v>149</v>
      </c>
      <c r="L724" t="s">
        <v>218</v>
      </c>
    </row>
    <row r="725" spans="1:12" x14ac:dyDescent="0.25">
      <c r="A725" t="s">
        <v>217</v>
      </c>
      <c r="B725">
        <v>6</v>
      </c>
      <c r="C725" t="s">
        <v>18</v>
      </c>
      <c r="D725">
        <v>1</v>
      </c>
      <c r="E725" t="s">
        <v>194</v>
      </c>
      <c r="F725">
        <v>21</v>
      </c>
      <c r="G725" t="s">
        <v>372</v>
      </c>
      <c r="H725">
        <v>16</v>
      </c>
      <c r="I725" t="s">
        <v>147</v>
      </c>
      <c r="J725" t="s">
        <v>199</v>
      </c>
      <c r="K725" t="s">
        <v>152</v>
      </c>
      <c r="L725" t="s">
        <v>218</v>
      </c>
    </row>
    <row r="726" spans="1:12" x14ac:dyDescent="0.25">
      <c r="A726" t="s">
        <v>217</v>
      </c>
      <c r="B726">
        <v>7</v>
      </c>
      <c r="C726" t="s">
        <v>18</v>
      </c>
      <c r="D726">
        <v>2</v>
      </c>
      <c r="E726" t="s">
        <v>194</v>
      </c>
      <c r="F726">
        <v>21</v>
      </c>
      <c r="G726" t="s">
        <v>372</v>
      </c>
      <c r="H726">
        <v>15</v>
      </c>
      <c r="I726" t="s">
        <v>147</v>
      </c>
      <c r="J726" t="s">
        <v>199</v>
      </c>
      <c r="K726" t="s">
        <v>152</v>
      </c>
      <c r="L726" t="s">
        <v>218</v>
      </c>
    </row>
    <row r="727" spans="1:12" x14ac:dyDescent="0.25">
      <c r="A727" t="s">
        <v>217</v>
      </c>
      <c r="B727">
        <v>8</v>
      </c>
      <c r="C727" t="s">
        <v>18</v>
      </c>
      <c r="D727">
        <v>3</v>
      </c>
      <c r="E727" t="s">
        <v>194</v>
      </c>
      <c r="G727" t="s">
        <v>372</v>
      </c>
      <c r="I727" t="s">
        <v>147</v>
      </c>
      <c r="J727" t="s">
        <v>199</v>
      </c>
      <c r="K727" t="s">
        <v>152</v>
      </c>
      <c r="L727" t="s">
        <v>218</v>
      </c>
    </row>
    <row r="728" spans="1:12" x14ac:dyDescent="0.25">
      <c r="A728" t="s">
        <v>217</v>
      </c>
      <c r="B728">
        <v>9</v>
      </c>
      <c r="C728" t="s">
        <v>21</v>
      </c>
      <c r="D728">
        <v>1</v>
      </c>
      <c r="E728" t="s">
        <v>194</v>
      </c>
      <c r="F728">
        <v>21</v>
      </c>
      <c r="G728" t="s">
        <v>372</v>
      </c>
      <c r="H728">
        <v>11</v>
      </c>
      <c r="I728" t="s">
        <v>147</v>
      </c>
      <c r="J728" t="s">
        <v>201</v>
      </c>
      <c r="K728" t="s">
        <v>154</v>
      </c>
      <c r="L728" t="s">
        <v>218</v>
      </c>
    </row>
    <row r="729" spans="1:12" x14ac:dyDescent="0.25">
      <c r="A729" t="s">
        <v>217</v>
      </c>
      <c r="B729">
        <v>10</v>
      </c>
      <c r="C729" t="s">
        <v>21</v>
      </c>
      <c r="D729">
        <v>2</v>
      </c>
      <c r="E729" t="s">
        <v>194</v>
      </c>
      <c r="F729">
        <v>21</v>
      </c>
      <c r="G729" t="s">
        <v>372</v>
      </c>
      <c r="H729">
        <v>13</v>
      </c>
      <c r="I729" t="s">
        <v>147</v>
      </c>
      <c r="J729" t="s">
        <v>201</v>
      </c>
      <c r="K729" t="s">
        <v>154</v>
      </c>
      <c r="L729" t="s">
        <v>218</v>
      </c>
    </row>
    <row r="730" spans="1:12" x14ac:dyDescent="0.25">
      <c r="A730" t="s">
        <v>217</v>
      </c>
      <c r="B730">
        <v>11</v>
      </c>
      <c r="C730" t="s">
        <v>21</v>
      </c>
      <c r="D730">
        <v>3</v>
      </c>
      <c r="E730" t="s">
        <v>194</v>
      </c>
      <c r="G730" t="s">
        <v>372</v>
      </c>
      <c r="I730" t="s">
        <v>147</v>
      </c>
      <c r="J730" t="s">
        <v>201</v>
      </c>
      <c r="K730" t="s">
        <v>154</v>
      </c>
      <c r="L730" t="s">
        <v>218</v>
      </c>
    </row>
    <row r="731" spans="1:12" x14ac:dyDescent="0.25">
      <c r="A731" t="s">
        <v>217</v>
      </c>
      <c r="B731">
        <v>12</v>
      </c>
      <c r="C731" t="s">
        <v>24</v>
      </c>
      <c r="D731">
        <v>1</v>
      </c>
      <c r="E731" t="s">
        <v>194</v>
      </c>
      <c r="F731">
        <v>21</v>
      </c>
      <c r="G731" t="s">
        <v>372</v>
      </c>
      <c r="H731">
        <v>14</v>
      </c>
      <c r="I731" t="s">
        <v>147</v>
      </c>
      <c r="J731" t="s">
        <v>203</v>
      </c>
      <c r="K731" t="s">
        <v>211</v>
      </c>
      <c r="L731" t="s">
        <v>218</v>
      </c>
    </row>
    <row r="732" spans="1:12" x14ac:dyDescent="0.25">
      <c r="A732" t="s">
        <v>217</v>
      </c>
      <c r="B732">
        <v>13</v>
      </c>
      <c r="C732" t="s">
        <v>24</v>
      </c>
      <c r="D732">
        <v>2</v>
      </c>
      <c r="E732" t="s">
        <v>194</v>
      </c>
      <c r="F732">
        <v>21</v>
      </c>
      <c r="G732" t="s">
        <v>372</v>
      </c>
      <c r="H732">
        <v>12</v>
      </c>
      <c r="I732" t="s">
        <v>147</v>
      </c>
      <c r="J732" t="s">
        <v>203</v>
      </c>
      <c r="K732" t="s">
        <v>211</v>
      </c>
      <c r="L732" t="s">
        <v>218</v>
      </c>
    </row>
    <row r="733" spans="1:12" x14ac:dyDescent="0.25">
      <c r="A733" t="s">
        <v>217</v>
      </c>
      <c r="B733">
        <v>14</v>
      </c>
      <c r="C733" t="s">
        <v>24</v>
      </c>
      <c r="D733">
        <v>3</v>
      </c>
      <c r="E733" t="s">
        <v>194</v>
      </c>
      <c r="G733" t="s">
        <v>372</v>
      </c>
      <c r="I733" t="s">
        <v>147</v>
      </c>
      <c r="J733" t="s">
        <v>203</v>
      </c>
      <c r="K733" t="s">
        <v>211</v>
      </c>
      <c r="L733" t="s">
        <v>218</v>
      </c>
    </row>
    <row r="734" spans="1:12" x14ac:dyDescent="0.25">
      <c r="A734" t="s">
        <v>217</v>
      </c>
      <c r="B734">
        <v>15</v>
      </c>
      <c r="C734" t="s">
        <v>27</v>
      </c>
      <c r="D734">
        <v>1</v>
      </c>
      <c r="E734" t="s">
        <v>194</v>
      </c>
      <c r="F734">
        <v>21</v>
      </c>
      <c r="G734" t="s">
        <v>372</v>
      </c>
      <c r="H734">
        <v>11</v>
      </c>
      <c r="I734" t="s">
        <v>147</v>
      </c>
      <c r="J734" t="s">
        <v>205</v>
      </c>
      <c r="K734" t="s">
        <v>212</v>
      </c>
      <c r="L734" t="s">
        <v>218</v>
      </c>
    </row>
    <row r="735" spans="1:12" x14ac:dyDescent="0.25">
      <c r="A735" t="s">
        <v>217</v>
      </c>
      <c r="B735">
        <v>16</v>
      </c>
      <c r="C735" t="s">
        <v>27</v>
      </c>
      <c r="D735">
        <v>2</v>
      </c>
      <c r="E735" t="s">
        <v>194</v>
      </c>
      <c r="F735">
        <v>21</v>
      </c>
      <c r="G735" t="s">
        <v>372</v>
      </c>
      <c r="H735">
        <v>15</v>
      </c>
      <c r="I735" t="s">
        <v>147</v>
      </c>
      <c r="J735" t="s">
        <v>205</v>
      </c>
      <c r="K735" t="s">
        <v>212</v>
      </c>
      <c r="L735" t="s">
        <v>218</v>
      </c>
    </row>
    <row r="736" spans="1:12" x14ac:dyDescent="0.25">
      <c r="A736" t="s">
        <v>217</v>
      </c>
      <c r="B736">
        <v>17</v>
      </c>
      <c r="C736" t="s">
        <v>27</v>
      </c>
      <c r="D736">
        <v>3</v>
      </c>
      <c r="E736" t="s">
        <v>194</v>
      </c>
      <c r="G736" t="s">
        <v>372</v>
      </c>
      <c r="I736" t="s">
        <v>147</v>
      </c>
      <c r="J736" t="s">
        <v>205</v>
      </c>
      <c r="K736" t="s">
        <v>212</v>
      </c>
      <c r="L736" t="s">
        <v>218</v>
      </c>
    </row>
    <row r="737" spans="1:12" x14ac:dyDescent="0.25">
      <c r="A737" t="s">
        <v>217</v>
      </c>
      <c r="B737">
        <v>21</v>
      </c>
      <c r="C737" t="s">
        <v>12</v>
      </c>
      <c r="D737">
        <v>1</v>
      </c>
      <c r="E737" t="s">
        <v>195</v>
      </c>
      <c r="F737">
        <v>16</v>
      </c>
      <c r="G737" t="s">
        <v>372</v>
      </c>
      <c r="H737">
        <v>21</v>
      </c>
      <c r="I737" t="s">
        <v>146</v>
      </c>
      <c r="J737" t="s">
        <v>197</v>
      </c>
      <c r="K737" t="s">
        <v>148</v>
      </c>
      <c r="L737" t="s">
        <v>218</v>
      </c>
    </row>
    <row r="738" spans="1:12" x14ac:dyDescent="0.25">
      <c r="A738" t="s">
        <v>217</v>
      </c>
      <c r="B738">
        <v>22</v>
      </c>
      <c r="C738" t="s">
        <v>12</v>
      </c>
      <c r="D738">
        <v>2</v>
      </c>
      <c r="E738" t="s">
        <v>195</v>
      </c>
      <c r="F738">
        <v>18</v>
      </c>
      <c r="G738" t="s">
        <v>372</v>
      </c>
      <c r="H738">
        <v>21</v>
      </c>
      <c r="I738" t="s">
        <v>146</v>
      </c>
      <c r="J738" t="s">
        <v>197</v>
      </c>
      <c r="K738" t="s">
        <v>148</v>
      </c>
      <c r="L738" t="s">
        <v>218</v>
      </c>
    </row>
    <row r="739" spans="1:12" x14ac:dyDescent="0.25">
      <c r="A739" t="s">
        <v>217</v>
      </c>
      <c r="B739">
        <v>23</v>
      </c>
      <c r="C739" t="s">
        <v>12</v>
      </c>
      <c r="D739">
        <v>3</v>
      </c>
      <c r="E739" t="s">
        <v>195</v>
      </c>
      <c r="G739" t="s">
        <v>372</v>
      </c>
      <c r="I739" t="s">
        <v>146</v>
      </c>
      <c r="J739" t="s">
        <v>197</v>
      </c>
      <c r="K739" t="s">
        <v>148</v>
      </c>
      <c r="L739" t="s">
        <v>218</v>
      </c>
    </row>
    <row r="740" spans="1:12" x14ac:dyDescent="0.25">
      <c r="A740" t="s">
        <v>217</v>
      </c>
      <c r="B740">
        <v>24</v>
      </c>
      <c r="C740" t="s">
        <v>18</v>
      </c>
      <c r="D740">
        <v>1</v>
      </c>
      <c r="E740" t="s">
        <v>195</v>
      </c>
      <c r="F740">
        <v>22</v>
      </c>
      <c r="G740" t="s">
        <v>372</v>
      </c>
      <c r="H740">
        <v>20</v>
      </c>
      <c r="I740" t="s">
        <v>146</v>
      </c>
      <c r="J740" t="s">
        <v>200</v>
      </c>
      <c r="K740" t="s">
        <v>151</v>
      </c>
      <c r="L740" t="s">
        <v>218</v>
      </c>
    </row>
    <row r="741" spans="1:12" x14ac:dyDescent="0.25">
      <c r="A741" t="s">
        <v>217</v>
      </c>
      <c r="B741">
        <v>25</v>
      </c>
      <c r="C741" t="s">
        <v>18</v>
      </c>
      <c r="D741">
        <v>2</v>
      </c>
      <c r="E741" t="s">
        <v>195</v>
      </c>
      <c r="F741">
        <v>21</v>
      </c>
      <c r="G741" t="s">
        <v>372</v>
      </c>
      <c r="H741">
        <v>19</v>
      </c>
      <c r="I741" t="s">
        <v>146</v>
      </c>
      <c r="J741" t="s">
        <v>200</v>
      </c>
      <c r="K741" t="s">
        <v>151</v>
      </c>
      <c r="L741" t="s">
        <v>218</v>
      </c>
    </row>
    <row r="742" spans="1:12" x14ac:dyDescent="0.25">
      <c r="A742" t="s">
        <v>217</v>
      </c>
      <c r="B742">
        <v>26</v>
      </c>
      <c r="C742" t="s">
        <v>18</v>
      </c>
      <c r="D742">
        <v>3</v>
      </c>
      <c r="E742" t="s">
        <v>195</v>
      </c>
      <c r="G742" t="s">
        <v>372</v>
      </c>
      <c r="I742" t="s">
        <v>146</v>
      </c>
      <c r="J742" t="s">
        <v>200</v>
      </c>
      <c r="K742" t="s">
        <v>151</v>
      </c>
      <c r="L742" t="s">
        <v>218</v>
      </c>
    </row>
    <row r="743" spans="1:12" x14ac:dyDescent="0.25">
      <c r="A743" t="s">
        <v>217</v>
      </c>
      <c r="B743">
        <v>27</v>
      </c>
      <c r="C743" t="s">
        <v>21</v>
      </c>
      <c r="D743">
        <v>1</v>
      </c>
      <c r="E743" t="s">
        <v>195</v>
      </c>
      <c r="F743">
        <v>21</v>
      </c>
      <c r="G743" t="s">
        <v>372</v>
      </c>
      <c r="H743">
        <v>9</v>
      </c>
      <c r="I743" t="s">
        <v>146</v>
      </c>
      <c r="J743" t="s">
        <v>202</v>
      </c>
      <c r="K743" t="s">
        <v>153</v>
      </c>
      <c r="L743" t="s">
        <v>218</v>
      </c>
    </row>
    <row r="744" spans="1:12" x14ac:dyDescent="0.25">
      <c r="A744" t="s">
        <v>217</v>
      </c>
      <c r="B744">
        <v>28</v>
      </c>
      <c r="C744" t="s">
        <v>21</v>
      </c>
      <c r="D744">
        <v>2</v>
      </c>
      <c r="E744" t="s">
        <v>195</v>
      </c>
      <c r="F744">
        <v>21</v>
      </c>
      <c r="G744" t="s">
        <v>372</v>
      </c>
      <c r="H744">
        <v>14</v>
      </c>
      <c r="I744" t="s">
        <v>146</v>
      </c>
      <c r="J744" t="s">
        <v>202</v>
      </c>
      <c r="K744" t="s">
        <v>153</v>
      </c>
      <c r="L744" t="s">
        <v>218</v>
      </c>
    </row>
    <row r="745" spans="1:12" x14ac:dyDescent="0.25">
      <c r="A745" t="s">
        <v>217</v>
      </c>
      <c r="B745">
        <v>29</v>
      </c>
      <c r="C745" t="s">
        <v>21</v>
      </c>
      <c r="D745">
        <v>3</v>
      </c>
      <c r="E745" t="s">
        <v>195</v>
      </c>
      <c r="G745" t="s">
        <v>372</v>
      </c>
      <c r="I745" t="s">
        <v>146</v>
      </c>
      <c r="J745" t="s">
        <v>202</v>
      </c>
      <c r="K745" t="s">
        <v>153</v>
      </c>
      <c r="L745" t="s">
        <v>218</v>
      </c>
    </row>
    <row r="746" spans="1:12" x14ac:dyDescent="0.25">
      <c r="A746" t="s">
        <v>217</v>
      </c>
      <c r="B746">
        <v>30</v>
      </c>
      <c r="C746" t="s">
        <v>24</v>
      </c>
      <c r="D746">
        <v>1</v>
      </c>
      <c r="E746" t="s">
        <v>195</v>
      </c>
      <c r="F746">
        <v>21</v>
      </c>
      <c r="G746" t="s">
        <v>372</v>
      </c>
      <c r="H746">
        <v>19</v>
      </c>
      <c r="I746" t="s">
        <v>146</v>
      </c>
      <c r="J746" t="s">
        <v>204</v>
      </c>
      <c r="K746" t="s">
        <v>209</v>
      </c>
      <c r="L746" t="s">
        <v>218</v>
      </c>
    </row>
    <row r="747" spans="1:12" x14ac:dyDescent="0.25">
      <c r="A747" t="s">
        <v>217</v>
      </c>
      <c r="B747">
        <v>31</v>
      </c>
      <c r="C747" t="s">
        <v>24</v>
      </c>
      <c r="D747">
        <v>2</v>
      </c>
      <c r="E747" t="s">
        <v>195</v>
      </c>
      <c r="F747">
        <v>18</v>
      </c>
      <c r="G747" t="s">
        <v>372</v>
      </c>
      <c r="H747">
        <v>21</v>
      </c>
      <c r="I747" t="s">
        <v>146</v>
      </c>
      <c r="J747" t="s">
        <v>204</v>
      </c>
      <c r="K747" t="s">
        <v>209</v>
      </c>
      <c r="L747" t="s">
        <v>218</v>
      </c>
    </row>
    <row r="748" spans="1:12" x14ac:dyDescent="0.25">
      <c r="A748" t="s">
        <v>217</v>
      </c>
      <c r="B748">
        <v>32</v>
      </c>
      <c r="C748" t="s">
        <v>24</v>
      </c>
      <c r="D748">
        <v>3</v>
      </c>
      <c r="E748" t="s">
        <v>195</v>
      </c>
      <c r="G748" t="s">
        <v>372</v>
      </c>
      <c r="I748" t="s">
        <v>146</v>
      </c>
      <c r="J748" t="s">
        <v>204</v>
      </c>
      <c r="K748" t="s">
        <v>209</v>
      </c>
      <c r="L748" t="s">
        <v>218</v>
      </c>
    </row>
    <row r="749" spans="1:12" x14ac:dyDescent="0.25">
      <c r="A749" t="s">
        <v>217</v>
      </c>
      <c r="B749">
        <v>33</v>
      </c>
      <c r="C749" t="s">
        <v>27</v>
      </c>
      <c r="D749">
        <v>1</v>
      </c>
      <c r="E749" t="s">
        <v>195</v>
      </c>
      <c r="F749">
        <v>21</v>
      </c>
      <c r="G749" t="s">
        <v>372</v>
      </c>
      <c r="H749">
        <v>17</v>
      </c>
      <c r="I749" t="s">
        <v>146</v>
      </c>
      <c r="J749" t="s">
        <v>206</v>
      </c>
      <c r="K749" t="s">
        <v>210</v>
      </c>
      <c r="L749" t="s">
        <v>218</v>
      </c>
    </row>
    <row r="750" spans="1:12" x14ac:dyDescent="0.25">
      <c r="A750" t="s">
        <v>217</v>
      </c>
      <c r="B750">
        <v>34</v>
      </c>
      <c r="C750" t="s">
        <v>27</v>
      </c>
      <c r="D750">
        <v>2</v>
      </c>
      <c r="E750" t="s">
        <v>195</v>
      </c>
      <c r="F750">
        <v>21</v>
      </c>
      <c r="G750" t="s">
        <v>372</v>
      </c>
      <c r="H750">
        <v>14</v>
      </c>
      <c r="I750" t="s">
        <v>146</v>
      </c>
      <c r="J750" t="s">
        <v>206</v>
      </c>
      <c r="K750" t="s">
        <v>210</v>
      </c>
      <c r="L750" t="s">
        <v>218</v>
      </c>
    </row>
    <row r="751" spans="1:12" x14ac:dyDescent="0.25">
      <c r="A751" t="s">
        <v>217</v>
      </c>
      <c r="B751">
        <v>35</v>
      </c>
      <c r="C751" t="s">
        <v>27</v>
      </c>
      <c r="D751">
        <v>3</v>
      </c>
      <c r="E751" t="s">
        <v>195</v>
      </c>
      <c r="G751" t="s">
        <v>372</v>
      </c>
      <c r="I751" t="s">
        <v>146</v>
      </c>
      <c r="J751" t="s">
        <v>206</v>
      </c>
      <c r="K751" t="s">
        <v>210</v>
      </c>
      <c r="L751" t="s">
        <v>218</v>
      </c>
    </row>
    <row r="752" spans="1:12" x14ac:dyDescent="0.25">
      <c r="A752" t="s">
        <v>217</v>
      </c>
      <c r="B752">
        <v>39</v>
      </c>
      <c r="C752" t="s">
        <v>12</v>
      </c>
      <c r="D752">
        <v>1</v>
      </c>
      <c r="E752" t="s">
        <v>155</v>
      </c>
      <c r="F752">
        <v>22</v>
      </c>
      <c r="G752" t="s">
        <v>372</v>
      </c>
      <c r="H752">
        <v>20</v>
      </c>
      <c r="I752" t="s">
        <v>169</v>
      </c>
      <c r="J752" t="s">
        <v>157</v>
      </c>
      <c r="K752" t="s">
        <v>171</v>
      </c>
      <c r="L752" t="s">
        <v>227</v>
      </c>
    </row>
    <row r="753" spans="1:12" x14ac:dyDescent="0.25">
      <c r="A753" t="s">
        <v>217</v>
      </c>
      <c r="B753">
        <v>40</v>
      </c>
      <c r="C753" t="s">
        <v>12</v>
      </c>
      <c r="D753">
        <v>2</v>
      </c>
      <c r="E753" t="s">
        <v>155</v>
      </c>
      <c r="F753">
        <v>1</v>
      </c>
      <c r="G753" t="s">
        <v>372</v>
      </c>
      <c r="H753">
        <v>0</v>
      </c>
      <c r="I753" t="s">
        <v>169</v>
      </c>
      <c r="J753" t="s">
        <v>157</v>
      </c>
      <c r="K753" t="s">
        <v>171</v>
      </c>
      <c r="L753" t="s">
        <v>227</v>
      </c>
    </row>
    <row r="754" spans="1:12" x14ac:dyDescent="0.25">
      <c r="A754" t="s">
        <v>217</v>
      </c>
      <c r="B754">
        <v>41</v>
      </c>
      <c r="C754" t="s">
        <v>12</v>
      </c>
      <c r="D754">
        <v>3</v>
      </c>
      <c r="E754" t="s">
        <v>155</v>
      </c>
      <c r="G754" t="s">
        <v>372</v>
      </c>
      <c r="I754" t="s">
        <v>169</v>
      </c>
      <c r="J754" t="s">
        <v>157</v>
      </c>
      <c r="K754" t="s">
        <v>171</v>
      </c>
      <c r="L754" t="s">
        <v>227</v>
      </c>
    </row>
    <row r="755" spans="1:12" x14ac:dyDescent="0.25">
      <c r="A755" t="s">
        <v>217</v>
      </c>
      <c r="B755">
        <v>42</v>
      </c>
      <c r="C755" t="s">
        <v>18</v>
      </c>
      <c r="D755">
        <v>1</v>
      </c>
      <c r="E755" t="s">
        <v>155</v>
      </c>
      <c r="F755">
        <v>21</v>
      </c>
      <c r="G755" t="s">
        <v>372</v>
      </c>
      <c r="H755">
        <v>19</v>
      </c>
      <c r="I755" t="s">
        <v>169</v>
      </c>
      <c r="J755" t="s">
        <v>160</v>
      </c>
      <c r="K755" t="s">
        <v>174</v>
      </c>
      <c r="L755" t="s">
        <v>227</v>
      </c>
    </row>
    <row r="756" spans="1:12" x14ac:dyDescent="0.25">
      <c r="A756" t="s">
        <v>217</v>
      </c>
      <c r="B756">
        <v>43</v>
      </c>
      <c r="C756" t="s">
        <v>18</v>
      </c>
      <c r="D756">
        <v>2</v>
      </c>
      <c r="E756" t="s">
        <v>155</v>
      </c>
      <c r="F756">
        <v>1</v>
      </c>
      <c r="G756" t="s">
        <v>372</v>
      </c>
      <c r="H756">
        <v>0</v>
      </c>
      <c r="I756" t="s">
        <v>169</v>
      </c>
      <c r="J756" t="s">
        <v>160</v>
      </c>
      <c r="K756" t="s">
        <v>174</v>
      </c>
      <c r="L756" t="s">
        <v>227</v>
      </c>
    </row>
    <row r="757" spans="1:12" x14ac:dyDescent="0.25">
      <c r="A757" t="s">
        <v>217</v>
      </c>
      <c r="B757">
        <v>44</v>
      </c>
      <c r="C757" t="s">
        <v>18</v>
      </c>
      <c r="D757">
        <v>3</v>
      </c>
      <c r="E757" t="s">
        <v>155</v>
      </c>
      <c r="G757" t="s">
        <v>372</v>
      </c>
      <c r="I757" t="s">
        <v>169</v>
      </c>
      <c r="J757" t="s">
        <v>160</v>
      </c>
      <c r="K757" t="s">
        <v>174</v>
      </c>
      <c r="L757" t="s">
        <v>227</v>
      </c>
    </row>
    <row r="758" spans="1:12" x14ac:dyDescent="0.25">
      <c r="A758" t="s">
        <v>217</v>
      </c>
      <c r="B758">
        <v>45</v>
      </c>
      <c r="C758" t="s">
        <v>21</v>
      </c>
      <c r="D758">
        <v>1</v>
      </c>
      <c r="E758" t="s">
        <v>155</v>
      </c>
      <c r="F758">
        <v>21</v>
      </c>
      <c r="G758" t="s">
        <v>372</v>
      </c>
      <c r="H758">
        <v>17</v>
      </c>
      <c r="I758" t="s">
        <v>169</v>
      </c>
      <c r="J758" t="s">
        <v>162</v>
      </c>
      <c r="K758" t="s">
        <v>176</v>
      </c>
      <c r="L758" t="s">
        <v>227</v>
      </c>
    </row>
    <row r="759" spans="1:12" x14ac:dyDescent="0.25">
      <c r="A759" t="s">
        <v>217</v>
      </c>
      <c r="B759">
        <v>46</v>
      </c>
      <c r="C759" t="s">
        <v>21</v>
      </c>
      <c r="D759">
        <v>2</v>
      </c>
      <c r="E759" t="s">
        <v>155</v>
      </c>
      <c r="F759">
        <v>1</v>
      </c>
      <c r="G759" t="s">
        <v>372</v>
      </c>
      <c r="H759">
        <v>0</v>
      </c>
      <c r="I759" t="s">
        <v>169</v>
      </c>
      <c r="J759" t="s">
        <v>162</v>
      </c>
      <c r="K759" t="s">
        <v>176</v>
      </c>
      <c r="L759" t="s">
        <v>227</v>
      </c>
    </row>
    <row r="760" spans="1:12" x14ac:dyDescent="0.25">
      <c r="A760" t="s">
        <v>217</v>
      </c>
      <c r="B760">
        <v>47</v>
      </c>
      <c r="C760" t="s">
        <v>21</v>
      </c>
      <c r="D760">
        <v>3</v>
      </c>
      <c r="E760" t="s">
        <v>155</v>
      </c>
      <c r="G760" t="s">
        <v>372</v>
      </c>
      <c r="I760" t="s">
        <v>169</v>
      </c>
      <c r="J760" t="s">
        <v>162</v>
      </c>
      <c r="K760" t="s">
        <v>176</v>
      </c>
      <c r="L760" t="s">
        <v>227</v>
      </c>
    </row>
    <row r="761" spans="1:12" x14ac:dyDescent="0.25">
      <c r="A761" t="s">
        <v>217</v>
      </c>
      <c r="B761">
        <v>48</v>
      </c>
      <c r="C761" t="s">
        <v>24</v>
      </c>
      <c r="D761">
        <v>1</v>
      </c>
      <c r="E761" t="s">
        <v>155</v>
      </c>
      <c r="F761">
        <v>21</v>
      </c>
      <c r="G761" t="s">
        <v>372</v>
      </c>
      <c r="H761">
        <v>17</v>
      </c>
      <c r="I761" t="s">
        <v>169</v>
      </c>
      <c r="J761" t="s">
        <v>164</v>
      </c>
      <c r="K761" t="s">
        <v>178</v>
      </c>
      <c r="L761" t="s">
        <v>227</v>
      </c>
    </row>
    <row r="762" spans="1:12" x14ac:dyDescent="0.25">
      <c r="A762" t="s">
        <v>217</v>
      </c>
      <c r="B762">
        <v>49</v>
      </c>
      <c r="C762" t="s">
        <v>24</v>
      </c>
      <c r="D762">
        <v>2</v>
      </c>
      <c r="E762" t="s">
        <v>155</v>
      </c>
      <c r="F762">
        <v>1</v>
      </c>
      <c r="G762" t="s">
        <v>372</v>
      </c>
      <c r="H762">
        <v>0</v>
      </c>
      <c r="I762" t="s">
        <v>169</v>
      </c>
      <c r="J762" t="s">
        <v>164</v>
      </c>
      <c r="K762" t="s">
        <v>178</v>
      </c>
      <c r="L762" t="s">
        <v>227</v>
      </c>
    </row>
    <row r="763" spans="1:12" x14ac:dyDescent="0.25">
      <c r="A763" t="s">
        <v>217</v>
      </c>
      <c r="B763">
        <v>50</v>
      </c>
      <c r="C763" t="s">
        <v>24</v>
      </c>
      <c r="D763">
        <v>3</v>
      </c>
      <c r="E763" t="s">
        <v>155</v>
      </c>
      <c r="G763" t="s">
        <v>372</v>
      </c>
      <c r="I763" t="s">
        <v>169</v>
      </c>
      <c r="J763" t="s">
        <v>164</v>
      </c>
      <c r="K763" t="s">
        <v>178</v>
      </c>
      <c r="L763" t="s">
        <v>227</v>
      </c>
    </row>
    <row r="764" spans="1:12" x14ac:dyDescent="0.25">
      <c r="A764" t="s">
        <v>217</v>
      </c>
      <c r="B764">
        <v>51</v>
      </c>
      <c r="C764" t="s">
        <v>27</v>
      </c>
      <c r="D764">
        <v>1</v>
      </c>
      <c r="E764" t="s">
        <v>155</v>
      </c>
      <c r="F764">
        <v>21</v>
      </c>
      <c r="G764" t="s">
        <v>372</v>
      </c>
      <c r="H764">
        <v>17</v>
      </c>
      <c r="I764" t="s">
        <v>169</v>
      </c>
      <c r="J764" t="s">
        <v>166</v>
      </c>
      <c r="K764" t="s">
        <v>180</v>
      </c>
      <c r="L764" t="s">
        <v>227</v>
      </c>
    </row>
    <row r="765" spans="1:12" x14ac:dyDescent="0.25">
      <c r="A765" t="s">
        <v>217</v>
      </c>
      <c r="B765">
        <v>52</v>
      </c>
      <c r="C765" t="s">
        <v>27</v>
      </c>
      <c r="D765">
        <v>2</v>
      </c>
      <c r="E765" t="s">
        <v>155</v>
      </c>
      <c r="F765">
        <v>1</v>
      </c>
      <c r="G765" t="s">
        <v>372</v>
      </c>
      <c r="H765">
        <v>0</v>
      </c>
      <c r="I765" t="s">
        <v>169</v>
      </c>
      <c r="J765" t="s">
        <v>166</v>
      </c>
      <c r="K765" t="s">
        <v>180</v>
      </c>
      <c r="L765" t="s">
        <v>227</v>
      </c>
    </row>
    <row r="766" spans="1:12" x14ac:dyDescent="0.25">
      <c r="A766" t="s">
        <v>217</v>
      </c>
      <c r="B766">
        <v>53</v>
      </c>
      <c r="C766" t="s">
        <v>27</v>
      </c>
      <c r="D766">
        <v>3</v>
      </c>
      <c r="E766" t="s">
        <v>155</v>
      </c>
      <c r="G766" t="s">
        <v>372</v>
      </c>
      <c r="I766" t="s">
        <v>169</v>
      </c>
      <c r="J766" t="s">
        <v>166</v>
      </c>
      <c r="K766" t="s">
        <v>180</v>
      </c>
      <c r="L766" t="s">
        <v>227</v>
      </c>
    </row>
    <row r="767" spans="1:12" x14ac:dyDescent="0.25">
      <c r="A767" t="s">
        <v>217</v>
      </c>
      <c r="B767">
        <v>57</v>
      </c>
      <c r="C767" t="s">
        <v>12</v>
      </c>
      <c r="D767">
        <v>1</v>
      </c>
      <c r="E767" t="s">
        <v>156</v>
      </c>
      <c r="F767">
        <v>1</v>
      </c>
      <c r="G767" t="s">
        <v>372</v>
      </c>
      <c r="H767">
        <v>0</v>
      </c>
      <c r="I767" t="s">
        <v>168</v>
      </c>
      <c r="J767" t="s">
        <v>158</v>
      </c>
      <c r="K767" t="s">
        <v>170</v>
      </c>
      <c r="L767" t="s">
        <v>227</v>
      </c>
    </row>
    <row r="768" spans="1:12" x14ac:dyDescent="0.25">
      <c r="A768" t="s">
        <v>217</v>
      </c>
      <c r="B768">
        <v>58</v>
      </c>
      <c r="C768" t="s">
        <v>12</v>
      </c>
      <c r="D768">
        <v>2</v>
      </c>
      <c r="E768" t="s">
        <v>156</v>
      </c>
      <c r="F768">
        <v>1</v>
      </c>
      <c r="G768" t="s">
        <v>372</v>
      </c>
      <c r="H768">
        <v>0</v>
      </c>
      <c r="I768" t="s">
        <v>168</v>
      </c>
      <c r="J768" t="s">
        <v>158</v>
      </c>
      <c r="K768" t="s">
        <v>170</v>
      </c>
      <c r="L768" t="s">
        <v>227</v>
      </c>
    </row>
    <row r="769" spans="1:12" x14ac:dyDescent="0.25">
      <c r="A769" t="s">
        <v>217</v>
      </c>
      <c r="B769">
        <v>59</v>
      </c>
      <c r="C769" t="s">
        <v>12</v>
      </c>
      <c r="D769">
        <v>3</v>
      </c>
      <c r="E769" t="s">
        <v>156</v>
      </c>
      <c r="G769" t="s">
        <v>372</v>
      </c>
      <c r="I769" t="s">
        <v>168</v>
      </c>
      <c r="J769" t="s">
        <v>158</v>
      </c>
      <c r="K769" t="s">
        <v>170</v>
      </c>
      <c r="L769" t="s">
        <v>227</v>
      </c>
    </row>
    <row r="770" spans="1:12" x14ac:dyDescent="0.25">
      <c r="A770" t="s">
        <v>217</v>
      </c>
      <c r="B770">
        <v>60</v>
      </c>
      <c r="C770" t="s">
        <v>18</v>
      </c>
      <c r="D770">
        <v>1</v>
      </c>
      <c r="E770" t="s">
        <v>156</v>
      </c>
      <c r="F770">
        <v>1</v>
      </c>
      <c r="G770" t="s">
        <v>372</v>
      </c>
      <c r="H770">
        <v>0</v>
      </c>
      <c r="I770" t="s">
        <v>168</v>
      </c>
      <c r="J770" t="s">
        <v>161</v>
      </c>
      <c r="K770" t="s">
        <v>173</v>
      </c>
      <c r="L770" t="s">
        <v>227</v>
      </c>
    </row>
    <row r="771" spans="1:12" x14ac:dyDescent="0.25">
      <c r="A771" t="s">
        <v>217</v>
      </c>
      <c r="B771">
        <v>61</v>
      </c>
      <c r="C771" t="s">
        <v>18</v>
      </c>
      <c r="D771">
        <v>2</v>
      </c>
      <c r="E771" t="s">
        <v>156</v>
      </c>
      <c r="F771">
        <v>1</v>
      </c>
      <c r="G771" t="s">
        <v>372</v>
      </c>
      <c r="H771">
        <v>0</v>
      </c>
      <c r="I771" t="s">
        <v>168</v>
      </c>
      <c r="J771" t="s">
        <v>161</v>
      </c>
      <c r="K771" t="s">
        <v>173</v>
      </c>
      <c r="L771" t="s">
        <v>227</v>
      </c>
    </row>
    <row r="772" spans="1:12" x14ac:dyDescent="0.25">
      <c r="A772" t="s">
        <v>217</v>
      </c>
      <c r="B772">
        <v>62</v>
      </c>
      <c r="C772" t="s">
        <v>18</v>
      </c>
      <c r="D772">
        <v>3</v>
      </c>
      <c r="E772" t="s">
        <v>156</v>
      </c>
      <c r="G772" t="s">
        <v>372</v>
      </c>
      <c r="I772" t="s">
        <v>168</v>
      </c>
      <c r="J772" t="s">
        <v>161</v>
      </c>
      <c r="K772" t="s">
        <v>173</v>
      </c>
      <c r="L772" t="s">
        <v>227</v>
      </c>
    </row>
    <row r="773" spans="1:12" x14ac:dyDescent="0.25">
      <c r="A773" t="s">
        <v>217</v>
      </c>
      <c r="B773">
        <v>63</v>
      </c>
      <c r="C773" t="s">
        <v>21</v>
      </c>
      <c r="D773">
        <v>1</v>
      </c>
      <c r="E773" t="s">
        <v>156</v>
      </c>
      <c r="F773">
        <v>1</v>
      </c>
      <c r="G773" t="s">
        <v>372</v>
      </c>
      <c r="H773">
        <v>0</v>
      </c>
      <c r="I773" t="s">
        <v>168</v>
      </c>
      <c r="J773" t="s">
        <v>163</v>
      </c>
      <c r="K773" t="s">
        <v>175</v>
      </c>
      <c r="L773" t="s">
        <v>227</v>
      </c>
    </row>
    <row r="774" spans="1:12" x14ac:dyDescent="0.25">
      <c r="A774" t="s">
        <v>217</v>
      </c>
      <c r="B774">
        <v>64</v>
      </c>
      <c r="C774" t="s">
        <v>21</v>
      </c>
      <c r="D774">
        <v>2</v>
      </c>
      <c r="E774" t="s">
        <v>156</v>
      </c>
      <c r="F774">
        <v>1</v>
      </c>
      <c r="G774" t="s">
        <v>372</v>
      </c>
      <c r="H774">
        <v>0</v>
      </c>
      <c r="I774" t="s">
        <v>168</v>
      </c>
      <c r="J774" t="s">
        <v>163</v>
      </c>
      <c r="K774" t="s">
        <v>175</v>
      </c>
      <c r="L774" t="s">
        <v>227</v>
      </c>
    </row>
    <row r="775" spans="1:12" x14ac:dyDescent="0.25">
      <c r="A775" t="s">
        <v>217</v>
      </c>
      <c r="B775">
        <v>65</v>
      </c>
      <c r="C775" t="s">
        <v>21</v>
      </c>
      <c r="D775">
        <v>3</v>
      </c>
      <c r="E775" t="s">
        <v>156</v>
      </c>
      <c r="G775" t="s">
        <v>372</v>
      </c>
      <c r="I775" t="s">
        <v>168</v>
      </c>
      <c r="J775" t="s">
        <v>163</v>
      </c>
      <c r="K775" t="s">
        <v>175</v>
      </c>
      <c r="L775" t="s">
        <v>227</v>
      </c>
    </row>
    <row r="776" spans="1:12" x14ac:dyDescent="0.25">
      <c r="A776" t="s">
        <v>217</v>
      </c>
      <c r="B776">
        <v>66</v>
      </c>
      <c r="C776" t="s">
        <v>24</v>
      </c>
      <c r="D776">
        <v>1</v>
      </c>
      <c r="E776" t="s">
        <v>156</v>
      </c>
      <c r="F776">
        <v>0</v>
      </c>
      <c r="G776" t="s">
        <v>372</v>
      </c>
      <c r="H776">
        <v>1</v>
      </c>
      <c r="I776" t="s">
        <v>168</v>
      </c>
      <c r="J776" t="s">
        <v>165</v>
      </c>
      <c r="K776" t="s">
        <v>177</v>
      </c>
      <c r="L776" t="s">
        <v>227</v>
      </c>
    </row>
    <row r="777" spans="1:12" x14ac:dyDescent="0.25">
      <c r="A777" t="s">
        <v>217</v>
      </c>
      <c r="B777">
        <v>67</v>
      </c>
      <c r="C777" t="s">
        <v>24</v>
      </c>
      <c r="D777">
        <v>2</v>
      </c>
      <c r="E777" t="s">
        <v>156</v>
      </c>
      <c r="F777">
        <v>0</v>
      </c>
      <c r="G777" t="s">
        <v>372</v>
      </c>
      <c r="H777">
        <v>1</v>
      </c>
      <c r="I777" t="s">
        <v>168</v>
      </c>
      <c r="J777" t="s">
        <v>165</v>
      </c>
      <c r="K777" t="s">
        <v>177</v>
      </c>
      <c r="L777" t="s">
        <v>227</v>
      </c>
    </row>
    <row r="778" spans="1:12" x14ac:dyDescent="0.25">
      <c r="A778" t="s">
        <v>217</v>
      </c>
      <c r="B778">
        <v>68</v>
      </c>
      <c r="C778" t="s">
        <v>24</v>
      </c>
      <c r="D778">
        <v>3</v>
      </c>
      <c r="E778" t="s">
        <v>156</v>
      </c>
      <c r="G778" t="s">
        <v>372</v>
      </c>
      <c r="I778" t="s">
        <v>168</v>
      </c>
      <c r="J778" t="s">
        <v>165</v>
      </c>
      <c r="K778" t="s">
        <v>177</v>
      </c>
      <c r="L778" t="s">
        <v>227</v>
      </c>
    </row>
    <row r="779" spans="1:12" x14ac:dyDescent="0.25">
      <c r="A779" t="s">
        <v>217</v>
      </c>
      <c r="B779">
        <v>69</v>
      </c>
      <c r="C779" t="s">
        <v>27</v>
      </c>
      <c r="D779">
        <v>1</v>
      </c>
      <c r="E779" t="s">
        <v>156</v>
      </c>
      <c r="F779">
        <v>0</v>
      </c>
      <c r="G779" t="s">
        <v>372</v>
      </c>
      <c r="H779">
        <v>1</v>
      </c>
      <c r="I779" t="s">
        <v>168</v>
      </c>
      <c r="J779" t="s">
        <v>167</v>
      </c>
      <c r="K779" t="s">
        <v>179</v>
      </c>
      <c r="L779" t="s">
        <v>227</v>
      </c>
    </row>
    <row r="780" spans="1:12" x14ac:dyDescent="0.25">
      <c r="A780" t="s">
        <v>217</v>
      </c>
      <c r="B780">
        <v>70</v>
      </c>
      <c r="C780" t="s">
        <v>27</v>
      </c>
      <c r="D780">
        <v>2</v>
      </c>
      <c r="E780" t="s">
        <v>156</v>
      </c>
      <c r="F780">
        <v>0</v>
      </c>
      <c r="G780" t="s">
        <v>372</v>
      </c>
      <c r="H780">
        <v>1</v>
      </c>
      <c r="I780" t="s">
        <v>168</v>
      </c>
      <c r="J780" t="s">
        <v>167</v>
      </c>
      <c r="K780" t="s">
        <v>179</v>
      </c>
      <c r="L780" t="s">
        <v>227</v>
      </c>
    </row>
    <row r="781" spans="1:12" x14ac:dyDescent="0.25">
      <c r="A781" t="s">
        <v>217</v>
      </c>
      <c r="B781">
        <v>71</v>
      </c>
      <c r="C781" t="s">
        <v>27</v>
      </c>
      <c r="D781">
        <v>3</v>
      </c>
      <c r="E781" t="s">
        <v>156</v>
      </c>
      <c r="G781" t="s">
        <v>372</v>
      </c>
      <c r="I781" t="s">
        <v>168</v>
      </c>
      <c r="J781" t="s">
        <v>167</v>
      </c>
      <c r="K781" t="s">
        <v>179</v>
      </c>
      <c r="L781" t="s">
        <v>227</v>
      </c>
    </row>
    <row r="782" spans="1:12" x14ac:dyDescent="0.25">
      <c r="A782" t="s">
        <v>217</v>
      </c>
      <c r="B782">
        <v>75</v>
      </c>
      <c r="C782" t="s">
        <v>12</v>
      </c>
      <c r="D782">
        <v>1</v>
      </c>
      <c r="E782" t="s">
        <v>14</v>
      </c>
      <c r="F782">
        <v>14</v>
      </c>
      <c r="G782" t="s">
        <v>372</v>
      </c>
      <c r="H782">
        <v>21</v>
      </c>
      <c r="I782" t="s">
        <v>181</v>
      </c>
      <c r="J782" t="s">
        <v>16</v>
      </c>
      <c r="K782" t="s">
        <v>183</v>
      </c>
      <c r="L782" t="s">
        <v>228</v>
      </c>
    </row>
    <row r="783" spans="1:12" x14ac:dyDescent="0.25">
      <c r="A783" t="s">
        <v>217</v>
      </c>
      <c r="B783">
        <v>76</v>
      </c>
      <c r="C783" t="s">
        <v>12</v>
      </c>
      <c r="D783">
        <v>2</v>
      </c>
      <c r="E783" t="s">
        <v>14</v>
      </c>
      <c r="F783">
        <v>0</v>
      </c>
      <c r="G783" t="s">
        <v>372</v>
      </c>
      <c r="H783">
        <v>1</v>
      </c>
      <c r="I783" t="s">
        <v>181</v>
      </c>
      <c r="J783" t="s">
        <v>16</v>
      </c>
      <c r="K783" t="s">
        <v>183</v>
      </c>
      <c r="L783" t="s">
        <v>228</v>
      </c>
    </row>
    <row r="784" spans="1:12" x14ac:dyDescent="0.25">
      <c r="A784" t="s">
        <v>217</v>
      </c>
      <c r="B784">
        <v>77</v>
      </c>
      <c r="C784" t="s">
        <v>12</v>
      </c>
      <c r="D784">
        <v>3</v>
      </c>
      <c r="E784" t="s">
        <v>14</v>
      </c>
      <c r="G784" t="s">
        <v>372</v>
      </c>
      <c r="I784" t="s">
        <v>181</v>
      </c>
      <c r="J784" t="s">
        <v>16</v>
      </c>
      <c r="K784" t="s">
        <v>183</v>
      </c>
      <c r="L784" t="s">
        <v>228</v>
      </c>
    </row>
    <row r="785" spans="1:12" x14ac:dyDescent="0.25">
      <c r="A785" t="s">
        <v>217</v>
      </c>
      <c r="B785">
        <v>78</v>
      </c>
      <c r="C785" t="s">
        <v>18</v>
      </c>
      <c r="D785">
        <v>1</v>
      </c>
      <c r="E785" t="s">
        <v>14</v>
      </c>
      <c r="F785">
        <v>18</v>
      </c>
      <c r="G785" t="s">
        <v>372</v>
      </c>
      <c r="H785">
        <v>21</v>
      </c>
      <c r="I785" t="s">
        <v>181</v>
      </c>
      <c r="J785" t="s">
        <v>20</v>
      </c>
      <c r="K785" t="s">
        <v>186</v>
      </c>
      <c r="L785" t="s">
        <v>228</v>
      </c>
    </row>
    <row r="786" spans="1:12" x14ac:dyDescent="0.25">
      <c r="A786" t="s">
        <v>217</v>
      </c>
      <c r="B786">
        <v>79</v>
      </c>
      <c r="C786" t="s">
        <v>18</v>
      </c>
      <c r="D786">
        <v>2</v>
      </c>
      <c r="E786" t="s">
        <v>14</v>
      </c>
      <c r="F786">
        <v>0</v>
      </c>
      <c r="G786" t="s">
        <v>372</v>
      </c>
      <c r="H786">
        <v>1</v>
      </c>
      <c r="I786" t="s">
        <v>181</v>
      </c>
      <c r="J786" t="s">
        <v>20</v>
      </c>
      <c r="K786" t="s">
        <v>186</v>
      </c>
      <c r="L786" t="s">
        <v>228</v>
      </c>
    </row>
    <row r="787" spans="1:12" x14ac:dyDescent="0.25">
      <c r="A787" t="s">
        <v>217</v>
      </c>
      <c r="B787">
        <v>80</v>
      </c>
      <c r="C787" t="s">
        <v>18</v>
      </c>
      <c r="D787">
        <v>3</v>
      </c>
      <c r="E787" t="s">
        <v>14</v>
      </c>
      <c r="G787" t="s">
        <v>372</v>
      </c>
      <c r="I787" t="s">
        <v>181</v>
      </c>
      <c r="J787" t="s">
        <v>20</v>
      </c>
      <c r="K787" t="s">
        <v>186</v>
      </c>
      <c r="L787" t="s">
        <v>228</v>
      </c>
    </row>
    <row r="788" spans="1:12" x14ac:dyDescent="0.25">
      <c r="A788" t="s">
        <v>217</v>
      </c>
      <c r="B788">
        <v>81</v>
      </c>
      <c r="C788" t="s">
        <v>21</v>
      </c>
      <c r="D788">
        <v>1</v>
      </c>
      <c r="E788" t="s">
        <v>14</v>
      </c>
      <c r="F788">
        <v>19</v>
      </c>
      <c r="G788" t="s">
        <v>372</v>
      </c>
      <c r="H788">
        <v>21</v>
      </c>
      <c r="I788" t="s">
        <v>181</v>
      </c>
      <c r="J788" t="s">
        <v>23</v>
      </c>
      <c r="K788" t="s">
        <v>188</v>
      </c>
      <c r="L788" t="s">
        <v>228</v>
      </c>
    </row>
    <row r="789" spans="1:12" x14ac:dyDescent="0.25">
      <c r="A789" t="s">
        <v>217</v>
      </c>
      <c r="B789">
        <v>82</v>
      </c>
      <c r="C789" t="s">
        <v>21</v>
      </c>
      <c r="D789">
        <v>2</v>
      </c>
      <c r="E789" t="s">
        <v>14</v>
      </c>
      <c r="F789">
        <v>0</v>
      </c>
      <c r="G789" t="s">
        <v>372</v>
      </c>
      <c r="H789">
        <v>1</v>
      </c>
      <c r="I789" t="s">
        <v>181</v>
      </c>
      <c r="J789" t="s">
        <v>23</v>
      </c>
      <c r="K789" t="s">
        <v>188</v>
      </c>
      <c r="L789" t="s">
        <v>228</v>
      </c>
    </row>
    <row r="790" spans="1:12" x14ac:dyDescent="0.25">
      <c r="A790" t="s">
        <v>217</v>
      </c>
      <c r="B790">
        <v>83</v>
      </c>
      <c r="C790" t="s">
        <v>21</v>
      </c>
      <c r="D790">
        <v>3</v>
      </c>
      <c r="E790" t="s">
        <v>14</v>
      </c>
      <c r="G790" t="s">
        <v>372</v>
      </c>
      <c r="I790" t="s">
        <v>181</v>
      </c>
      <c r="J790" t="s">
        <v>23</v>
      </c>
      <c r="K790" t="s">
        <v>188</v>
      </c>
      <c r="L790" t="s">
        <v>228</v>
      </c>
    </row>
    <row r="791" spans="1:12" x14ac:dyDescent="0.25">
      <c r="A791" t="s">
        <v>217</v>
      </c>
      <c r="B791">
        <v>84</v>
      </c>
      <c r="C791" t="s">
        <v>24</v>
      </c>
      <c r="D791">
        <v>1</v>
      </c>
      <c r="E791" t="s">
        <v>14</v>
      </c>
      <c r="F791">
        <v>19</v>
      </c>
      <c r="G791" t="s">
        <v>372</v>
      </c>
      <c r="H791">
        <v>21</v>
      </c>
      <c r="I791" t="s">
        <v>181</v>
      </c>
      <c r="J791" t="s">
        <v>26</v>
      </c>
      <c r="K791" t="s">
        <v>190</v>
      </c>
      <c r="L791" t="s">
        <v>228</v>
      </c>
    </row>
    <row r="792" spans="1:12" x14ac:dyDescent="0.25">
      <c r="A792" t="s">
        <v>217</v>
      </c>
      <c r="B792">
        <v>85</v>
      </c>
      <c r="C792" t="s">
        <v>24</v>
      </c>
      <c r="D792">
        <v>2</v>
      </c>
      <c r="E792" t="s">
        <v>14</v>
      </c>
      <c r="F792">
        <v>0</v>
      </c>
      <c r="G792" t="s">
        <v>372</v>
      </c>
      <c r="H792">
        <v>1</v>
      </c>
      <c r="I792" t="s">
        <v>181</v>
      </c>
      <c r="J792" t="s">
        <v>26</v>
      </c>
      <c r="K792" t="s">
        <v>190</v>
      </c>
      <c r="L792" t="s">
        <v>228</v>
      </c>
    </row>
    <row r="793" spans="1:12" x14ac:dyDescent="0.25">
      <c r="A793" t="s">
        <v>217</v>
      </c>
      <c r="B793">
        <v>86</v>
      </c>
      <c r="C793" t="s">
        <v>24</v>
      </c>
      <c r="D793">
        <v>3</v>
      </c>
      <c r="E793" t="s">
        <v>14</v>
      </c>
      <c r="G793" t="s">
        <v>372</v>
      </c>
      <c r="I793" t="s">
        <v>181</v>
      </c>
      <c r="J793" t="s">
        <v>26</v>
      </c>
      <c r="K793" t="s">
        <v>190</v>
      </c>
      <c r="L793" t="s">
        <v>228</v>
      </c>
    </row>
    <row r="794" spans="1:12" x14ac:dyDescent="0.25">
      <c r="A794" t="s">
        <v>217</v>
      </c>
      <c r="B794">
        <v>87</v>
      </c>
      <c r="C794" t="s">
        <v>27</v>
      </c>
      <c r="D794">
        <v>1</v>
      </c>
      <c r="E794" t="s">
        <v>14</v>
      </c>
      <c r="F794">
        <v>19</v>
      </c>
      <c r="G794" t="s">
        <v>372</v>
      </c>
      <c r="H794">
        <v>21</v>
      </c>
      <c r="I794" t="s">
        <v>181</v>
      </c>
      <c r="J794" t="s">
        <v>29</v>
      </c>
      <c r="K794" t="s">
        <v>192</v>
      </c>
      <c r="L794" t="s">
        <v>228</v>
      </c>
    </row>
    <row r="795" spans="1:12" x14ac:dyDescent="0.25">
      <c r="A795" t="s">
        <v>217</v>
      </c>
      <c r="B795">
        <v>88</v>
      </c>
      <c r="C795" t="s">
        <v>27</v>
      </c>
      <c r="D795">
        <v>2</v>
      </c>
      <c r="E795" t="s">
        <v>14</v>
      </c>
      <c r="F795">
        <v>0</v>
      </c>
      <c r="G795" t="s">
        <v>372</v>
      </c>
      <c r="H795">
        <v>1</v>
      </c>
      <c r="I795" t="s">
        <v>181</v>
      </c>
      <c r="J795" t="s">
        <v>29</v>
      </c>
      <c r="K795" t="s">
        <v>192</v>
      </c>
      <c r="L795" t="s">
        <v>228</v>
      </c>
    </row>
    <row r="796" spans="1:12" x14ac:dyDescent="0.25">
      <c r="A796" t="s">
        <v>217</v>
      </c>
      <c r="B796">
        <v>89</v>
      </c>
      <c r="C796" t="s">
        <v>27</v>
      </c>
      <c r="D796">
        <v>3</v>
      </c>
      <c r="E796" t="s">
        <v>14</v>
      </c>
      <c r="G796" t="s">
        <v>372</v>
      </c>
      <c r="I796" t="s">
        <v>181</v>
      </c>
      <c r="J796" t="s">
        <v>29</v>
      </c>
      <c r="K796" t="s">
        <v>192</v>
      </c>
      <c r="L796" t="s">
        <v>228</v>
      </c>
    </row>
    <row r="797" spans="1:12" x14ac:dyDescent="0.25">
      <c r="A797" t="s">
        <v>217</v>
      </c>
      <c r="B797">
        <v>93</v>
      </c>
      <c r="C797" t="s">
        <v>12</v>
      </c>
      <c r="D797">
        <v>1</v>
      </c>
      <c r="E797" t="s">
        <v>182</v>
      </c>
      <c r="F797">
        <v>23</v>
      </c>
      <c r="G797" t="s">
        <v>372</v>
      </c>
      <c r="H797">
        <v>21</v>
      </c>
      <c r="I797" t="s">
        <v>13</v>
      </c>
      <c r="J797" t="s">
        <v>184</v>
      </c>
      <c r="K797" t="s">
        <v>15</v>
      </c>
      <c r="L797" t="s">
        <v>228</v>
      </c>
    </row>
    <row r="798" spans="1:12" x14ac:dyDescent="0.25">
      <c r="A798" t="s">
        <v>217</v>
      </c>
      <c r="B798">
        <v>94</v>
      </c>
      <c r="C798" t="s">
        <v>12</v>
      </c>
      <c r="D798">
        <v>2</v>
      </c>
      <c r="E798" t="s">
        <v>182</v>
      </c>
      <c r="F798">
        <v>1</v>
      </c>
      <c r="G798" t="s">
        <v>372</v>
      </c>
      <c r="H798">
        <v>0</v>
      </c>
      <c r="I798" t="s">
        <v>13</v>
      </c>
      <c r="J798" t="s">
        <v>184</v>
      </c>
      <c r="K798" t="s">
        <v>15</v>
      </c>
      <c r="L798" t="s">
        <v>228</v>
      </c>
    </row>
    <row r="799" spans="1:12" x14ac:dyDescent="0.25">
      <c r="A799" t="s">
        <v>217</v>
      </c>
      <c r="B799">
        <v>95</v>
      </c>
      <c r="C799" t="s">
        <v>12</v>
      </c>
      <c r="D799">
        <v>3</v>
      </c>
      <c r="E799" t="s">
        <v>182</v>
      </c>
      <c r="G799" t="s">
        <v>372</v>
      </c>
      <c r="I799" t="s">
        <v>13</v>
      </c>
      <c r="J799" t="s">
        <v>184</v>
      </c>
      <c r="K799" t="s">
        <v>15</v>
      </c>
      <c r="L799" t="s">
        <v>228</v>
      </c>
    </row>
    <row r="800" spans="1:12" x14ac:dyDescent="0.25">
      <c r="A800" t="s">
        <v>217</v>
      </c>
      <c r="B800">
        <v>96</v>
      </c>
      <c r="C800" t="s">
        <v>18</v>
      </c>
      <c r="D800">
        <v>1</v>
      </c>
      <c r="E800" t="s">
        <v>182</v>
      </c>
      <c r="F800">
        <v>15</v>
      </c>
      <c r="G800" t="s">
        <v>372</v>
      </c>
      <c r="H800">
        <v>21</v>
      </c>
      <c r="I800" t="s">
        <v>13</v>
      </c>
      <c r="J800" t="s">
        <v>187</v>
      </c>
      <c r="K800" t="s">
        <v>19</v>
      </c>
      <c r="L800" t="s">
        <v>228</v>
      </c>
    </row>
    <row r="801" spans="1:12" x14ac:dyDescent="0.25">
      <c r="A801" t="s">
        <v>217</v>
      </c>
      <c r="B801">
        <v>97</v>
      </c>
      <c r="C801" t="s">
        <v>18</v>
      </c>
      <c r="D801">
        <v>2</v>
      </c>
      <c r="E801" t="s">
        <v>182</v>
      </c>
      <c r="F801">
        <v>0</v>
      </c>
      <c r="G801" t="s">
        <v>372</v>
      </c>
      <c r="H801">
        <v>1</v>
      </c>
      <c r="I801" t="s">
        <v>13</v>
      </c>
      <c r="J801" t="s">
        <v>187</v>
      </c>
      <c r="K801" t="s">
        <v>19</v>
      </c>
      <c r="L801" t="s">
        <v>228</v>
      </c>
    </row>
    <row r="802" spans="1:12" x14ac:dyDescent="0.25">
      <c r="A802" t="s">
        <v>217</v>
      </c>
      <c r="B802">
        <v>98</v>
      </c>
      <c r="C802" t="s">
        <v>18</v>
      </c>
      <c r="D802">
        <v>3</v>
      </c>
      <c r="E802" t="s">
        <v>182</v>
      </c>
      <c r="G802" t="s">
        <v>372</v>
      </c>
      <c r="I802" t="s">
        <v>13</v>
      </c>
      <c r="J802" t="s">
        <v>187</v>
      </c>
      <c r="K802" t="s">
        <v>19</v>
      </c>
      <c r="L802" t="s">
        <v>228</v>
      </c>
    </row>
    <row r="803" spans="1:12" x14ac:dyDescent="0.25">
      <c r="A803" t="s">
        <v>217</v>
      </c>
      <c r="B803">
        <v>99</v>
      </c>
      <c r="C803" t="s">
        <v>21</v>
      </c>
      <c r="D803">
        <v>1</v>
      </c>
      <c r="E803" t="s">
        <v>182</v>
      </c>
      <c r="F803">
        <v>14</v>
      </c>
      <c r="G803" t="s">
        <v>372</v>
      </c>
      <c r="H803">
        <v>21</v>
      </c>
      <c r="I803" t="s">
        <v>13</v>
      </c>
      <c r="J803" t="s">
        <v>189</v>
      </c>
      <c r="K803" t="s">
        <v>22</v>
      </c>
      <c r="L803" t="s">
        <v>228</v>
      </c>
    </row>
    <row r="804" spans="1:12" x14ac:dyDescent="0.25">
      <c r="A804" t="s">
        <v>217</v>
      </c>
      <c r="B804">
        <v>100</v>
      </c>
      <c r="C804" t="s">
        <v>21</v>
      </c>
      <c r="D804">
        <v>2</v>
      </c>
      <c r="E804" t="s">
        <v>182</v>
      </c>
      <c r="F804">
        <v>0</v>
      </c>
      <c r="G804" t="s">
        <v>372</v>
      </c>
      <c r="H804">
        <v>1</v>
      </c>
      <c r="I804" t="s">
        <v>13</v>
      </c>
      <c r="J804" t="s">
        <v>189</v>
      </c>
      <c r="K804" t="s">
        <v>22</v>
      </c>
      <c r="L804" t="s">
        <v>228</v>
      </c>
    </row>
    <row r="805" spans="1:12" x14ac:dyDescent="0.25">
      <c r="A805" t="s">
        <v>217</v>
      </c>
      <c r="B805">
        <v>101</v>
      </c>
      <c r="C805" t="s">
        <v>21</v>
      </c>
      <c r="D805">
        <v>3</v>
      </c>
      <c r="E805" t="s">
        <v>182</v>
      </c>
      <c r="G805" t="s">
        <v>372</v>
      </c>
      <c r="I805" t="s">
        <v>13</v>
      </c>
      <c r="J805" t="s">
        <v>189</v>
      </c>
      <c r="K805" t="s">
        <v>22</v>
      </c>
      <c r="L805" t="s">
        <v>228</v>
      </c>
    </row>
    <row r="806" spans="1:12" x14ac:dyDescent="0.25">
      <c r="A806" t="s">
        <v>217</v>
      </c>
      <c r="B806">
        <v>102</v>
      </c>
      <c r="C806" t="s">
        <v>24</v>
      </c>
      <c r="D806">
        <v>1</v>
      </c>
      <c r="E806" t="s">
        <v>182</v>
      </c>
      <c r="F806">
        <v>21</v>
      </c>
      <c r="G806" t="s">
        <v>372</v>
      </c>
      <c r="H806">
        <v>19</v>
      </c>
      <c r="I806" t="s">
        <v>13</v>
      </c>
      <c r="J806" t="s">
        <v>191</v>
      </c>
      <c r="K806" t="s">
        <v>25</v>
      </c>
      <c r="L806" t="s">
        <v>228</v>
      </c>
    </row>
    <row r="807" spans="1:12" x14ac:dyDescent="0.25">
      <c r="A807" t="s">
        <v>217</v>
      </c>
      <c r="B807">
        <v>103</v>
      </c>
      <c r="C807" t="s">
        <v>24</v>
      </c>
      <c r="D807">
        <v>2</v>
      </c>
      <c r="E807" t="s">
        <v>182</v>
      </c>
      <c r="F807">
        <v>1</v>
      </c>
      <c r="G807" t="s">
        <v>372</v>
      </c>
      <c r="H807">
        <v>0</v>
      </c>
      <c r="I807" t="s">
        <v>13</v>
      </c>
      <c r="J807" t="s">
        <v>191</v>
      </c>
      <c r="K807" t="s">
        <v>25</v>
      </c>
      <c r="L807" t="s">
        <v>228</v>
      </c>
    </row>
    <row r="808" spans="1:12" x14ac:dyDescent="0.25">
      <c r="A808" t="s">
        <v>217</v>
      </c>
      <c r="B808">
        <v>104</v>
      </c>
      <c r="C808" t="s">
        <v>24</v>
      </c>
      <c r="D808">
        <v>3</v>
      </c>
      <c r="E808" t="s">
        <v>182</v>
      </c>
      <c r="G808" t="s">
        <v>372</v>
      </c>
      <c r="I808" t="s">
        <v>13</v>
      </c>
      <c r="J808" t="s">
        <v>191</v>
      </c>
      <c r="K808" t="s">
        <v>25</v>
      </c>
      <c r="L808" t="s">
        <v>228</v>
      </c>
    </row>
    <row r="809" spans="1:12" x14ac:dyDescent="0.25">
      <c r="A809" t="s">
        <v>217</v>
      </c>
      <c r="B809">
        <v>105</v>
      </c>
      <c r="C809" t="s">
        <v>27</v>
      </c>
      <c r="D809">
        <v>1</v>
      </c>
      <c r="E809" t="s">
        <v>182</v>
      </c>
      <c r="F809">
        <v>21</v>
      </c>
      <c r="G809" t="s">
        <v>372</v>
      </c>
      <c r="H809">
        <v>18</v>
      </c>
      <c r="I809" t="s">
        <v>13</v>
      </c>
      <c r="J809" t="s">
        <v>193</v>
      </c>
      <c r="K809" t="s">
        <v>28</v>
      </c>
      <c r="L809" t="s">
        <v>228</v>
      </c>
    </row>
    <row r="810" spans="1:12" x14ac:dyDescent="0.25">
      <c r="A810" t="s">
        <v>217</v>
      </c>
      <c r="B810">
        <v>106</v>
      </c>
      <c r="C810" t="s">
        <v>27</v>
      </c>
      <c r="D810">
        <v>2</v>
      </c>
      <c r="E810" t="s">
        <v>182</v>
      </c>
      <c r="F810">
        <v>1</v>
      </c>
      <c r="G810" t="s">
        <v>372</v>
      </c>
      <c r="H810">
        <v>0</v>
      </c>
      <c r="I810" t="s">
        <v>13</v>
      </c>
      <c r="J810" t="s">
        <v>193</v>
      </c>
      <c r="K810" t="s">
        <v>28</v>
      </c>
      <c r="L810" t="s">
        <v>228</v>
      </c>
    </row>
    <row r="811" spans="1:12" x14ac:dyDescent="0.25">
      <c r="A811" t="s">
        <v>217</v>
      </c>
      <c r="B811">
        <v>107</v>
      </c>
      <c r="C811" t="s">
        <v>27</v>
      </c>
      <c r="D811">
        <v>3</v>
      </c>
      <c r="E811" t="s">
        <v>182</v>
      </c>
      <c r="G811" t="s">
        <v>372</v>
      </c>
      <c r="I811" t="s">
        <v>13</v>
      </c>
      <c r="J811" t="s">
        <v>193</v>
      </c>
      <c r="K811" t="s">
        <v>28</v>
      </c>
      <c r="L811" t="s">
        <v>228</v>
      </c>
    </row>
    <row r="812" spans="1:12" x14ac:dyDescent="0.25">
      <c r="A812" t="s">
        <v>217</v>
      </c>
      <c r="B812">
        <v>111</v>
      </c>
      <c r="C812" t="s">
        <v>12</v>
      </c>
      <c r="D812">
        <v>1</v>
      </c>
      <c r="E812" t="s">
        <v>30</v>
      </c>
      <c r="F812">
        <v>1</v>
      </c>
      <c r="G812" t="s">
        <v>372</v>
      </c>
      <c r="H812">
        <v>0</v>
      </c>
      <c r="I812" t="s">
        <v>44</v>
      </c>
      <c r="J812" t="s">
        <v>32</v>
      </c>
      <c r="K812" t="s">
        <v>46</v>
      </c>
      <c r="L812" t="s">
        <v>219</v>
      </c>
    </row>
    <row r="813" spans="1:12" x14ac:dyDescent="0.25">
      <c r="A813" t="s">
        <v>217</v>
      </c>
      <c r="B813">
        <v>112</v>
      </c>
      <c r="C813" t="s">
        <v>12</v>
      </c>
      <c r="D813">
        <v>2</v>
      </c>
      <c r="E813" t="s">
        <v>30</v>
      </c>
      <c r="F813">
        <v>1</v>
      </c>
      <c r="G813" t="s">
        <v>372</v>
      </c>
      <c r="H813">
        <v>0</v>
      </c>
      <c r="I813" t="s">
        <v>44</v>
      </c>
      <c r="J813" t="s">
        <v>32</v>
      </c>
      <c r="K813" t="s">
        <v>46</v>
      </c>
      <c r="L813" t="s">
        <v>219</v>
      </c>
    </row>
    <row r="814" spans="1:12" x14ac:dyDescent="0.25">
      <c r="A814" t="s">
        <v>217</v>
      </c>
      <c r="B814">
        <v>113</v>
      </c>
      <c r="C814" t="s">
        <v>12</v>
      </c>
      <c r="D814">
        <v>3</v>
      </c>
      <c r="E814" t="s">
        <v>30</v>
      </c>
      <c r="G814" t="s">
        <v>372</v>
      </c>
      <c r="I814" t="s">
        <v>44</v>
      </c>
      <c r="J814" t="s">
        <v>32</v>
      </c>
      <c r="K814" t="s">
        <v>46</v>
      </c>
      <c r="L814" t="s">
        <v>219</v>
      </c>
    </row>
    <row r="815" spans="1:12" x14ac:dyDescent="0.25">
      <c r="A815" t="s">
        <v>217</v>
      </c>
      <c r="B815">
        <v>114</v>
      </c>
      <c r="C815" t="s">
        <v>18</v>
      </c>
      <c r="D815">
        <v>1</v>
      </c>
      <c r="E815" t="s">
        <v>30</v>
      </c>
      <c r="F815">
        <v>21</v>
      </c>
      <c r="G815" t="s">
        <v>372</v>
      </c>
      <c r="H815">
        <v>18</v>
      </c>
      <c r="I815" t="s">
        <v>44</v>
      </c>
      <c r="J815" t="s">
        <v>35</v>
      </c>
      <c r="K815" t="s">
        <v>49</v>
      </c>
      <c r="L815" t="s">
        <v>219</v>
      </c>
    </row>
    <row r="816" spans="1:12" x14ac:dyDescent="0.25">
      <c r="A816" t="s">
        <v>217</v>
      </c>
      <c r="B816">
        <v>115</v>
      </c>
      <c r="C816" t="s">
        <v>18</v>
      </c>
      <c r="D816">
        <v>2</v>
      </c>
      <c r="E816" t="s">
        <v>30</v>
      </c>
      <c r="F816">
        <v>1</v>
      </c>
      <c r="G816" t="s">
        <v>372</v>
      </c>
      <c r="H816">
        <v>0</v>
      </c>
      <c r="I816" t="s">
        <v>44</v>
      </c>
      <c r="J816" t="s">
        <v>35</v>
      </c>
      <c r="K816" t="s">
        <v>49</v>
      </c>
      <c r="L816" t="s">
        <v>219</v>
      </c>
    </row>
    <row r="817" spans="1:12" x14ac:dyDescent="0.25">
      <c r="A817" t="s">
        <v>217</v>
      </c>
      <c r="B817">
        <v>116</v>
      </c>
      <c r="C817" t="s">
        <v>18</v>
      </c>
      <c r="D817">
        <v>3</v>
      </c>
      <c r="E817" t="s">
        <v>30</v>
      </c>
      <c r="G817" t="s">
        <v>372</v>
      </c>
      <c r="I817" t="s">
        <v>44</v>
      </c>
      <c r="J817" t="s">
        <v>35</v>
      </c>
      <c r="K817" t="s">
        <v>49</v>
      </c>
      <c r="L817" t="s">
        <v>219</v>
      </c>
    </row>
    <row r="818" spans="1:12" x14ac:dyDescent="0.25">
      <c r="A818" t="s">
        <v>217</v>
      </c>
      <c r="B818">
        <v>117</v>
      </c>
      <c r="C818" t="s">
        <v>21</v>
      </c>
      <c r="D818">
        <v>1</v>
      </c>
      <c r="E818" t="s">
        <v>30</v>
      </c>
      <c r="F818">
        <v>21</v>
      </c>
      <c r="G818" t="s">
        <v>372</v>
      </c>
      <c r="H818">
        <v>18</v>
      </c>
      <c r="I818" t="s">
        <v>44</v>
      </c>
      <c r="J818" t="s">
        <v>37</v>
      </c>
      <c r="K818" t="s">
        <v>51</v>
      </c>
      <c r="L818" t="s">
        <v>219</v>
      </c>
    </row>
    <row r="819" spans="1:12" x14ac:dyDescent="0.25">
      <c r="A819" t="s">
        <v>217</v>
      </c>
      <c r="B819">
        <v>118</v>
      </c>
      <c r="C819" t="s">
        <v>21</v>
      </c>
      <c r="D819">
        <v>2</v>
      </c>
      <c r="E819" t="s">
        <v>30</v>
      </c>
      <c r="F819">
        <v>1</v>
      </c>
      <c r="G819" t="s">
        <v>372</v>
      </c>
      <c r="H819">
        <v>0</v>
      </c>
      <c r="I819" t="s">
        <v>44</v>
      </c>
      <c r="J819" t="s">
        <v>37</v>
      </c>
      <c r="K819" t="s">
        <v>51</v>
      </c>
      <c r="L819" t="s">
        <v>219</v>
      </c>
    </row>
    <row r="820" spans="1:12" x14ac:dyDescent="0.25">
      <c r="A820" t="s">
        <v>217</v>
      </c>
      <c r="B820">
        <v>119</v>
      </c>
      <c r="C820" t="s">
        <v>21</v>
      </c>
      <c r="D820">
        <v>3</v>
      </c>
      <c r="E820" t="s">
        <v>30</v>
      </c>
      <c r="G820" t="s">
        <v>372</v>
      </c>
      <c r="I820" t="s">
        <v>44</v>
      </c>
      <c r="J820" t="s">
        <v>37</v>
      </c>
      <c r="K820" t="s">
        <v>51</v>
      </c>
      <c r="L820" t="s">
        <v>219</v>
      </c>
    </row>
    <row r="821" spans="1:12" x14ac:dyDescent="0.25">
      <c r="A821" t="s">
        <v>217</v>
      </c>
      <c r="B821">
        <v>120</v>
      </c>
      <c r="C821" t="s">
        <v>24</v>
      </c>
      <c r="D821">
        <v>1</v>
      </c>
      <c r="E821" t="s">
        <v>30</v>
      </c>
      <c r="F821">
        <v>21</v>
      </c>
      <c r="G821" t="s">
        <v>372</v>
      </c>
      <c r="H821">
        <v>10</v>
      </c>
      <c r="I821" t="s">
        <v>44</v>
      </c>
      <c r="J821" t="s">
        <v>39</v>
      </c>
      <c r="K821" t="s">
        <v>53</v>
      </c>
      <c r="L821" t="s">
        <v>219</v>
      </c>
    </row>
    <row r="822" spans="1:12" x14ac:dyDescent="0.25">
      <c r="A822" t="s">
        <v>217</v>
      </c>
      <c r="B822">
        <v>121</v>
      </c>
      <c r="C822" t="s">
        <v>24</v>
      </c>
      <c r="D822">
        <v>2</v>
      </c>
      <c r="E822" t="s">
        <v>30</v>
      </c>
      <c r="F822">
        <v>1</v>
      </c>
      <c r="G822" t="s">
        <v>372</v>
      </c>
      <c r="H822">
        <v>0</v>
      </c>
      <c r="I822" t="s">
        <v>44</v>
      </c>
      <c r="J822" t="s">
        <v>39</v>
      </c>
      <c r="K822" t="s">
        <v>53</v>
      </c>
      <c r="L822" t="s">
        <v>219</v>
      </c>
    </row>
    <row r="823" spans="1:12" x14ac:dyDescent="0.25">
      <c r="A823" t="s">
        <v>217</v>
      </c>
      <c r="B823">
        <v>122</v>
      </c>
      <c r="C823" t="s">
        <v>24</v>
      </c>
      <c r="D823">
        <v>3</v>
      </c>
      <c r="E823" t="s">
        <v>30</v>
      </c>
      <c r="G823" t="s">
        <v>372</v>
      </c>
      <c r="I823" t="s">
        <v>44</v>
      </c>
      <c r="J823" t="s">
        <v>39</v>
      </c>
      <c r="K823" t="s">
        <v>53</v>
      </c>
      <c r="L823" t="s">
        <v>219</v>
      </c>
    </row>
    <row r="824" spans="1:12" x14ac:dyDescent="0.25">
      <c r="A824" t="s">
        <v>217</v>
      </c>
      <c r="B824">
        <v>123</v>
      </c>
      <c r="C824" t="s">
        <v>27</v>
      </c>
      <c r="D824">
        <v>1</v>
      </c>
      <c r="E824" t="s">
        <v>30</v>
      </c>
      <c r="F824">
        <v>21</v>
      </c>
      <c r="G824" t="s">
        <v>372</v>
      </c>
      <c r="H824">
        <v>10</v>
      </c>
      <c r="I824" t="s">
        <v>44</v>
      </c>
      <c r="J824" t="s">
        <v>41</v>
      </c>
      <c r="K824" t="s">
        <v>55</v>
      </c>
      <c r="L824" t="s">
        <v>219</v>
      </c>
    </row>
    <row r="825" spans="1:12" x14ac:dyDescent="0.25">
      <c r="A825" t="s">
        <v>217</v>
      </c>
      <c r="B825">
        <v>124</v>
      </c>
      <c r="C825" t="s">
        <v>27</v>
      </c>
      <c r="D825">
        <v>2</v>
      </c>
      <c r="E825" t="s">
        <v>30</v>
      </c>
      <c r="F825">
        <v>1</v>
      </c>
      <c r="G825" t="s">
        <v>372</v>
      </c>
      <c r="H825">
        <v>0</v>
      </c>
      <c r="I825" t="s">
        <v>44</v>
      </c>
      <c r="J825" t="s">
        <v>41</v>
      </c>
      <c r="K825" t="s">
        <v>55</v>
      </c>
      <c r="L825" t="s">
        <v>219</v>
      </c>
    </row>
    <row r="826" spans="1:12" x14ac:dyDescent="0.25">
      <c r="A826" t="s">
        <v>217</v>
      </c>
      <c r="B826">
        <v>125</v>
      </c>
      <c r="C826" t="s">
        <v>27</v>
      </c>
      <c r="D826">
        <v>3</v>
      </c>
      <c r="E826" t="s">
        <v>30</v>
      </c>
      <c r="G826" t="s">
        <v>372</v>
      </c>
      <c r="I826" t="s">
        <v>44</v>
      </c>
      <c r="J826" t="s">
        <v>41</v>
      </c>
      <c r="K826" t="s">
        <v>55</v>
      </c>
      <c r="L826" t="s">
        <v>219</v>
      </c>
    </row>
    <row r="827" spans="1:12" x14ac:dyDescent="0.25">
      <c r="A827" t="s">
        <v>217</v>
      </c>
      <c r="B827">
        <v>129</v>
      </c>
      <c r="C827" t="s">
        <v>12</v>
      </c>
      <c r="D827">
        <v>1</v>
      </c>
      <c r="E827" t="s">
        <v>43</v>
      </c>
      <c r="F827">
        <v>0</v>
      </c>
      <c r="G827" t="s">
        <v>372</v>
      </c>
      <c r="H827">
        <v>1</v>
      </c>
      <c r="I827" t="s">
        <v>31</v>
      </c>
      <c r="J827" t="s">
        <v>45</v>
      </c>
      <c r="K827" t="s">
        <v>33</v>
      </c>
      <c r="L827" t="s">
        <v>219</v>
      </c>
    </row>
    <row r="828" spans="1:12" x14ac:dyDescent="0.25">
      <c r="A828" t="s">
        <v>217</v>
      </c>
      <c r="B828">
        <v>130</v>
      </c>
      <c r="C828" t="s">
        <v>12</v>
      </c>
      <c r="D828">
        <v>2</v>
      </c>
      <c r="E828" t="s">
        <v>43</v>
      </c>
      <c r="F828">
        <v>0</v>
      </c>
      <c r="G828" t="s">
        <v>372</v>
      </c>
      <c r="H828">
        <v>1</v>
      </c>
      <c r="I828" t="s">
        <v>31</v>
      </c>
      <c r="J828" t="s">
        <v>45</v>
      </c>
      <c r="K828" t="s">
        <v>33</v>
      </c>
      <c r="L828" t="s">
        <v>219</v>
      </c>
    </row>
    <row r="829" spans="1:12" x14ac:dyDescent="0.25">
      <c r="A829" t="s">
        <v>217</v>
      </c>
      <c r="B829">
        <v>131</v>
      </c>
      <c r="C829" t="s">
        <v>12</v>
      </c>
      <c r="D829">
        <v>3</v>
      </c>
      <c r="E829" t="s">
        <v>43</v>
      </c>
      <c r="G829" t="s">
        <v>372</v>
      </c>
      <c r="I829" t="s">
        <v>31</v>
      </c>
      <c r="J829" t="s">
        <v>45</v>
      </c>
      <c r="K829" t="s">
        <v>33</v>
      </c>
      <c r="L829" t="s">
        <v>219</v>
      </c>
    </row>
    <row r="830" spans="1:12" x14ac:dyDescent="0.25">
      <c r="A830" t="s">
        <v>217</v>
      </c>
      <c r="B830">
        <v>132</v>
      </c>
      <c r="C830" t="s">
        <v>18</v>
      </c>
      <c r="D830">
        <v>1</v>
      </c>
      <c r="E830" t="s">
        <v>43</v>
      </c>
      <c r="F830">
        <v>0</v>
      </c>
      <c r="G830" t="s">
        <v>372</v>
      </c>
      <c r="H830">
        <v>1</v>
      </c>
      <c r="I830" t="s">
        <v>31</v>
      </c>
      <c r="J830" t="s">
        <v>48</v>
      </c>
      <c r="K830" t="s">
        <v>36</v>
      </c>
      <c r="L830" t="s">
        <v>219</v>
      </c>
    </row>
    <row r="831" spans="1:12" x14ac:dyDescent="0.25">
      <c r="A831" t="s">
        <v>217</v>
      </c>
      <c r="B831">
        <v>133</v>
      </c>
      <c r="C831" t="s">
        <v>18</v>
      </c>
      <c r="D831">
        <v>2</v>
      </c>
      <c r="E831" t="s">
        <v>43</v>
      </c>
      <c r="F831">
        <v>0</v>
      </c>
      <c r="G831" t="s">
        <v>372</v>
      </c>
      <c r="H831">
        <v>1</v>
      </c>
      <c r="I831" t="s">
        <v>31</v>
      </c>
      <c r="J831" t="s">
        <v>48</v>
      </c>
      <c r="K831" t="s">
        <v>36</v>
      </c>
      <c r="L831" t="s">
        <v>219</v>
      </c>
    </row>
    <row r="832" spans="1:12" x14ac:dyDescent="0.25">
      <c r="A832" t="s">
        <v>217</v>
      </c>
      <c r="B832">
        <v>134</v>
      </c>
      <c r="C832" t="s">
        <v>18</v>
      </c>
      <c r="D832">
        <v>3</v>
      </c>
      <c r="E832" t="s">
        <v>43</v>
      </c>
      <c r="G832" t="s">
        <v>372</v>
      </c>
      <c r="I832" t="s">
        <v>31</v>
      </c>
      <c r="J832" t="s">
        <v>48</v>
      </c>
      <c r="K832" t="s">
        <v>36</v>
      </c>
      <c r="L832" t="s">
        <v>219</v>
      </c>
    </row>
    <row r="833" spans="1:12" x14ac:dyDescent="0.25">
      <c r="A833" t="s">
        <v>217</v>
      </c>
      <c r="B833">
        <v>135</v>
      </c>
      <c r="C833" t="s">
        <v>21</v>
      </c>
      <c r="D833">
        <v>1</v>
      </c>
      <c r="E833" t="s">
        <v>43</v>
      </c>
      <c r="F833">
        <v>0</v>
      </c>
      <c r="G833" t="s">
        <v>372</v>
      </c>
      <c r="H833">
        <v>1</v>
      </c>
      <c r="I833" t="s">
        <v>31</v>
      </c>
      <c r="J833" t="s">
        <v>50</v>
      </c>
      <c r="K833" t="s">
        <v>38</v>
      </c>
      <c r="L833" t="s">
        <v>219</v>
      </c>
    </row>
    <row r="834" spans="1:12" x14ac:dyDescent="0.25">
      <c r="A834" t="s">
        <v>217</v>
      </c>
      <c r="B834">
        <v>136</v>
      </c>
      <c r="C834" t="s">
        <v>21</v>
      </c>
      <c r="D834">
        <v>2</v>
      </c>
      <c r="E834" t="s">
        <v>43</v>
      </c>
      <c r="F834">
        <v>0</v>
      </c>
      <c r="G834" t="s">
        <v>372</v>
      </c>
      <c r="H834">
        <v>1</v>
      </c>
      <c r="I834" t="s">
        <v>31</v>
      </c>
      <c r="J834" t="s">
        <v>50</v>
      </c>
      <c r="K834" t="s">
        <v>38</v>
      </c>
      <c r="L834" t="s">
        <v>219</v>
      </c>
    </row>
    <row r="835" spans="1:12" x14ac:dyDescent="0.25">
      <c r="A835" t="s">
        <v>217</v>
      </c>
      <c r="B835">
        <v>137</v>
      </c>
      <c r="C835" t="s">
        <v>21</v>
      </c>
      <c r="D835">
        <v>3</v>
      </c>
      <c r="E835" t="s">
        <v>43</v>
      </c>
      <c r="G835" t="s">
        <v>372</v>
      </c>
      <c r="I835" t="s">
        <v>31</v>
      </c>
      <c r="J835" t="s">
        <v>50</v>
      </c>
      <c r="K835" t="s">
        <v>38</v>
      </c>
      <c r="L835" t="s">
        <v>219</v>
      </c>
    </row>
    <row r="836" spans="1:12" x14ac:dyDescent="0.25">
      <c r="A836" t="s">
        <v>217</v>
      </c>
      <c r="B836">
        <v>138</v>
      </c>
      <c r="C836" t="s">
        <v>24</v>
      </c>
      <c r="D836">
        <v>1</v>
      </c>
      <c r="E836" t="s">
        <v>43</v>
      </c>
      <c r="F836">
        <v>0</v>
      </c>
      <c r="G836" t="s">
        <v>372</v>
      </c>
      <c r="H836">
        <v>1</v>
      </c>
      <c r="I836" t="s">
        <v>31</v>
      </c>
      <c r="J836" t="s">
        <v>52</v>
      </c>
      <c r="K836" t="s">
        <v>40</v>
      </c>
      <c r="L836" t="s">
        <v>219</v>
      </c>
    </row>
    <row r="837" spans="1:12" x14ac:dyDescent="0.25">
      <c r="A837" t="s">
        <v>217</v>
      </c>
      <c r="B837">
        <v>139</v>
      </c>
      <c r="C837" t="s">
        <v>24</v>
      </c>
      <c r="D837">
        <v>2</v>
      </c>
      <c r="E837" t="s">
        <v>43</v>
      </c>
      <c r="F837">
        <v>0</v>
      </c>
      <c r="G837" t="s">
        <v>372</v>
      </c>
      <c r="H837">
        <v>1</v>
      </c>
      <c r="I837" t="s">
        <v>31</v>
      </c>
      <c r="J837" t="s">
        <v>52</v>
      </c>
      <c r="K837" t="s">
        <v>40</v>
      </c>
      <c r="L837" t="s">
        <v>219</v>
      </c>
    </row>
    <row r="838" spans="1:12" x14ac:dyDescent="0.25">
      <c r="A838" t="s">
        <v>217</v>
      </c>
      <c r="B838">
        <v>140</v>
      </c>
      <c r="C838" t="s">
        <v>24</v>
      </c>
      <c r="D838">
        <v>3</v>
      </c>
      <c r="E838" t="s">
        <v>43</v>
      </c>
      <c r="G838" t="s">
        <v>372</v>
      </c>
      <c r="I838" t="s">
        <v>31</v>
      </c>
      <c r="J838" t="s">
        <v>52</v>
      </c>
      <c r="K838" t="s">
        <v>40</v>
      </c>
      <c r="L838" t="s">
        <v>219</v>
      </c>
    </row>
    <row r="839" spans="1:12" x14ac:dyDescent="0.25">
      <c r="A839" t="s">
        <v>217</v>
      </c>
      <c r="B839">
        <v>141</v>
      </c>
      <c r="C839" t="s">
        <v>27</v>
      </c>
      <c r="D839">
        <v>1</v>
      </c>
      <c r="E839" t="s">
        <v>43</v>
      </c>
      <c r="F839">
        <v>1</v>
      </c>
      <c r="G839" t="s">
        <v>372</v>
      </c>
      <c r="H839">
        <v>0</v>
      </c>
      <c r="I839" t="s">
        <v>31</v>
      </c>
      <c r="J839" t="s">
        <v>54</v>
      </c>
      <c r="K839" t="s">
        <v>42</v>
      </c>
      <c r="L839" t="s">
        <v>219</v>
      </c>
    </row>
    <row r="840" spans="1:12" x14ac:dyDescent="0.25">
      <c r="A840" t="s">
        <v>217</v>
      </c>
      <c r="B840">
        <v>142</v>
      </c>
      <c r="C840" t="s">
        <v>27</v>
      </c>
      <c r="D840">
        <v>2</v>
      </c>
      <c r="E840" t="s">
        <v>43</v>
      </c>
      <c r="F840">
        <v>1</v>
      </c>
      <c r="G840" t="s">
        <v>372</v>
      </c>
      <c r="H840">
        <v>0</v>
      </c>
      <c r="I840" t="s">
        <v>31</v>
      </c>
      <c r="J840" t="s">
        <v>54</v>
      </c>
      <c r="K840" t="s">
        <v>42</v>
      </c>
      <c r="L840" t="s">
        <v>219</v>
      </c>
    </row>
    <row r="841" spans="1:12" x14ac:dyDescent="0.25">
      <c r="A841" t="s">
        <v>217</v>
      </c>
      <c r="B841">
        <v>143</v>
      </c>
      <c r="C841" t="s">
        <v>27</v>
      </c>
      <c r="D841">
        <v>3</v>
      </c>
      <c r="E841" t="s">
        <v>43</v>
      </c>
      <c r="G841" t="s">
        <v>372</v>
      </c>
      <c r="I841" t="s">
        <v>31</v>
      </c>
      <c r="J841" t="s">
        <v>54</v>
      </c>
      <c r="K841" t="s">
        <v>42</v>
      </c>
      <c r="L841" t="s">
        <v>219</v>
      </c>
    </row>
    <row r="842" spans="1:12" x14ac:dyDescent="0.25">
      <c r="A842" t="s">
        <v>217</v>
      </c>
      <c r="B842">
        <v>147</v>
      </c>
      <c r="C842" t="s">
        <v>12</v>
      </c>
      <c r="D842">
        <v>1</v>
      </c>
      <c r="E842" t="s">
        <v>70</v>
      </c>
      <c r="F842">
        <v>22</v>
      </c>
      <c r="G842" t="s">
        <v>372</v>
      </c>
      <c r="H842">
        <v>24</v>
      </c>
      <c r="I842" t="s">
        <v>56</v>
      </c>
      <c r="J842" t="s">
        <v>72</v>
      </c>
      <c r="K842" t="s">
        <v>58</v>
      </c>
      <c r="L842" t="s">
        <v>220</v>
      </c>
    </row>
    <row r="843" spans="1:12" x14ac:dyDescent="0.25">
      <c r="A843" t="s">
        <v>217</v>
      </c>
      <c r="B843">
        <v>148</v>
      </c>
      <c r="C843" t="s">
        <v>12</v>
      </c>
      <c r="D843">
        <v>2</v>
      </c>
      <c r="E843" t="s">
        <v>70</v>
      </c>
      <c r="F843">
        <v>0</v>
      </c>
      <c r="G843" t="s">
        <v>372</v>
      </c>
      <c r="H843">
        <v>1</v>
      </c>
      <c r="I843" t="s">
        <v>56</v>
      </c>
      <c r="J843" t="s">
        <v>72</v>
      </c>
      <c r="K843" t="s">
        <v>58</v>
      </c>
      <c r="L843" t="s">
        <v>220</v>
      </c>
    </row>
    <row r="844" spans="1:12" x14ac:dyDescent="0.25">
      <c r="A844" t="s">
        <v>217</v>
      </c>
      <c r="B844">
        <v>149</v>
      </c>
      <c r="C844" t="s">
        <v>12</v>
      </c>
      <c r="D844">
        <v>3</v>
      </c>
      <c r="E844" t="s">
        <v>70</v>
      </c>
      <c r="G844" t="s">
        <v>372</v>
      </c>
      <c r="I844" t="s">
        <v>56</v>
      </c>
      <c r="J844" t="s">
        <v>72</v>
      </c>
      <c r="K844" t="s">
        <v>58</v>
      </c>
      <c r="L844" t="s">
        <v>220</v>
      </c>
    </row>
    <row r="845" spans="1:12" x14ac:dyDescent="0.25">
      <c r="A845" t="s">
        <v>217</v>
      </c>
      <c r="B845">
        <v>150</v>
      </c>
      <c r="C845" t="s">
        <v>18</v>
      </c>
      <c r="D845">
        <v>1</v>
      </c>
      <c r="E845" t="s">
        <v>70</v>
      </c>
      <c r="F845">
        <v>21</v>
      </c>
      <c r="G845" t="s">
        <v>372</v>
      </c>
      <c r="H845">
        <v>16</v>
      </c>
      <c r="I845" t="s">
        <v>56</v>
      </c>
      <c r="J845" t="s">
        <v>75</v>
      </c>
      <c r="K845" t="s">
        <v>61</v>
      </c>
      <c r="L845" t="s">
        <v>220</v>
      </c>
    </row>
    <row r="846" spans="1:12" x14ac:dyDescent="0.25">
      <c r="A846" t="s">
        <v>217</v>
      </c>
      <c r="B846">
        <v>151</v>
      </c>
      <c r="C846" t="s">
        <v>18</v>
      </c>
      <c r="D846">
        <v>2</v>
      </c>
      <c r="E846" t="s">
        <v>70</v>
      </c>
      <c r="F846">
        <v>1</v>
      </c>
      <c r="G846" t="s">
        <v>372</v>
      </c>
      <c r="H846">
        <v>0</v>
      </c>
      <c r="I846" t="s">
        <v>56</v>
      </c>
      <c r="J846" t="s">
        <v>75</v>
      </c>
      <c r="K846" t="s">
        <v>61</v>
      </c>
      <c r="L846" t="s">
        <v>220</v>
      </c>
    </row>
    <row r="847" spans="1:12" x14ac:dyDescent="0.25">
      <c r="A847" t="s">
        <v>217</v>
      </c>
      <c r="B847">
        <v>152</v>
      </c>
      <c r="C847" t="s">
        <v>18</v>
      </c>
      <c r="D847">
        <v>3</v>
      </c>
      <c r="E847" t="s">
        <v>70</v>
      </c>
      <c r="G847" t="s">
        <v>372</v>
      </c>
      <c r="I847" t="s">
        <v>56</v>
      </c>
      <c r="J847" t="s">
        <v>75</v>
      </c>
      <c r="K847" t="s">
        <v>61</v>
      </c>
      <c r="L847" t="s">
        <v>220</v>
      </c>
    </row>
    <row r="848" spans="1:12" x14ac:dyDescent="0.25">
      <c r="A848" t="s">
        <v>217</v>
      </c>
      <c r="B848">
        <v>153</v>
      </c>
      <c r="C848" t="s">
        <v>21</v>
      </c>
      <c r="D848">
        <v>1</v>
      </c>
      <c r="E848" t="s">
        <v>70</v>
      </c>
      <c r="F848">
        <v>21</v>
      </c>
      <c r="G848" t="s">
        <v>372</v>
      </c>
      <c r="H848">
        <v>14</v>
      </c>
      <c r="I848" t="s">
        <v>56</v>
      </c>
      <c r="J848" t="s">
        <v>77</v>
      </c>
      <c r="K848" t="s">
        <v>63</v>
      </c>
      <c r="L848" t="s">
        <v>220</v>
      </c>
    </row>
    <row r="849" spans="1:12" x14ac:dyDescent="0.25">
      <c r="A849" t="s">
        <v>217</v>
      </c>
      <c r="B849">
        <v>154</v>
      </c>
      <c r="C849" t="s">
        <v>21</v>
      </c>
      <c r="D849">
        <v>2</v>
      </c>
      <c r="E849" t="s">
        <v>70</v>
      </c>
      <c r="F849">
        <v>1</v>
      </c>
      <c r="G849" t="s">
        <v>372</v>
      </c>
      <c r="H849">
        <v>0</v>
      </c>
      <c r="I849" t="s">
        <v>56</v>
      </c>
      <c r="J849" t="s">
        <v>77</v>
      </c>
      <c r="K849" t="s">
        <v>63</v>
      </c>
      <c r="L849" t="s">
        <v>220</v>
      </c>
    </row>
    <row r="850" spans="1:12" x14ac:dyDescent="0.25">
      <c r="A850" t="s">
        <v>217</v>
      </c>
      <c r="B850">
        <v>155</v>
      </c>
      <c r="C850" t="s">
        <v>21</v>
      </c>
      <c r="D850">
        <v>3</v>
      </c>
      <c r="E850" t="s">
        <v>70</v>
      </c>
      <c r="G850" t="s">
        <v>372</v>
      </c>
      <c r="I850" t="s">
        <v>56</v>
      </c>
      <c r="J850" t="s">
        <v>77</v>
      </c>
      <c r="K850" t="s">
        <v>63</v>
      </c>
      <c r="L850" t="s">
        <v>220</v>
      </c>
    </row>
    <row r="851" spans="1:12" x14ac:dyDescent="0.25">
      <c r="A851" t="s">
        <v>217</v>
      </c>
      <c r="B851">
        <v>156</v>
      </c>
      <c r="C851" t="s">
        <v>24</v>
      </c>
      <c r="D851">
        <v>1</v>
      </c>
      <c r="E851" t="s">
        <v>70</v>
      </c>
      <c r="F851">
        <v>21</v>
      </c>
      <c r="G851" t="s">
        <v>372</v>
      </c>
      <c r="H851">
        <v>23</v>
      </c>
      <c r="I851" t="s">
        <v>56</v>
      </c>
      <c r="J851" t="s">
        <v>79</v>
      </c>
      <c r="K851" t="s">
        <v>65</v>
      </c>
      <c r="L851" t="s">
        <v>220</v>
      </c>
    </row>
    <row r="852" spans="1:12" x14ac:dyDescent="0.25">
      <c r="A852" t="s">
        <v>217</v>
      </c>
      <c r="B852">
        <v>157</v>
      </c>
      <c r="C852" t="s">
        <v>24</v>
      </c>
      <c r="D852">
        <v>2</v>
      </c>
      <c r="E852" t="s">
        <v>70</v>
      </c>
      <c r="F852">
        <v>0</v>
      </c>
      <c r="G852" t="s">
        <v>372</v>
      </c>
      <c r="H852">
        <v>1</v>
      </c>
      <c r="I852" t="s">
        <v>56</v>
      </c>
      <c r="J852" t="s">
        <v>79</v>
      </c>
      <c r="K852" t="s">
        <v>65</v>
      </c>
      <c r="L852" t="s">
        <v>220</v>
      </c>
    </row>
    <row r="853" spans="1:12" x14ac:dyDescent="0.25">
      <c r="A853" t="s">
        <v>217</v>
      </c>
      <c r="B853">
        <v>158</v>
      </c>
      <c r="C853" t="s">
        <v>24</v>
      </c>
      <c r="D853">
        <v>3</v>
      </c>
      <c r="E853" t="s">
        <v>70</v>
      </c>
      <c r="G853" t="s">
        <v>372</v>
      </c>
      <c r="I853" t="s">
        <v>56</v>
      </c>
      <c r="J853" t="s">
        <v>79</v>
      </c>
      <c r="K853" t="s">
        <v>65</v>
      </c>
      <c r="L853" t="s">
        <v>220</v>
      </c>
    </row>
    <row r="854" spans="1:12" x14ac:dyDescent="0.25">
      <c r="A854" t="s">
        <v>217</v>
      </c>
      <c r="B854">
        <v>159</v>
      </c>
      <c r="C854" t="s">
        <v>27</v>
      </c>
      <c r="D854">
        <v>1</v>
      </c>
      <c r="E854" t="s">
        <v>70</v>
      </c>
      <c r="F854">
        <v>17</v>
      </c>
      <c r="G854" t="s">
        <v>372</v>
      </c>
      <c r="H854">
        <v>21</v>
      </c>
      <c r="I854" t="s">
        <v>56</v>
      </c>
      <c r="J854" t="s">
        <v>81</v>
      </c>
      <c r="K854" t="s">
        <v>67</v>
      </c>
      <c r="L854" t="s">
        <v>220</v>
      </c>
    </row>
    <row r="855" spans="1:12" x14ac:dyDescent="0.25">
      <c r="A855" t="s">
        <v>217</v>
      </c>
      <c r="B855">
        <v>160</v>
      </c>
      <c r="C855" t="s">
        <v>27</v>
      </c>
      <c r="D855">
        <v>2</v>
      </c>
      <c r="E855" t="s">
        <v>70</v>
      </c>
      <c r="F855">
        <v>0</v>
      </c>
      <c r="G855" t="s">
        <v>372</v>
      </c>
      <c r="H855">
        <v>1</v>
      </c>
      <c r="I855" t="s">
        <v>56</v>
      </c>
      <c r="J855" t="s">
        <v>81</v>
      </c>
      <c r="K855" t="s">
        <v>67</v>
      </c>
      <c r="L855" t="s">
        <v>220</v>
      </c>
    </row>
    <row r="856" spans="1:12" x14ac:dyDescent="0.25">
      <c r="A856" t="s">
        <v>217</v>
      </c>
      <c r="B856">
        <v>161</v>
      </c>
      <c r="C856" t="s">
        <v>27</v>
      </c>
      <c r="D856">
        <v>3</v>
      </c>
      <c r="E856" t="s">
        <v>70</v>
      </c>
      <c r="G856" t="s">
        <v>372</v>
      </c>
      <c r="I856" t="s">
        <v>56</v>
      </c>
      <c r="J856" t="s">
        <v>81</v>
      </c>
      <c r="K856" t="s">
        <v>67</v>
      </c>
      <c r="L856" t="s">
        <v>220</v>
      </c>
    </row>
    <row r="857" spans="1:12" x14ac:dyDescent="0.25">
      <c r="A857" t="s">
        <v>217</v>
      </c>
      <c r="B857">
        <v>165</v>
      </c>
      <c r="C857" t="s">
        <v>12</v>
      </c>
      <c r="D857">
        <v>1</v>
      </c>
      <c r="E857" t="s">
        <v>57</v>
      </c>
      <c r="F857">
        <v>21</v>
      </c>
      <c r="G857" t="s">
        <v>372</v>
      </c>
      <c r="H857">
        <v>19</v>
      </c>
      <c r="I857" t="s">
        <v>69</v>
      </c>
      <c r="J857" t="s">
        <v>59</v>
      </c>
      <c r="K857" t="s">
        <v>71</v>
      </c>
      <c r="L857" t="s">
        <v>220</v>
      </c>
    </row>
    <row r="858" spans="1:12" x14ac:dyDescent="0.25">
      <c r="A858" t="s">
        <v>217</v>
      </c>
      <c r="B858">
        <v>166</v>
      </c>
      <c r="C858" t="s">
        <v>12</v>
      </c>
      <c r="D858">
        <v>2</v>
      </c>
      <c r="E858" t="s">
        <v>57</v>
      </c>
      <c r="F858">
        <v>1</v>
      </c>
      <c r="G858" t="s">
        <v>372</v>
      </c>
      <c r="H858">
        <v>0</v>
      </c>
      <c r="I858" t="s">
        <v>69</v>
      </c>
      <c r="J858" t="s">
        <v>59</v>
      </c>
      <c r="K858" t="s">
        <v>71</v>
      </c>
      <c r="L858" t="s">
        <v>220</v>
      </c>
    </row>
    <row r="859" spans="1:12" x14ac:dyDescent="0.25">
      <c r="A859" t="s">
        <v>217</v>
      </c>
      <c r="B859">
        <v>167</v>
      </c>
      <c r="C859" t="s">
        <v>12</v>
      </c>
      <c r="D859">
        <v>3</v>
      </c>
      <c r="E859" t="s">
        <v>57</v>
      </c>
      <c r="G859" t="s">
        <v>372</v>
      </c>
      <c r="I859" t="s">
        <v>69</v>
      </c>
      <c r="J859" t="s">
        <v>59</v>
      </c>
      <c r="K859" t="s">
        <v>71</v>
      </c>
      <c r="L859" t="s">
        <v>220</v>
      </c>
    </row>
    <row r="860" spans="1:12" x14ac:dyDescent="0.25">
      <c r="A860" t="s">
        <v>217</v>
      </c>
      <c r="B860">
        <v>168</v>
      </c>
      <c r="C860" t="s">
        <v>18</v>
      </c>
      <c r="D860">
        <v>1</v>
      </c>
      <c r="E860" t="s">
        <v>57</v>
      </c>
      <c r="F860">
        <v>21</v>
      </c>
      <c r="G860" t="s">
        <v>372</v>
      </c>
      <c r="H860">
        <v>14</v>
      </c>
      <c r="I860" t="s">
        <v>69</v>
      </c>
      <c r="J860" t="s">
        <v>62</v>
      </c>
      <c r="K860" t="s">
        <v>74</v>
      </c>
      <c r="L860" t="s">
        <v>220</v>
      </c>
    </row>
    <row r="861" spans="1:12" x14ac:dyDescent="0.25">
      <c r="A861" t="s">
        <v>217</v>
      </c>
      <c r="B861">
        <v>169</v>
      </c>
      <c r="C861" t="s">
        <v>18</v>
      </c>
      <c r="D861">
        <v>2</v>
      </c>
      <c r="E861" t="s">
        <v>57</v>
      </c>
      <c r="F861">
        <v>1</v>
      </c>
      <c r="G861" t="s">
        <v>372</v>
      </c>
      <c r="H861">
        <v>0</v>
      </c>
      <c r="I861" t="s">
        <v>69</v>
      </c>
      <c r="J861" t="s">
        <v>62</v>
      </c>
      <c r="K861" t="s">
        <v>74</v>
      </c>
      <c r="L861" t="s">
        <v>220</v>
      </c>
    </row>
    <row r="862" spans="1:12" x14ac:dyDescent="0.25">
      <c r="A862" t="s">
        <v>217</v>
      </c>
      <c r="B862">
        <v>170</v>
      </c>
      <c r="C862" t="s">
        <v>18</v>
      </c>
      <c r="D862">
        <v>3</v>
      </c>
      <c r="E862" t="s">
        <v>57</v>
      </c>
      <c r="G862" t="s">
        <v>372</v>
      </c>
      <c r="I862" t="s">
        <v>69</v>
      </c>
      <c r="J862" t="s">
        <v>62</v>
      </c>
      <c r="K862" t="s">
        <v>74</v>
      </c>
      <c r="L862" t="s">
        <v>220</v>
      </c>
    </row>
    <row r="863" spans="1:12" x14ac:dyDescent="0.25">
      <c r="A863" t="s">
        <v>217</v>
      </c>
      <c r="B863">
        <v>171</v>
      </c>
      <c r="C863" t="s">
        <v>21</v>
      </c>
      <c r="D863">
        <v>1</v>
      </c>
      <c r="E863" t="s">
        <v>57</v>
      </c>
      <c r="F863">
        <v>19</v>
      </c>
      <c r="G863" t="s">
        <v>372</v>
      </c>
      <c r="H863">
        <v>21</v>
      </c>
      <c r="I863" t="s">
        <v>69</v>
      </c>
      <c r="J863" t="s">
        <v>64</v>
      </c>
      <c r="K863" t="s">
        <v>76</v>
      </c>
      <c r="L863" t="s">
        <v>220</v>
      </c>
    </row>
    <row r="864" spans="1:12" x14ac:dyDescent="0.25">
      <c r="A864" t="s">
        <v>217</v>
      </c>
      <c r="B864">
        <v>172</v>
      </c>
      <c r="C864" t="s">
        <v>21</v>
      </c>
      <c r="D864">
        <v>2</v>
      </c>
      <c r="E864" t="s">
        <v>57</v>
      </c>
      <c r="F864">
        <v>0</v>
      </c>
      <c r="G864" t="s">
        <v>372</v>
      </c>
      <c r="H864">
        <v>1</v>
      </c>
      <c r="I864" t="s">
        <v>69</v>
      </c>
      <c r="J864" t="s">
        <v>64</v>
      </c>
      <c r="K864" t="s">
        <v>76</v>
      </c>
      <c r="L864" t="s">
        <v>220</v>
      </c>
    </row>
    <row r="865" spans="1:12" x14ac:dyDescent="0.25">
      <c r="A865" t="s">
        <v>217</v>
      </c>
      <c r="B865">
        <v>173</v>
      </c>
      <c r="C865" t="s">
        <v>21</v>
      </c>
      <c r="D865">
        <v>3</v>
      </c>
      <c r="E865" t="s">
        <v>57</v>
      </c>
      <c r="G865" t="s">
        <v>372</v>
      </c>
      <c r="I865" t="s">
        <v>69</v>
      </c>
      <c r="J865" t="s">
        <v>64</v>
      </c>
      <c r="K865" t="s">
        <v>76</v>
      </c>
      <c r="L865" t="s">
        <v>220</v>
      </c>
    </row>
    <row r="866" spans="1:12" x14ac:dyDescent="0.25">
      <c r="A866" t="s">
        <v>217</v>
      </c>
      <c r="B866">
        <v>174</v>
      </c>
      <c r="C866" t="s">
        <v>24</v>
      </c>
      <c r="D866">
        <v>1</v>
      </c>
      <c r="E866" t="s">
        <v>57</v>
      </c>
      <c r="F866">
        <v>18</v>
      </c>
      <c r="G866" t="s">
        <v>372</v>
      </c>
      <c r="H866">
        <v>21</v>
      </c>
      <c r="I866" t="s">
        <v>69</v>
      </c>
      <c r="J866" t="s">
        <v>66</v>
      </c>
      <c r="K866" t="s">
        <v>78</v>
      </c>
      <c r="L866" t="s">
        <v>220</v>
      </c>
    </row>
    <row r="867" spans="1:12" x14ac:dyDescent="0.25">
      <c r="A867" t="s">
        <v>217</v>
      </c>
      <c r="B867">
        <v>175</v>
      </c>
      <c r="C867" t="s">
        <v>24</v>
      </c>
      <c r="D867">
        <v>2</v>
      </c>
      <c r="E867" t="s">
        <v>57</v>
      </c>
      <c r="F867">
        <v>0</v>
      </c>
      <c r="G867" t="s">
        <v>372</v>
      </c>
      <c r="H867">
        <v>1</v>
      </c>
      <c r="I867" t="s">
        <v>69</v>
      </c>
      <c r="J867" t="s">
        <v>66</v>
      </c>
      <c r="K867" t="s">
        <v>78</v>
      </c>
      <c r="L867" t="s">
        <v>220</v>
      </c>
    </row>
    <row r="868" spans="1:12" x14ac:dyDescent="0.25">
      <c r="A868" t="s">
        <v>217</v>
      </c>
      <c r="B868">
        <v>176</v>
      </c>
      <c r="C868" t="s">
        <v>24</v>
      </c>
      <c r="D868">
        <v>3</v>
      </c>
      <c r="E868" t="s">
        <v>57</v>
      </c>
      <c r="G868" t="s">
        <v>372</v>
      </c>
      <c r="I868" t="s">
        <v>69</v>
      </c>
      <c r="J868" t="s">
        <v>66</v>
      </c>
      <c r="K868" t="s">
        <v>78</v>
      </c>
      <c r="L868" t="s">
        <v>220</v>
      </c>
    </row>
    <row r="869" spans="1:12" x14ac:dyDescent="0.25">
      <c r="A869" t="s">
        <v>217</v>
      </c>
      <c r="B869">
        <v>177</v>
      </c>
      <c r="C869" t="s">
        <v>27</v>
      </c>
      <c r="D869">
        <v>1</v>
      </c>
      <c r="E869" t="s">
        <v>57</v>
      </c>
      <c r="F869">
        <v>21</v>
      </c>
      <c r="G869" t="s">
        <v>372</v>
      </c>
      <c r="H869">
        <v>10</v>
      </c>
      <c r="I869" t="s">
        <v>69</v>
      </c>
      <c r="J869" t="s">
        <v>68</v>
      </c>
      <c r="K869" t="s">
        <v>80</v>
      </c>
      <c r="L869" t="s">
        <v>220</v>
      </c>
    </row>
    <row r="870" spans="1:12" x14ac:dyDescent="0.25">
      <c r="A870" t="s">
        <v>217</v>
      </c>
      <c r="B870">
        <v>178</v>
      </c>
      <c r="C870" t="s">
        <v>27</v>
      </c>
      <c r="D870">
        <v>2</v>
      </c>
      <c r="E870" t="s">
        <v>57</v>
      </c>
      <c r="F870">
        <v>1</v>
      </c>
      <c r="G870" t="s">
        <v>372</v>
      </c>
      <c r="H870">
        <v>0</v>
      </c>
      <c r="I870" t="s">
        <v>69</v>
      </c>
      <c r="J870" t="s">
        <v>68</v>
      </c>
      <c r="K870" t="s">
        <v>80</v>
      </c>
      <c r="L870" t="s">
        <v>220</v>
      </c>
    </row>
    <row r="871" spans="1:12" x14ac:dyDescent="0.25">
      <c r="A871" t="s">
        <v>217</v>
      </c>
      <c r="B871">
        <v>179</v>
      </c>
      <c r="C871" t="s">
        <v>27</v>
      </c>
      <c r="D871">
        <v>3</v>
      </c>
      <c r="E871" t="s">
        <v>57</v>
      </c>
      <c r="G871" t="s">
        <v>372</v>
      </c>
      <c r="I871" t="s">
        <v>69</v>
      </c>
      <c r="J871" t="s">
        <v>68</v>
      </c>
      <c r="K871" t="s">
        <v>80</v>
      </c>
      <c r="L871" t="s">
        <v>220</v>
      </c>
    </row>
    <row r="872" spans="1:12" x14ac:dyDescent="0.25">
      <c r="A872" t="s">
        <v>217</v>
      </c>
      <c r="B872">
        <v>183</v>
      </c>
      <c r="C872" t="s">
        <v>12</v>
      </c>
      <c r="D872">
        <v>1</v>
      </c>
      <c r="E872" t="s">
        <v>82</v>
      </c>
      <c r="F872">
        <v>18</v>
      </c>
      <c r="G872" t="s">
        <v>372</v>
      </c>
      <c r="H872">
        <v>21</v>
      </c>
      <c r="I872" t="s">
        <v>96</v>
      </c>
      <c r="J872" t="s">
        <v>84</v>
      </c>
      <c r="K872" t="s">
        <v>98</v>
      </c>
      <c r="L872" t="s">
        <v>223</v>
      </c>
    </row>
    <row r="873" spans="1:12" x14ac:dyDescent="0.25">
      <c r="A873" t="s">
        <v>217</v>
      </c>
      <c r="B873">
        <v>184</v>
      </c>
      <c r="C873" t="s">
        <v>12</v>
      </c>
      <c r="D873">
        <v>2</v>
      </c>
      <c r="E873" t="s">
        <v>82</v>
      </c>
      <c r="F873">
        <v>0</v>
      </c>
      <c r="G873" t="s">
        <v>372</v>
      </c>
      <c r="H873">
        <v>1</v>
      </c>
      <c r="I873" t="s">
        <v>96</v>
      </c>
      <c r="J873" t="s">
        <v>84</v>
      </c>
      <c r="K873" t="s">
        <v>98</v>
      </c>
      <c r="L873" t="s">
        <v>223</v>
      </c>
    </row>
    <row r="874" spans="1:12" x14ac:dyDescent="0.25">
      <c r="A874" t="s">
        <v>217</v>
      </c>
      <c r="B874">
        <v>185</v>
      </c>
      <c r="C874" t="s">
        <v>12</v>
      </c>
      <c r="D874">
        <v>3</v>
      </c>
      <c r="E874" t="s">
        <v>82</v>
      </c>
      <c r="G874" t="s">
        <v>372</v>
      </c>
      <c r="I874" t="s">
        <v>96</v>
      </c>
      <c r="J874" t="s">
        <v>84</v>
      </c>
      <c r="K874" t="s">
        <v>98</v>
      </c>
      <c r="L874" t="s">
        <v>223</v>
      </c>
    </row>
    <row r="875" spans="1:12" x14ac:dyDescent="0.25">
      <c r="A875" t="s">
        <v>217</v>
      </c>
      <c r="B875">
        <v>186</v>
      </c>
      <c r="C875" t="s">
        <v>18</v>
      </c>
      <c r="D875">
        <v>1</v>
      </c>
      <c r="E875" t="s">
        <v>82</v>
      </c>
      <c r="F875">
        <v>22</v>
      </c>
      <c r="G875" t="s">
        <v>372</v>
      </c>
      <c r="H875">
        <v>20</v>
      </c>
      <c r="I875" t="s">
        <v>96</v>
      </c>
      <c r="J875" t="s">
        <v>87</v>
      </c>
      <c r="K875" t="s">
        <v>101</v>
      </c>
      <c r="L875" t="s">
        <v>223</v>
      </c>
    </row>
    <row r="876" spans="1:12" x14ac:dyDescent="0.25">
      <c r="A876" t="s">
        <v>217</v>
      </c>
      <c r="B876">
        <v>187</v>
      </c>
      <c r="C876" t="s">
        <v>18</v>
      </c>
      <c r="D876">
        <v>2</v>
      </c>
      <c r="E876" t="s">
        <v>82</v>
      </c>
      <c r="F876">
        <v>1</v>
      </c>
      <c r="G876" t="s">
        <v>372</v>
      </c>
      <c r="H876">
        <v>0</v>
      </c>
      <c r="I876" t="s">
        <v>96</v>
      </c>
      <c r="J876" t="s">
        <v>87</v>
      </c>
      <c r="K876" t="s">
        <v>101</v>
      </c>
      <c r="L876" t="s">
        <v>223</v>
      </c>
    </row>
    <row r="877" spans="1:12" x14ac:dyDescent="0.25">
      <c r="A877" t="s">
        <v>217</v>
      </c>
      <c r="B877">
        <v>188</v>
      </c>
      <c r="C877" t="s">
        <v>18</v>
      </c>
      <c r="D877">
        <v>3</v>
      </c>
      <c r="E877" t="s">
        <v>82</v>
      </c>
      <c r="G877" t="s">
        <v>372</v>
      </c>
      <c r="I877" t="s">
        <v>96</v>
      </c>
      <c r="J877" t="s">
        <v>87</v>
      </c>
      <c r="K877" t="s">
        <v>101</v>
      </c>
      <c r="L877" t="s">
        <v>223</v>
      </c>
    </row>
    <row r="878" spans="1:12" x14ac:dyDescent="0.25">
      <c r="A878" t="s">
        <v>217</v>
      </c>
      <c r="B878">
        <v>189</v>
      </c>
      <c r="C878" t="s">
        <v>21</v>
      </c>
      <c r="D878">
        <v>1</v>
      </c>
      <c r="E878" t="s">
        <v>82</v>
      </c>
      <c r="F878">
        <v>24</v>
      </c>
      <c r="G878" t="s">
        <v>372</v>
      </c>
      <c r="H878">
        <v>22</v>
      </c>
      <c r="I878" t="s">
        <v>96</v>
      </c>
      <c r="J878" t="s">
        <v>89</v>
      </c>
      <c r="K878" t="s">
        <v>103</v>
      </c>
      <c r="L878" t="s">
        <v>223</v>
      </c>
    </row>
    <row r="879" spans="1:12" x14ac:dyDescent="0.25">
      <c r="A879" t="s">
        <v>217</v>
      </c>
      <c r="B879">
        <v>190</v>
      </c>
      <c r="C879" t="s">
        <v>21</v>
      </c>
      <c r="D879">
        <v>2</v>
      </c>
      <c r="E879" t="s">
        <v>82</v>
      </c>
      <c r="F879">
        <v>1</v>
      </c>
      <c r="G879" t="s">
        <v>372</v>
      </c>
      <c r="H879">
        <v>0</v>
      </c>
      <c r="I879" t="s">
        <v>96</v>
      </c>
      <c r="J879" t="s">
        <v>89</v>
      </c>
      <c r="K879" t="s">
        <v>103</v>
      </c>
      <c r="L879" t="s">
        <v>223</v>
      </c>
    </row>
    <row r="880" spans="1:12" x14ac:dyDescent="0.25">
      <c r="A880" t="s">
        <v>217</v>
      </c>
      <c r="B880">
        <v>191</v>
      </c>
      <c r="C880" t="s">
        <v>21</v>
      </c>
      <c r="D880">
        <v>3</v>
      </c>
      <c r="E880" t="s">
        <v>82</v>
      </c>
      <c r="G880" t="s">
        <v>372</v>
      </c>
      <c r="I880" t="s">
        <v>96</v>
      </c>
      <c r="J880" t="s">
        <v>89</v>
      </c>
      <c r="K880" t="s">
        <v>103</v>
      </c>
      <c r="L880" t="s">
        <v>223</v>
      </c>
    </row>
    <row r="881" spans="1:12" x14ac:dyDescent="0.25">
      <c r="A881" t="s">
        <v>217</v>
      </c>
      <c r="B881">
        <v>192</v>
      </c>
      <c r="C881" t="s">
        <v>24</v>
      </c>
      <c r="D881">
        <v>1</v>
      </c>
      <c r="E881" t="s">
        <v>82</v>
      </c>
      <c r="F881">
        <v>23</v>
      </c>
      <c r="G881" t="s">
        <v>372</v>
      </c>
      <c r="H881">
        <v>21</v>
      </c>
      <c r="I881" t="s">
        <v>96</v>
      </c>
      <c r="J881" t="s">
        <v>91</v>
      </c>
      <c r="K881" t="s">
        <v>105</v>
      </c>
      <c r="L881" t="s">
        <v>223</v>
      </c>
    </row>
    <row r="882" spans="1:12" x14ac:dyDescent="0.25">
      <c r="A882" t="s">
        <v>217</v>
      </c>
      <c r="B882">
        <v>193</v>
      </c>
      <c r="C882" t="s">
        <v>24</v>
      </c>
      <c r="D882">
        <v>2</v>
      </c>
      <c r="E882" t="s">
        <v>82</v>
      </c>
      <c r="F882">
        <v>1</v>
      </c>
      <c r="G882" t="s">
        <v>372</v>
      </c>
      <c r="H882">
        <v>0</v>
      </c>
      <c r="I882" t="s">
        <v>96</v>
      </c>
      <c r="J882" t="s">
        <v>91</v>
      </c>
      <c r="K882" t="s">
        <v>105</v>
      </c>
      <c r="L882" t="s">
        <v>223</v>
      </c>
    </row>
    <row r="883" spans="1:12" x14ac:dyDescent="0.25">
      <c r="A883" t="s">
        <v>217</v>
      </c>
      <c r="B883">
        <v>194</v>
      </c>
      <c r="C883" t="s">
        <v>24</v>
      </c>
      <c r="D883">
        <v>3</v>
      </c>
      <c r="E883" t="s">
        <v>82</v>
      </c>
      <c r="G883" t="s">
        <v>372</v>
      </c>
      <c r="I883" t="s">
        <v>96</v>
      </c>
      <c r="J883" t="s">
        <v>91</v>
      </c>
      <c r="K883" t="s">
        <v>105</v>
      </c>
      <c r="L883" t="s">
        <v>223</v>
      </c>
    </row>
    <row r="884" spans="1:12" x14ac:dyDescent="0.25">
      <c r="A884" t="s">
        <v>217</v>
      </c>
      <c r="B884">
        <v>195</v>
      </c>
      <c r="C884" t="s">
        <v>27</v>
      </c>
      <c r="D884">
        <v>1</v>
      </c>
      <c r="E884" t="s">
        <v>82</v>
      </c>
      <c r="F884">
        <v>19</v>
      </c>
      <c r="G884" t="s">
        <v>372</v>
      </c>
      <c r="H884">
        <v>21</v>
      </c>
      <c r="I884" t="s">
        <v>96</v>
      </c>
      <c r="J884" t="s">
        <v>93</v>
      </c>
      <c r="K884" t="s">
        <v>107</v>
      </c>
      <c r="L884" t="s">
        <v>223</v>
      </c>
    </row>
    <row r="885" spans="1:12" x14ac:dyDescent="0.25">
      <c r="A885" t="s">
        <v>217</v>
      </c>
      <c r="B885">
        <v>196</v>
      </c>
      <c r="C885" t="s">
        <v>27</v>
      </c>
      <c r="D885">
        <v>2</v>
      </c>
      <c r="E885" t="s">
        <v>82</v>
      </c>
      <c r="F885">
        <v>0</v>
      </c>
      <c r="G885" t="s">
        <v>372</v>
      </c>
      <c r="H885">
        <v>1</v>
      </c>
      <c r="I885" t="s">
        <v>96</v>
      </c>
      <c r="J885" t="s">
        <v>93</v>
      </c>
      <c r="K885" t="s">
        <v>107</v>
      </c>
      <c r="L885" t="s">
        <v>223</v>
      </c>
    </row>
    <row r="886" spans="1:12" x14ac:dyDescent="0.25">
      <c r="A886" t="s">
        <v>217</v>
      </c>
      <c r="B886">
        <v>197</v>
      </c>
      <c r="C886" t="s">
        <v>27</v>
      </c>
      <c r="D886">
        <v>3</v>
      </c>
      <c r="E886" t="s">
        <v>82</v>
      </c>
      <c r="G886" t="s">
        <v>372</v>
      </c>
      <c r="I886" t="s">
        <v>96</v>
      </c>
      <c r="J886" t="s">
        <v>93</v>
      </c>
      <c r="K886" t="s">
        <v>107</v>
      </c>
      <c r="L886" t="s">
        <v>223</v>
      </c>
    </row>
    <row r="887" spans="1:12" x14ac:dyDescent="0.25">
      <c r="A887" t="s">
        <v>217</v>
      </c>
      <c r="B887">
        <v>201</v>
      </c>
      <c r="C887" t="s">
        <v>12</v>
      </c>
      <c r="D887">
        <v>1</v>
      </c>
      <c r="E887" t="s">
        <v>95</v>
      </c>
      <c r="F887">
        <v>16</v>
      </c>
      <c r="G887" t="s">
        <v>372</v>
      </c>
      <c r="H887">
        <v>21</v>
      </c>
      <c r="I887" t="s">
        <v>83</v>
      </c>
      <c r="J887" t="s">
        <v>97</v>
      </c>
      <c r="K887" t="s">
        <v>85</v>
      </c>
      <c r="L887" t="s">
        <v>223</v>
      </c>
    </row>
    <row r="888" spans="1:12" x14ac:dyDescent="0.25">
      <c r="A888" t="s">
        <v>217</v>
      </c>
      <c r="B888">
        <v>202</v>
      </c>
      <c r="C888" t="s">
        <v>12</v>
      </c>
      <c r="D888">
        <v>2</v>
      </c>
      <c r="E888" t="s">
        <v>95</v>
      </c>
      <c r="F888">
        <v>0</v>
      </c>
      <c r="G888" t="s">
        <v>372</v>
      </c>
      <c r="H888">
        <v>1</v>
      </c>
      <c r="I888" t="s">
        <v>83</v>
      </c>
      <c r="J888" t="s">
        <v>97</v>
      </c>
      <c r="K888" t="s">
        <v>85</v>
      </c>
      <c r="L888" t="s">
        <v>223</v>
      </c>
    </row>
    <row r="889" spans="1:12" x14ac:dyDescent="0.25">
      <c r="A889" t="s">
        <v>217</v>
      </c>
      <c r="B889">
        <v>203</v>
      </c>
      <c r="C889" t="s">
        <v>12</v>
      </c>
      <c r="D889">
        <v>3</v>
      </c>
      <c r="E889" t="s">
        <v>95</v>
      </c>
      <c r="G889" t="s">
        <v>372</v>
      </c>
      <c r="I889" t="s">
        <v>83</v>
      </c>
      <c r="J889" t="s">
        <v>97</v>
      </c>
      <c r="K889" t="s">
        <v>85</v>
      </c>
      <c r="L889" t="s">
        <v>223</v>
      </c>
    </row>
    <row r="890" spans="1:12" x14ac:dyDescent="0.25">
      <c r="A890" t="s">
        <v>217</v>
      </c>
      <c r="B890">
        <v>204</v>
      </c>
      <c r="C890" t="s">
        <v>18</v>
      </c>
      <c r="D890">
        <v>1</v>
      </c>
      <c r="E890" t="s">
        <v>95</v>
      </c>
      <c r="F890">
        <v>17</v>
      </c>
      <c r="G890" t="s">
        <v>372</v>
      </c>
      <c r="H890">
        <v>21</v>
      </c>
      <c r="I890" t="s">
        <v>83</v>
      </c>
      <c r="J890" t="s">
        <v>100</v>
      </c>
      <c r="K890" t="s">
        <v>88</v>
      </c>
      <c r="L890" t="s">
        <v>223</v>
      </c>
    </row>
    <row r="891" spans="1:12" x14ac:dyDescent="0.25">
      <c r="A891" t="s">
        <v>217</v>
      </c>
      <c r="B891">
        <v>205</v>
      </c>
      <c r="C891" t="s">
        <v>18</v>
      </c>
      <c r="D891">
        <v>2</v>
      </c>
      <c r="E891" t="s">
        <v>95</v>
      </c>
      <c r="F891">
        <v>0</v>
      </c>
      <c r="G891" t="s">
        <v>372</v>
      </c>
      <c r="H891">
        <v>1</v>
      </c>
      <c r="I891" t="s">
        <v>83</v>
      </c>
      <c r="J891" t="s">
        <v>100</v>
      </c>
      <c r="K891" t="s">
        <v>88</v>
      </c>
      <c r="L891" t="s">
        <v>223</v>
      </c>
    </row>
    <row r="892" spans="1:12" x14ac:dyDescent="0.25">
      <c r="A892" t="s">
        <v>217</v>
      </c>
      <c r="B892">
        <v>206</v>
      </c>
      <c r="C892" t="s">
        <v>18</v>
      </c>
      <c r="D892">
        <v>3</v>
      </c>
      <c r="E892" t="s">
        <v>95</v>
      </c>
      <c r="G892" t="s">
        <v>372</v>
      </c>
      <c r="I892" t="s">
        <v>83</v>
      </c>
      <c r="J892" t="s">
        <v>100</v>
      </c>
      <c r="K892" t="s">
        <v>88</v>
      </c>
      <c r="L892" t="s">
        <v>223</v>
      </c>
    </row>
    <row r="893" spans="1:12" x14ac:dyDescent="0.25">
      <c r="A893" t="s">
        <v>217</v>
      </c>
      <c r="B893">
        <v>207</v>
      </c>
      <c r="C893" t="s">
        <v>21</v>
      </c>
      <c r="D893">
        <v>1</v>
      </c>
      <c r="E893" t="s">
        <v>95</v>
      </c>
      <c r="F893">
        <v>10</v>
      </c>
      <c r="G893" t="s">
        <v>372</v>
      </c>
      <c r="H893">
        <v>21</v>
      </c>
      <c r="I893" t="s">
        <v>83</v>
      </c>
      <c r="J893" t="s">
        <v>102</v>
      </c>
      <c r="K893" t="s">
        <v>90</v>
      </c>
      <c r="L893" t="s">
        <v>223</v>
      </c>
    </row>
    <row r="894" spans="1:12" x14ac:dyDescent="0.25">
      <c r="A894" t="s">
        <v>217</v>
      </c>
      <c r="B894">
        <v>208</v>
      </c>
      <c r="C894" t="s">
        <v>21</v>
      </c>
      <c r="D894">
        <v>2</v>
      </c>
      <c r="E894" t="s">
        <v>95</v>
      </c>
      <c r="F894">
        <v>0</v>
      </c>
      <c r="G894" t="s">
        <v>372</v>
      </c>
      <c r="H894">
        <v>1</v>
      </c>
      <c r="I894" t="s">
        <v>83</v>
      </c>
      <c r="J894" t="s">
        <v>102</v>
      </c>
      <c r="K894" t="s">
        <v>90</v>
      </c>
      <c r="L894" t="s">
        <v>223</v>
      </c>
    </row>
    <row r="895" spans="1:12" x14ac:dyDescent="0.25">
      <c r="A895" t="s">
        <v>217</v>
      </c>
      <c r="B895">
        <v>209</v>
      </c>
      <c r="C895" t="s">
        <v>21</v>
      </c>
      <c r="D895">
        <v>3</v>
      </c>
      <c r="E895" t="s">
        <v>95</v>
      </c>
      <c r="G895" t="s">
        <v>372</v>
      </c>
      <c r="I895" t="s">
        <v>83</v>
      </c>
      <c r="J895" t="s">
        <v>102</v>
      </c>
      <c r="K895" t="s">
        <v>90</v>
      </c>
      <c r="L895" t="s">
        <v>223</v>
      </c>
    </row>
    <row r="896" spans="1:12" x14ac:dyDescent="0.25">
      <c r="A896" t="s">
        <v>217</v>
      </c>
      <c r="B896">
        <v>210</v>
      </c>
      <c r="C896" t="s">
        <v>24</v>
      </c>
      <c r="D896">
        <v>1</v>
      </c>
      <c r="E896" t="s">
        <v>95</v>
      </c>
      <c r="F896">
        <v>21</v>
      </c>
      <c r="G896" t="s">
        <v>372</v>
      </c>
      <c r="H896">
        <v>19</v>
      </c>
      <c r="I896" t="s">
        <v>83</v>
      </c>
      <c r="J896" t="s">
        <v>104</v>
      </c>
      <c r="K896" t="s">
        <v>92</v>
      </c>
      <c r="L896" t="s">
        <v>223</v>
      </c>
    </row>
    <row r="897" spans="1:12" x14ac:dyDescent="0.25">
      <c r="A897" t="s">
        <v>217</v>
      </c>
      <c r="B897">
        <v>211</v>
      </c>
      <c r="C897" t="s">
        <v>24</v>
      </c>
      <c r="D897">
        <v>2</v>
      </c>
      <c r="E897" t="s">
        <v>95</v>
      </c>
      <c r="F897">
        <v>1</v>
      </c>
      <c r="G897" t="s">
        <v>372</v>
      </c>
      <c r="H897">
        <v>0</v>
      </c>
      <c r="I897" t="s">
        <v>83</v>
      </c>
      <c r="J897" t="s">
        <v>104</v>
      </c>
      <c r="K897" t="s">
        <v>92</v>
      </c>
      <c r="L897" t="s">
        <v>223</v>
      </c>
    </row>
    <row r="898" spans="1:12" x14ac:dyDescent="0.25">
      <c r="A898" t="s">
        <v>217</v>
      </c>
      <c r="B898">
        <v>212</v>
      </c>
      <c r="C898" t="s">
        <v>24</v>
      </c>
      <c r="D898">
        <v>3</v>
      </c>
      <c r="E898" t="s">
        <v>95</v>
      </c>
      <c r="G898" t="s">
        <v>372</v>
      </c>
      <c r="I898" t="s">
        <v>83</v>
      </c>
      <c r="J898" t="s">
        <v>104</v>
      </c>
      <c r="K898" t="s">
        <v>92</v>
      </c>
      <c r="L898" t="s">
        <v>223</v>
      </c>
    </row>
    <row r="899" spans="1:12" x14ac:dyDescent="0.25">
      <c r="A899" t="s">
        <v>217</v>
      </c>
      <c r="B899">
        <v>213</v>
      </c>
      <c r="C899" t="s">
        <v>27</v>
      </c>
      <c r="D899">
        <v>1</v>
      </c>
      <c r="E899" t="s">
        <v>95</v>
      </c>
      <c r="F899">
        <v>21</v>
      </c>
      <c r="G899" t="s">
        <v>372</v>
      </c>
      <c r="H899">
        <v>13</v>
      </c>
      <c r="I899" t="s">
        <v>83</v>
      </c>
      <c r="J899" t="s">
        <v>106</v>
      </c>
      <c r="K899" t="s">
        <v>94</v>
      </c>
      <c r="L899" t="s">
        <v>223</v>
      </c>
    </row>
    <row r="900" spans="1:12" x14ac:dyDescent="0.25">
      <c r="A900" t="s">
        <v>217</v>
      </c>
      <c r="B900">
        <v>214</v>
      </c>
      <c r="C900" t="s">
        <v>27</v>
      </c>
      <c r="D900">
        <v>2</v>
      </c>
      <c r="E900" t="s">
        <v>95</v>
      </c>
      <c r="F900">
        <v>1</v>
      </c>
      <c r="G900" t="s">
        <v>372</v>
      </c>
      <c r="H900">
        <v>0</v>
      </c>
      <c r="I900" t="s">
        <v>83</v>
      </c>
      <c r="J900" t="s">
        <v>106</v>
      </c>
      <c r="K900" t="s">
        <v>94</v>
      </c>
      <c r="L900" t="s">
        <v>223</v>
      </c>
    </row>
    <row r="901" spans="1:12" x14ac:dyDescent="0.25">
      <c r="A901" t="s">
        <v>217</v>
      </c>
      <c r="B901">
        <v>215</v>
      </c>
      <c r="C901" t="s">
        <v>27</v>
      </c>
      <c r="D901">
        <v>3</v>
      </c>
      <c r="E901" t="s">
        <v>95</v>
      </c>
      <c r="G901" t="s">
        <v>372</v>
      </c>
      <c r="I901" t="s">
        <v>83</v>
      </c>
      <c r="J901" t="s">
        <v>106</v>
      </c>
      <c r="K901" t="s">
        <v>94</v>
      </c>
      <c r="L901" t="s">
        <v>223</v>
      </c>
    </row>
    <row r="902" spans="1:12" x14ac:dyDescent="0.25">
      <c r="A902" t="s">
        <v>217</v>
      </c>
      <c r="B902">
        <v>219</v>
      </c>
      <c r="C902" t="s">
        <v>12</v>
      </c>
      <c r="D902">
        <v>1</v>
      </c>
      <c r="E902" t="s">
        <v>108</v>
      </c>
      <c r="F902">
        <v>1</v>
      </c>
      <c r="G902" t="s">
        <v>372</v>
      </c>
      <c r="H902">
        <v>0</v>
      </c>
      <c r="I902" t="s">
        <v>122</v>
      </c>
      <c r="J902" t="s">
        <v>110</v>
      </c>
      <c r="K902" t="s">
        <v>124</v>
      </c>
      <c r="L902" t="s">
        <v>224</v>
      </c>
    </row>
    <row r="903" spans="1:12" x14ac:dyDescent="0.25">
      <c r="A903" t="s">
        <v>217</v>
      </c>
      <c r="B903">
        <v>220</v>
      </c>
      <c r="C903" t="s">
        <v>12</v>
      </c>
      <c r="D903">
        <v>2</v>
      </c>
      <c r="E903" t="s">
        <v>108</v>
      </c>
      <c r="F903">
        <v>1</v>
      </c>
      <c r="G903" t="s">
        <v>372</v>
      </c>
      <c r="H903">
        <v>0</v>
      </c>
      <c r="I903" t="s">
        <v>122</v>
      </c>
      <c r="J903" t="s">
        <v>110</v>
      </c>
      <c r="K903" t="s">
        <v>124</v>
      </c>
      <c r="L903" t="s">
        <v>224</v>
      </c>
    </row>
    <row r="904" spans="1:12" x14ac:dyDescent="0.25">
      <c r="A904" t="s">
        <v>217</v>
      </c>
      <c r="B904">
        <v>221</v>
      </c>
      <c r="C904" t="s">
        <v>12</v>
      </c>
      <c r="D904">
        <v>3</v>
      </c>
      <c r="E904" t="s">
        <v>108</v>
      </c>
      <c r="G904" t="s">
        <v>372</v>
      </c>
      <c r="I904" t="s">
        <v>122</v>
      </c>
      <c r="J904" t="s">
        <v>110</v>
      </c>
      <c r="K904" t="s">
        <v>124</v>
      </c>
      <c r="L904" t="s">
        <v>224</v>
      </c>
    </row>
    <row r="905" spans="1:12" x14ac:dyDescent="0.25">
      <c r="A905" t="s">
        <v>217</v>
      </c>
      <c r="B905">
        <v>222</v>
      </c>
      <c r="C905" t="s">
        <v>18</v>
      </c>
      <c r="D905">
        <v>1</v>
      </c>
      <c r="E905" t="s">
        <v>108</v>
      </c>
      <c r="F905">
        <v>1</v>
      </c>
      <c r="G905" t="s">
        <v>372</v>
      </c>
      <c r="H905">
        <v>0</v>
      </c>
      <c r="I905" t="s">
        <v>122</v>
      </c>
      <c r="J905" t="s">
        <v>113</v>
      </c>
      <c r="K905" t="s">
        <v>127</v>
      </c>
      <c r="L905" t="s">
        <v>224</v>
      </c>
    </row>
    <row r="906" spans="1:12" x14ac:dyDescent="0.25">
      <c r="A906" t="s">
        <v>217</v>
      </c>
      <c r="B906">
        <v>223</v>
      </c>
      <c r="C906" t="s">
        <v>18</v>
      </c>
      <c r="D906">
        <v>2</v>
      </c>
      <c r="E906" t="s">
        <v>108</v>
      </c>
      <c r="F906">
        <v>1</v>
      </c>
      <c r="G906" t="s">
        <v>372</v>
      </c>
      <c r="H906">
        <v>0</v>
      </c>
      <c r="I906" t="s">
        <v>122</v>
      </c>
      <c r="J906" t="s">
        <v>113</v>
      </c>
      <c r="K906" t="s">
        <v>127</v>
      </c>
      <c r="L906" t="s">
        <v>224</v>
      </c>
    </row>
    <row r="907" spans="1:12" x14ac:dyDescent="0.25">
      <c r="A907" t="s">
        <v>217</v>
      </c>
      <c r="B907">
        <v>224</v>
      </c>
      <c r="C907" t="s">
        <v>18</v>
      </c>
      <c r="D907">
        <v>3</v>
      </c>
      <c r="E907" t="s">
        <v>108</v>
      </c>
      <c r="G907" t="s">
        <v>372</v>
      </c>
      <c r="I907" t="s">
        <v>122</v>
      </c>
      <c r="J907" t="s">
        <v>113</v>
      </c>
      <c r="K907" t="s">
        <v>127</v>
      </c>
      <c r="L907" t="s">
        <v>224</v>
      </c>
    </row>
    <row r="908" spans="1:12" x14ac:dyDescent="0.25">
      <c r="A908" t="s">
        <v>217</v>
      </c>
      <c r="B908">
        <v>225</v>
      </c>
      <c r="C908" t="s">
        <v>21</v>
      </c>
      <c r="D908">
        <v>1</v>
      </c>
      <c r="E908" t="s">
        <v>108</v>
      </c>
      <c r="F908">
        <v>1</v>
      </c>
      <c r="G908" t="s">
        <v>372</v>
      </c>
      <c r="H908">
        <v>0</v>
      </c>
      <c r="I908" t="s">
        <v>122</v>
      </c>
      <c r="J908" t="s">
        <v>115</v>
      </c>
      <c r="K908" t="s">
        <v>129</v>
      </c>
      <c r="L908" t="s">
        <v>224</v>
      </c>
    </row>
    <row r="909" spans="1:12" x14ac:dyDescent="0.25">
      <c r="A909" t="s">
        <v>217</v>
      </c>
      <c r="B909">
        <v>226</v>
      </c>
      <c r="C909" t="s">
        <v>21</v>
      </c>
      <c r="D909">
        <v>2</v>
      </c>
      <c r="E909" t="s">
        <v>108</v>
      </c>
      <c r="F909">
        <v>1</v>
      </c>
      <c r="G909" t="s">
        <v>372</v>
      </c>
      <c r="H909">
        <v>0</v>
      </c>
      <c r="I909" t="s">
        <v>122</v>
      </c>
      <c r="J909" t="s">
        <v>115</v>
      </c>
      <c r="K909" t="s">
        <v>129</v>
      </c>
      <c r="L909" t="s">
        <v>224</v>
      </c>
    </row>
    <row r="910" spans="1:12" x14ac:dyDescent="0.25">
      <c r="A910" t="s">
        <v>217</v>
      </c>
      <c r="B910">
        <v>227</v>
      </c>
      <c r="C910" t="s">
        <v>21</v>
      </c>
      <c r="D910">
        <v>3</v>
      </c>
      <c r="E910" t="s">
        <v>108</v>
      </c>
      <c r="G910" t="s">
        <v>372</v>
      </c>
      <c r="I910" t="s">
        <v>122</v>
      </c>
      <c r="J910" t="s">
        <v>115</v>
      </c>
      <c r="K910" t="s">
        <v>129</v>
      </c>
      <c r="L910" t="s">
        <v>224</v>
      </c>
    </row>
    <row r="911" spans="1:12" x14ac:dyDescent="0.25">
      <c r="A911" t="s">
        <v>217</v>
      </c>
      <c r="B911">
        <v>228</v>
      </c>
      <c r="C911" t="s">
        <v>24</v>
      </c>
      <c r="D911">
        <v>1</v>
      </c>
      <c r="E911" t="s">
        <v>108</v>
      </c>
      <c r="G911" t="s">
        <v>372</v>
      </c>
      <c r="I911" t="s">
        <v>122</v>
      </c>
      <c r="J911" t="s">
        <v>117</v>
      </c>
      <c r="K911" t="s">
        <v>131</v>
      </c>
      <c r="L911" t="s">
        <v>224</v>
      </c>
    </row>
    <row r="912" spans="1:12" x14ac:dyDescent="0.25">
      <c r="A912" t="s">
        <v>217</v>
      </c>
      <c r="B912">
        <v>229</v>
      </c>
      <c r="C912" t="s">
        <v>24</v>
      </c>
      <c r="D912">
        <v>2</v>
      </c>
      <c r="E912" t="s">
        <v>108</v>
      </c>
      <c r="G912" t="s">
        <v>372</v>
      </c>
      <c r="I912" t="s">
        <v>122</v>
      </c>
      <c r="J912" t="s">
        <v>117</v>
      </c>
      <c r="K912" t="s">
        <v>131</v>
      </c>
      <c r="L912" t="s">
        <v>224</v>
      </c>
    </row>
    <row r="913" spans="1:12" x14ac:dyDescent="0.25">
      <c r="A913" t="s">
        <v>217</v>
      </c>
      <c r="B913">
        <v>230</v>
      </c>
      <c r="C913" t="s">
        <v>24</v>
      </c>
      <c r="D913">
        <v>3</v>
      </c>
      <c r="E913" t="s">
        <v>108</v>
      </c>
      <c r="G913" t="s">
        <v>372</v>
      </c>
      <c r="I913" t="s">
        <v>122</v>
      </c>
      <c r="J913" t="s">
        <v>117</v>
      </c>
      <c r="K913" t="s">
        <v>131</v>
      </c>
      <c r="L913" t="s">
        <v>224</v>
      </c>
    </row>
    <row r="914" spans="1:12" x14ac:dyDescent="0.25">
      <c r="A914" t="s">
        <v>217</v>
      </c>
      <c r="B914">
        <v>231</v>
      </c>
      <c r="C914" t="s">
        <v>27</v>
      </c>
      <c r="D914">
        <v>1</v>
      </c>
      <c r="E914" t="s">
        <v>108</v>
      </c>
      <c r="G914" t="s">
        <v>372</v>
      </c>
      <c r="I914" t="s">
        <v>122</v>
      </c>
      <c r="J914" t="s">
        <v>119</v>
      </c>
      <c r="K914" t="s">
        <v>133</v>
      </c>
      <c r="L914" t="s">
        <v>224</v>
      </c>
    </row>
    <row r="915" spans="1:12" x14ac:dyDescent="0.25">
      <c r="A915" t="s">
        <v>217</v>
      </c>
      <c r="B915">
        <v>232</v>
      </c>
      <c r="C915" t="s">
        <v>27</v>
      </c>
      <c r="D915">
        <v>2</v>
      </c>
      <c r="E915" t="s">
        <v>108</v>
      </c>
      <c r="G915" t="s">
        <v>372</v>
      </c>
      <c r="I915" t="s">
        <v>122</v>
      </c>
      <c r="J915" t="s">
        <v>119</v>
      </c>
      <c r="K915" t="s">
        <v>133</v>
      </c>
      <c r="L915" t="s">
        <v>224</v>
      </c>
    </row>
    <row r="916" spans="1:12" x14ac:dyDescent="0.25">
      <c r="A916" t="s">
        <v>217</v>
      </c>
      <c r="B916">
        <v>233</v>
      </c>
      <c r="C916" t="s">
        <v>27</v>
      </c>
      <c r="D916">
        <v>3</v>
      </c>
      <c r="E916" t="s">
        <v>108</v>
      </c>
      <c r="G916" t="s">
        <v>372</v>
      </c>
      <c r="I916" t="s">
        <v>122</v>
      </c>
      <c r="J916" t="s">
        <v>119</v>
      </c>
      <c r="K916" t="s">
        <v>133</v>
      </c>
      <c r="L916" t="s">
        <v>224</v>
      </c>
    </row>
    <row r="917" spans="1:12" x14ac:dyDescent="0.25">
      <c r="A917" t="s">
        <v>217</v>
      </c>
      <c r="B917">
        <v>237</v>
      </c>
      <c r="C917" t="s">
        <v>12</v>
      </c>
      <c r="D917">
        <v>1</v>
      </c>
      <c r="E917" t="s">
        <v>121</v>
      </c>
      <c r="F917">
        <v>0</v>
      </c>
      <c r="G917" t="s">
        <v>372</v>
      </c>
      <c r="H917">
        <v>1</v>
      </c>
      <c r="I917" t="s">
        <v>109</v>
      </c>
      <c r="J917" t="s">
        <v>123</v>
      </c>
      <c r="K917" t="s">
        <v>111</v>
      </c>
      <c r="L917" t="s">
        <v>224</v>
      </c>
    </row>
    <row r="918" spans="1:12" x14ac:dyDescent="0.25">
      <c r="A918" t="s">
        <v>217</v>
      </c>
      <c r="B918">
        <v>238</v>
      </c>
      <c r="C918" t="s">
        <v>12</v>
      </c>
      <c r="D918">
        <v>2</v>
      </c>
      <c r="E918" t="s">
        <v>121</v>
      </c>
      <c r="F918">
        <v>0</v>
      </c>
      <c r="G918" t="s">
        <v>372</v>
      </c>
      <c r="H918">
        <v>1</v>
      </c>
      <c r="I918" t="s">
        <v>109</v>
      </c>
      <c r="J918" t="s">
        <v>123</v>
      </c>
      <c r="K918" t="s">
        <v>111</v>
      </c>
      <c r="L918" t="s">
        <v>224</v>
      </c>
    </row>
    <row r="919" spans="1:12" x14ac:dyDescent="0.25">
      <c r="A919" t="s">
        <v>217</v>
      </c>
      <c r="B919">
        <v>239</v>
      </c>
      <c r="C919" t="s">
        <v>12</v>
      </c>
      <c r="D919">
        <v>3</v>
      </c>
      <c r="E919" t="s">
        <v>121</v>
      </c>
      <c r="G919" t="s">
        <v>372</v>
      </c>
      <c r="I919" t="s">
        <v>109</v>
      </c>
      <c r="J919" t="s">
        <v>123</v>
      </c>
      <c r="K919" t="s">
        <v>111</v>
      </c>
      <c r="L919" t="s">
        <v>224</v>
      </c>
    </row>
    <row r="920" spans="1:12" x14ac:dyDescent="0.25">
      <c r="A920" t="s">
        <v>217</v>
      </c>
      <c r="B920">
        <v>240</v>
      </c>
      <c r="C920" t="s">
        <v>18</v>
      </c>
      <c r="D920">
        <v>1</v>
      </c>
      <c r="E920" t="s">
        <v>121</v>
      </c>
      <c r="F920">
        <v>0</v>
      </c>
      <c r="G920" t="s">
        <v>372</v>
      </c>
      <c r="H920">
        <v>1</v>
      </c>
      <c r="I920" t="s">
        <v>109</v>
      </c>
      <c r="J920" t="s">
        <v>126</v>
      </c>
      <c r="K920" t="s">
        <v>114</v>
      </c>
      <c r="L920" t="s">
        <v>224</v>
      </c>
    </row>
    <row r="921" spans="1:12" x14ac:dyDescent="0.25">
      <c r="A921" t="s">
        <v>217</v>
      </c>
      <c r="B921">
        <v>241</v>
      </c>
      <c r="C921" t="s">
        <v>18</v>
      </c>
      <c r="D921">
        <v>2</v>
      </c>
      <c r="E921" t="s">
        <v>121</v>
      </c>
      <c r="F921">
        <v>0</v>
      </c>
      <c r="G921" t="s">
        <v>372</v>
      </c>
      <c r="H921">
        <v>1</v>
      </c>
      <c r="I921" t="s">
        <v>109</v>
      </c>
      <c r="J921" t="s">
        <v>126</v>
      </c>
      <c r="K921" t="s">
        <v>114</v>
      </c>
      <c r="L921" t="s">
        <v>224</v>
      </c>
    </row>
    <row r="922" spans="1:12" x14ac:dyDescent="0.25">
      <c r="A922" t="s">
        <v>217</v>
      </c>
      <c r="B922">
        <v>242</v>
      </c>
      <c r="C922" t="s">
        <v>18</v>
      </c>
      <c r="D922">
        <v>3</v>
      </c>
      <c r="E922" t="s">
        <v>121</v>
      </c>
      <c r="G922" t="s">
        <v>372</v>
      </c>
      <c r="I922" t="s">
        <v>109</v>
      </c>
      <c r="J922" t="s">
        <v>126</v>
      </c>
      <c r="K922" t="s">
        <v>114</v>
      </c>
      <c r="L922" t="s">
        <v>224</v>
      </c>
    </row>
    <row r="923" spans="1:12" x14ac:dyDescent="0.25">
      <c r="A923" t="s">
        <v>217</v>
      </c>
      <c r="B923">
        <v>243</v>
      </c>
      <c r="C923" t="s">
        <v>21</v>
      </c>
      <c r="D923">
        <v>1</v>
      </c>
      <c r="E923" t="s">
        <v>121</v>
      </c>
      <c r="F923">
        <v>0</v>
      </c>
      <c r="G923" t="s">
        <v>372</v>
      </c>
      <c r="H923">
        <v>1</v>
      </c>
      <c r="I923" t="s">
        <v>109</v>
      </c>
      <c r="J923" t="s">
        <v>128</v>
      </c>
      <c r="K923" t="s">
        <v>116</v>
      </c>
      <c r="L923" t="s">
        <v>224</v>
      </c>
    </row>
    <row r="924" spans="1:12" x14ac:dyDescent="0.25">
      <c r="A924" t="s">
        <v>217</v>
      </c>
      <c r="B924">
        <v>244</v>
      </c>
      <c r="C924" t="s">
        <v>21</v>
      </c>
      <c r="D924">
        <v>2</v>
      </c>
      <c r="E924" t="s">
        <v>121</v>
      </c>
      <c r="F924">
        <v>0</v>
      </c>
      <c r="G924" t="s">
        <v>372</v>
      </c>
      <c r="H924">
        <v>1</v>
      </c>
      <c r="I924" t="s">
        <v>109</v>
      </c>
      <c r="J924" t="s">
        <v>128</v>
      </c>
      <c r="K924" t="s">
        <v>116</v>
      </c>
      <c r="L924" t="s">
        <v>224</v>
      </c>
    </row>
    <row r="925" spans="1:12" x14ac:dyDescent="0.25">
      <c r="A925" t="s">
        <v>217</v>
      </c>
      <c r="B925">
        <v>245</v>
      </c>
      <c r="C925" t="s">
        <v>21</v>
      </c>
      <c r="D925">
        <v>3</v>
      </c>
      <c r="E925" t="s">
        <v>121</v>
      </c>
      <c r="G925" t="s">
        <v>372</v>
      </c>
      <c r="I925" t="s">
        <v>109</v>
      </c>
      <c r="J925" t="s">
        <v>128</v>
      </c>
      <c r="K925" t="s">
        <v>116</v>
      </c>
      <c r="L925" t="s">
        <v>224</v>
      </c>
    </row>
    <row r="926" spans="1:12" x14ac:dyDescent="0.25">
      <c r="A926" t="s">
        <v>217</v>
      </c>
      <c r="B926">
        <v>246</v>
      </c>
      <c r="C926" t="s">
        <v>24</v>
      </c>
      <c r="D926">
        <v>1</v>
      </c>
      <c r="E926" t="s">
        <v>121</v>
      </c>
      <c r="F926">
        <v>0</v>
      </c>
      <c r="G926" t="s">
        <v>372</v>
      </c>
      <c r="H926">
        <v>1</v>
      </c>
      <c r="I926" t="s">
        <v>109</v>
      </c>
      <c r="J926" t="s">
        <v>130</v>
      </c>
      <c r="K926" t="s">
        <v>118</v>
      </c>
      <c r="L926" t="s">
        <v>224</v>
      </c>
    </row>
    <row r="927" spans="1:12" x14ac:dyDescent="0.25">
      <c r="A927" t="s">
        <v>217</v>
      </c>
      <c r="B927">
        <v>247</v>
      </c>
      <c r="C927" t="s">
        <v>24</v>
      </c>
      <c r="D927">
        <v>2</v>
      </c>
      <c r="E927" t="s">
        <v>121</v>
      </c>
      <c r="F927">
        <v>0</v>
      </c>
      <c r="G927" t="s">
        <v>372</v>
      </c>
      <c r="H927">
        <v>1</v>
      </c>
      <c r="I927" t="s">
        <v>109</v>
      </c>
      <c r="J927" t="s">
        <v>130</v>
      </c>
      <c r="K927" t="s">
        <v>118</v>
      </c>
      <c r="L927" t="s">
        <v>224</v>
      </c>
    </row>
    <row r="928" spans="1:12" x14ac:dyDescent="0.25">
      <c r="A928" t="s">
        <v>217</v>
      </c>
      <c r="B928">
        <v>248</v>
      </c>
      <c r="C928" t="s">
        <v>24</v>
      </c>
      <c r="D928">
        <v>3</v>
      </c>
      <c r="E928" t="s">
        <v>121</v>
      </c>
      <c r="G928" t="s">
        <v>372</v>
      </c>
      <c r="I928" t="s">
        <v>109</v>
      </c>
      <c r="J928" t="s">
        <v>130</v>
      </c>
      <c r="K928" t="s">
        <v>118</v>
      </c>
      <c r="L928" t="s">
        <v>224</v>
      </c>
    </row>
    <row r="929" spans="1:12" x14ac:dyDescent="0.25">
      <c r="A929" t="s">
        <v>217</v>
      </c>
      <c r="B929">
        <v>249</v>
      </c>
      <c r="C929" t="s">
        <v>27</v>
      </c>
      <c r="D929">
        <v>1</v>
      </c>
      <c r="E929" t="s">
        <v>121</v>
      </c>
      <c r="F929">
        <v>1</v>
      </c>
      <c r="G929" t="s">
        <v>372</v>
      </c>
      <c r="H929">
        <v>0</v>
      </c>
      <c r="I929" t="s">
        <v>109</v>
      </c>
      <c r="J929" t="s">
        <v>132</v>
      </c>
      <c r="K929" t="s">
        <v>120</v>
      </c>
      <c r="L929" t="s">
        <v>224</v>
      </c>
    </row>
    <row r="930" spans="1:12" x14ac:dyDescent="0.25">
      <c r="A930" t="s">
        <v>217</v>
      </c>
      <c r="B930">
        <v>250</v>
      </c>
      <c r="C930" t="s">
        <v>27</v>
      </c>
      <c r="D930">
        <v>2</v>
      </c>
      <c r="E930" t="s">
        <v>121</v>
      </c>
      <c r="F930">
        <v>1</v>
      </c>
      <c r="G930" t="s">
        <v>372</v>
      </c>
      <c r="H930">
        <v>0</v>
      </c>
      <c r="I930" t="s">
        <v>109</v>
      </c>
      <c r="J930" t="s">
        <v>132</v>
      </c>
      <c r="K930" t="s">
        <v>120</v>
      </c>
      <c r="L930" t="s">
        <v>224</v>
      </c>
    </row>
    <row r="931" spans="1:12" x14ac:dyDescent="0.25">
      <c r="A931" t="s">
        <v>217</v>
      </c>
      <c r="B931">
        <v>251</v>
      </c>
      <c r="C931" t="s">
        <v>27</v>
      </c>
      <c r="D931">
        <v>3</v>
      </c>
      <c r="E931" t="s">
        <v>121</v>
      </c>
      <c r="G931" t="s">
        <v>372</v>
      </c>
      <c r="I931" t="s">
        <v>109</v>
      </c>
      <c r="J931" t="s">
        <v>132</v>
      </c>
      <c r="K931" t="s">
        <v>120</v>
      </c>
      <c r="L931" t="s">
        <v>224</v>
      </c>
    </row>
    <row r="932" spans="1:12" x14ac:dyDescent="0.25">
      <c r="A932" t="s">
        <v>11</v>
      </c>
      <c r="B932">
        <v>3</v>
      </c>
      <c r="C932" t="s">
        <v>12</v>
      </c>
      <c r="D932">
        <v>1</v>
      </c>
      <c r="E932" t="s">
        <v>194</v>
      </c>
      <c r="F932">
        <v>21</v>
      </c>
      <c r="G932" t="s">
        <v>372</v>
      </c>
      <c r="H932">
        <v>16</v>
      </c>
      <c r="I932" t="s">
        <v>195</v>
      </c>
      <c r="J932" t="s">
        <v>196</v>
      </c>
      <c r="K932" t="s">
        <v>197</v>
      </c>
      <c r="L932" t="s">
        <v>198</v>
      </c>
    </row>
    <row r="933" spans="1:12" x14ac:dyDescent="0.25">
      <c r="A933" t="s">
        <v>11</v>
      </c>
      <c r="B933">
        <v>4</v>
      </c>
      <c r="C933" t="s">
        <v>12</v>
      </c>
      <c r="D933">
        <v>2</v>
      </c>
      <c r="E933" t="s">
        <v>194</v>
      </c>
      <c r="F933">
        <v>18</v>
      </c>
      <c r="G933" t="s">
        <v>372</v>
      </c>
      <c r="H933">
        <v>21</v>
      </c>
      <c r="I933" t="s">
        <v>195</v>
      </c>
      <c r="J933" t="s">
        <v>196</v>
      </c>
      <c r="K933" t="s">
        <v>197</v>
      </c>
      <c r="L933" t="s">
        <v>198</v>
      </c>
    </row>
    <row r="934" spans="1:12" x14ac:dyDescent="0.25">
      <c r="A934" t="s">
        <v>11</v>
      </c>
      <c r="B934">
        <v>5</v>
      </c>
      <c r="C934" t="s">
        <v>12</v>
      </c>
      <c r="D934">
        <v>3</v>
      </c>
      <c r="E934" t="s">
        <v>194</v>
      </c>
      <c r="F934">
        <v>21</v>
      </c>
      <c r="G934" t="s">
        <v>372</v>
      </c>
      <c r="H934">
        <v>18</v>
      </c>
      <c r="I934" t="s">
        <v>195</v>
      </c>
      <c r="J934" t="s">
        <v>196</v>
      </c>
      <c r="K934" t="s">
        <v>197</v>
      </c>
      <c r="L934" t="s">
        <v>198</v>
      </c>
    </row>
    <row r="935" spans="1:12" x14ac:dyDescent="0.25">
      <c r="A935" t="s">
        <v>11</v>
      </c>
      <c r="B935">
        <v>6</v>
      </c>
      <c r="C935" t="s">
        <v>18</v>
      </c>
      <c r="D935">
        <v>1</v>
      </c>
      <c r="E935" t="s">
        <v>194</v>
      </c>
      <c r="F935">
        <v>21</v>
      </c>
      <c r="G935" t="s">
        <v>372</v>
      </c>
      <c r="H935">
        <v>16</v>
      </c>
      <c r="I935" t="s">
        <v>195</v>
      </c>
      <c r="J935" t="s">
        <v>199</v>
      </c>
      <c r="K935" t="s">
        <v>200</v>
      </c>
      <c r="L935" t="s">
        <v>198</v>
      </c>
    </row>
    <row r="936" spans="1:12" x14ac:dyDescent="0.25">
      <c r="A936" t="s">
        <v>11</v>
      </c>
      <c r="B936">
        <v>7</v>
      </c>
      <c r="C936" t="s">
        <v>18</v>
      </c>
      <c r="D936">
        <v>2</v>
      </c>
      <c r="E936" t="s">
        <v>194</v>
      </c>
      <c r="F936">
        <v>21</v>
      </c>
      <c r="G936" t="s">
        <v>372</v>
      </c>
      <c r="H936">
        <v>14</v>
      </c>
      <c r="I936" t="s">
        <v>195</v>
      </c>
      <c r="J936" t="s">
        <v>199</v>
      </c>
      <c r="K936" t="s">
        <v>200</v>
      </c>
      <c r="L936" t="s">
        <v>198</v>
      </c>
    </row>
    <row r="937" spans="1:12" x14ac:dyDescent="0.25">
      <c r="A937" t="s">
        <v>11</v>
      </c>
      <c r="B937">
        <v>8</v>
      </c>
      <c r="C937" t="s">
        <v>18</v>
      </c>
      <c r="D937">
        <v>3</v>
      </c>
      <c r="E937" t="s">
        <v>194</v>
      </c>
      <c r="G937" t="s">
        <v>372</v>
      </c>
      <c r="I937" t="s">
        <v>195</v>
      </c>
      <c r="J937" t="s">
        <v>199</v>
      </c>
      <c r="K937" t="s">
        <v>200</v>
      </c>
      <c r="L937" t="s">
        <v>198</v>
      </c>
    </row>
    <row r="938" spans="1:12" x14ac:dyDescent="0.25">
      <c r="A938" t="s">
        <v>11</v>
      </c>
      <c r="B938">
        <v>9</v>
      </c>
      <c r="C938" t="s">
        <v>21</v>
      </c>
      <c r="D938">
        <v>1</v>
      </c>
      <c r="E938" t="s">
        <v>194</v>
      </c>
      <c r="F938">
        <v>26</v>
      </c>
      <c r="G938" t="s">
        <v>372</v>
      </c>
      <c r="H938">
        <v>28</v>
      </c>
      <c r="I938" t="s">
        <v>195</v>
      </c>
      <c r="J938" t="s">
        <v>201</v>
      </c>
      <c r="K938" t="s">
        <v>202</v>
      </c>
      <c r="L938" t="s">
        <v>198</v>
      </c>
    </row>
    <row r="939" spans="1:12" x14ac:dyDescent="0.25">
      <c r="A939" t="s">
        <v>11</v>
      </c>
      <c r="B939">
        <v>10</v>
      </c>
      <c r="C939" t="s">
        <v>21</v>
      </c>
      <c r="D939">
        <v>2</v>
      </c>
      <c r="E939" t="s">
        <v>194</v>
      </c>
      <c r="F939">
        <v>21</v>
      </c>
      <c r="G939" t="s">
        <v>372</v>
      </c>
      <c r="H939">
        <v>17</v>
      </c>
      <c r="I939" t="s">
        <v>195</v>
      </c>
      <c r="J939" t="s">
        <v>201</v>
      </c>
      <c r="K939" t="s">
        <v>202</v>
      </c>
      <c r="L939" t="s">
        <v>198</v>
      </c>
    </row>
    <row r="940" spans="1:12" x14ac:dyDescent="0.25">
      <c r="A940" t="s">
        <v>11</v>
      </c>
      <c r="B940">
        <v>11</v>
      </c>
      <c r="C940" t="s">
        <v>21</v>
      </c>
      <c r="D940">
        <v>3</v>
      </c>
      <c r="E940" t="s">
        <v>194</v>
      </c>
      <c r="F940">
        <v>19</v>
      </c>
      <c r="G940" t="s">
        <v>372</v>
      </c>
      <c r="H940">
        <v>21</v>
      </c>
      <c r="I940" t="s">
        <v>195</v>
      </c>
      <c r="J940" t="s">
        <v>201</v>
      </c>
      <c r="K940" t="s">
        <v>202</v>
      </c>
      <c r="L940" t="s">
        <v>198</v>
      </c>
    </row>
    <row r="941" spans="1:12" x14ac:dyDescent="0.25">
      <c r="A941" t="s">
        <v>11</v>
      </c>
      <c r="B941">
        <v>12</v>
      </c>
      <c r="C941" t="s">
        <v>24</v>
      </c>
      <c r="D941">
        <v>1</v>
      </c>
      <c r="E941" t="s">
        <v>194</v>
      </c>
      <c r="F941">
        <v>14</v>
      </c>
      <c r="G941" t="s">
        <v>372</v>
      </c>
      <c r="H941">
        <v>21</v>
      </c>
      <c r="I941" t="s">
        <v>195</v>
      </c>
      <c r="J941" t="s">
        <v>203</v>
      </c>
      <c r="K941" t="s">
        <v>204</v>
      </c>
      <c r="L941" t="s">
        <v>198</v>
      </c>
    </row>
    <row r="942" spans="1:12" x14ac:dyDescent="0.25">
      <c r="A942" t="s">
        <v>11</v>
      </c>
      <c r="B942">
        <v>13</v>
      </c>
      <c r="C942" t="s">
        <v>24</v>
      </c>
      <c r="D942">
        <v>2</v>
      </c>
      <c r="E942" t="s">
        <v>194</v>
      </c>
      <c r="F942">
        <v>18</v>
      </c>
      <c r="G942" t="s">
        <v>372</v>
      </c>
      <c r="H942">
        <v>21</v>
      </c>
      <c r="I942" t="s">
        <v>195</v>
      </c>
      <c r="J942" t="s">
        <v>203</v>
      </c>
      <c r="K942" t="s">
        <v>204</v>
      </c>
      <c r="L942" t="s">
        <v>198</v>
      </c>
    </row>
    <row r="943" spans="1:12" x14ac:dyDescent="0.25">
      <c r="A943" t="s">
        <v>11</v>
      </c>
      <c r="B943">
        <v>14</v>
      </c>
      <c r="C943" t="s">
        <v>24</v>
      </c>
      <c r="D943">
        <v>3</v>
      </c>
      <c r="E943" t="s">
        <v>194</v>
      </c>
      <c r="G943" t="s">
        <v>372</v>
      </c>
      <c r="I943" t="s">
        <v>195</v>
      </c>
      <c r="J943" t="s">
        <v>203</v>
      </c>
      <c r="K943" t="s">
        <v>204</v>
      </c>
      <c r="L943" t="s">
        <v>198</v>
      </c>
    </row>
    <row r="944" spans="1:12" x14ac:dyDescent="0.25">
      <c r="A944" t="s">
        <v>11</v>
      </c>
      <c r="B944">
        <v>15</v>
      </c>
      <c r="C944" t="s">
        <v>27</v>
      </c>
      <c r="D944">
        <v>1</v>
      </c>
      <c r="E944" t="s">
        <v>194</v>
      </c>
      <c r="F944">
        <v>13</v>
      </c>
      <c r="G944" t="s">
        <v>372</v>
      </c>
      <c r="H944">
        <v>21</v>
      </c>
      <c r="I944" t="s">
        <v>195</v>
      </c>
      <c r="J944" t="s">
        <v>205</v>
      </c>
      <c r="K944" t="s">
        <v>206</v>
      </c>
      <c r="L944" t="s">
        <v>198</v>
      </c>
    </row>
    <row r="945" spans="1:12" x14ac:dyDescent="0.25">
      <c r="A945" t="s">
        <v>11</v>
      </c>
      <c r="B945">
        <v>16</v>
      </c>
      <c r="C945" t="s">
        <v>27</v>
      </c>
      <c r="D945">
        <v>2</v>
      </c>
      <c r="E945" t="s">
        <v>194</v>
      </c>
      <c r="F945">
        <v>14</v>
      </c>
      <c r="G945" t="s">
        <v>372</v>
      </c>
      <c r="H945">
        <v>21</v>
      </c>
      <c r="I945" t="s">
        <v>195</v>
      </c>
      <c r="J945" t="s">
        <v>205</v>
      </c>
      <c r="K945" t="s">
        <v>206</v>
      </c>
      <c r="L945" t="s">
        <v>198</v>
      </c>
    </row>
    <row r="946" spans="1:12" x14ac:dyDescent="0.25">
      <c r="A946" t="s">
        <v>11</v>
      </c>
      <c r="B946">
        <v>17</v>
      </c>
      <c r="C946" t="s">
        <v>27</v>
      </c>
      <c r="D946">
        <v>3</v>
      </c>
      <c r="E946" t="s">
        <v>194</v>
      </c>
      <c r="G946" t="s">
        <v>372</v>
      </c>
      <c r="I946" t="s">
        <v>195</v>
      </c>
      <c r="J946" t="s">
        <v>205</v>
      </c>
      <c r="K946" t="s">
        <v>206</v>
      </c>
      <c r="L946" t="s">
        <v>198</v>
      </c>
    </row>
    <row r="947" spans="1:12" x14ac:dyDescent="0.25">
      <c r="A947" t="s">
        <v>11</v>
      </c>
      <c r="B947">
        <v>21</v>
      </c>
      <c r="C947" t="s">
        <v>12</v>
      </c>
      <c r="D947">
        <v>1</v>
      </c>
      <c r="E947" t="s">
        <v>146</v>
      </c>
      <c r="F947">
        <v>1</v>
      </c>
      <c r="G947" t="s">
        <v>372</v>
      </c>
      <c r="H947">
        <v>0</v>
      </c>
      <c r="I947" t="s">
        <v>147</v>
      </c>
      <c r="J947" t="s">
        <v>148</v>
      </c>
      <c r="K947" t="s">
        <v>149</v>
      </c>
      <c r="L947" t="s">
        <v>150</v>
      </c>
    </row>
    <row r="948" spans="1:12" x14ac:dyDescent="0.25">
      <c r="A948" t="s">
        <v>11</v>
      </c>
      <c r="B948">
        <v>22</v>
      </c>
      <c r="C948" t="s">
        <v>12</v>
      </c>
      <c r="D948">
        <v>2</v>
      </c>
      <c r="E948" t="s">
        <v>146</v>
      </c>
      <c r="F948">
        <v>1</v>
      </c>
      <c r="G948" t="s">
        <v>372</v>
      </c>
      <c r="H948">
        <v>0</v>
      </c>
      <c r="I948" t="s">
        <v>147</v>
      </c>
      <c r="J948" t="s">
        <v>148</v>
      </c>
      <c r="K948" t="s">
        <v>149</v>
      </c>
      <c r="L948" t="s">
        <v>150</v>
      </c>
    </row>
    <row r="949" spans="1:12" x14ac:dyDescent="0.25">
      <c r="A949" t="s">
        <v>11</v>
      </c>
      <c r="B949">
        <v>23</v>
      </c>
      <c r="C949" t="s">
        <v>12</v>
      </c>
      <c r="D949">
        <v>3</v>
      </c>
      <c r="E949" t="s">
        <v>146</v>
      </c>
      <c r="G949" t="s">
        <v>372</v>
      </c>
      <c r="I949" t="s">
        <v>147</v>
      </c>
      <c r="J949" t="s">
        <v>148</v>
      </c>
      <c r="K949" t="s">
        <v>149</v>
      </c>
      <c r="L949" t="s">
        <v>150</v>
      </c>
    </row>
    <row r="950" spans="1:12" x14ac:dyDescent="0.25">
      <c r="A950" t="s">
        <v>11</v>
      </c>
      <c r="B950">
        <v>24</v>
      </c>
      <c r="C950" t="s">
        <v>18</v>
      </c>
      <c r="D950">
        <v>1</v>
      </c>
      <c r="E950" t="s">
        <v>146</v>
      </c>
      <c r="F950">
        <v>1</v>
      </c>
      <c r="G950" t="s">
        <v>372</v>
      </c>
      <c r="H950">
        <v>0</v>
      </c>
      <c r="I950" t="s">
        <v>147</v>
      </c>
      <c r="J950" t="s">
        <v>151</v>
      </c>
      <c r="K950" t="s">
        <v>152</v>
      </c>
      <c r="L950" t="s">
        <v>150</v>
      </c>
    </row>
    <row r="951" spans="1:12" x14ac:dyDescent="0.25">
      <c r="A951" t="s">
        <v>11</v>
      </c>
      <c r="B951">
        <v>25</v>
      </c>
      <c r="C951" t="s">
        <v>18</v>
      </c>
      <c r="D951">
        <v>2</v>
      </c>
      <c r="E951" t="s">
        <v>146</v>
      </c>
      <c r="F951">
        <v>1</v>
      </c>
      <c r="G951" t="s">
        <v>372</v>
      </c>
      <c r="H951">
        <v>0</v>
      </c>
      <c r="I951" t="s">
        <v>147</v>
      </c>
      <c r="J951" t="s">
        <v>151</v>
      </c>
      <c r="K951" t="s">
        <v>152</v>
      </c>
      <c r="L951" t="s">
        <v>150</v>
      </c>
    </row>
    <row r="952" spans="1:12" x14ac:dyDescent="0.25">
      <c r="A952" t="s">
        <v>11</v>
      </c>
      <c r="B952">
        <v>26</v>
      </c>
      <c r="C952" t="s">
        <v>18</v>
      </c>
      <c r="D952">
        <v>3</v>
      </c>
      <c r="E952" t="s">
        <v>146</v>
      </c>
      <c r="G952" t="s">
        <v>372</v>
      </c>
      <c r="I952" t="s">
        <v>147</v>
      </c>
      <c r="J952" t="s">
        <v>151</v>
      </c>
      <c r="K952" t="s">
        <v>152</v>
      </c>
      <c r="L952" t="s">
        <v>150</v>
      </c>
    </row>
    <row r="953" spans="1:12" x14ac:dyDescent="0.25">
      <c r="A953" t="s">
        <v>11</v>
      </c>
      <c r="B953">
        <v>27</v>
      </c>
      <c r="C953" t="s">
        <v>21</v>
      </c>
      <c r="D953">
        <v>1</v>
      </c>
      <c r="E953" t="s">
        <v>146</v>
      </c>
      <c r="F953">
        <v>1</v>
      </c>
      <c r="G953" t="s">
        <v>372</v>
      </c>
      <c r="H953">
        <v>0</v>
      </c>
      <c r="I953" t="s">
        <v>147</v>
      </c>
      <c r="J953" t="s">
        <v>153</v>
      </c>
      <c r="K953" t="s">
        <v>154</v>
      </c>
      <c r="L953" t="s">
        <v>150</v>
      </c>
    </row>
    <row r="954" spans="1:12" x14ac:dyDescent="0.25">
      <c r="A954" t="s">
        <v>11</v>
      </c>
      <c r="B954">
        <v>28</v>
      </c>
      <c r="C954" t="s">
        <v>21</v>
      </c>
      <c r="D954">
        <v>2</v>
      </c>
      <c r="E954" t="s">
        <v>146</v>
      </c>
      <c r="F954">
        <v>1</v>
      </c>
      <c r="G954" t="s">
        <v>372</v>
      </c>
      <c r="H954">
        <v>0</v>
      </c>
      <c r="I954" t="s">
        <v>147</v>
      </c>
      <c r="J954" t="s">
        <v>153</v>
      </c>
      <c r="K954" t="s">
        <v>154</v>
      </c>
      <c r="L954" t="s">
        <v>150</v>
      </c>
    </row>
    <row r="955" spans="1:12" x14ac:dyDescent="0.25">
      <c r="A955" t="s">
        <v>11</v>
      </c>
      <c r="B955">
        <v>29</v>
      </c>
      <c r="C955" t="s">
        <v>21</v>
      </c>
      <c r="D955">
        <v>3</v>
      </c>
      <c r="E955" t="s">
        <v>146</v>
      </c>
      <c r="G955" t="s">
        <v>372</v>
      </c>
      <c r="I955" t="s">
        <v>147</v>
      </c>
      <c r="J955" t="s">
        <v>153</v>
      </c>
      <c r="K955" t="s">
        <v>154</v>
      </c>
      <c r="L955" t="s">
        <v>150</v>
      </c>
    </row>
    <row r="956" spans="1:12" x14ac:dyDescent="0.25">
      <c r="A956" t="s">
        <v>11</v>
      </c>
      <c r="B956">
        <v>30</v>
      </c>
      <c r="C956" t="s">
        <v>24</v>
      </c>
      <c r="D956">
        <v>1</v>
      </c>
      <c r="E956" t="s">
        <v>146</v>
      </c>
      <c r="G956" t="s">
        <v>372</v>
      </c>
      <c r="I956" t="s">
        <v>147</v>
      </c>
      <c r="J956" t="s">
        <v>209</v>
      </c>
      <c r="K956" t="s">
        <v>211</v>
      </c>
      <c r="L956" t="s">
        <v>150</v>
      </c>
    </row>
    <row r="957" spans="1:12" x14ac:dyDescent="0.25">
      <c r="A957" t="s">
        <v>11</v>
      </c>
      <c r="B957">
        <v>31</v>
      </c>
      <c r="C957" t="s">
        <v>24</v>
      </c>
      <c r="D957">
        <v>2</v>
      </c>
      <c r="E957" t="s">
        <v>146</v>
      </c>
      <c r="G957" t="s">
        <v>372</v>
      </c>
      <c r="I957" t="s">
        <v>147</v>
      </c>
      <c r="J957" t="s">
        <v>209</v>
      </c>
      <c r="K957" t="s">
        <v>211</v>
      </c>
      <c r="L957" t="s">
        <v>150</v>
      </c>
    </row>
    <row r="958" spans="1:12" x14ac:dyDescent="0.25">
      <c r="A958" t="s">
        <v>11</v>
      </c>
      <c r="B958">
        <v>32</v>
      </c>
      <c r="C958" t="s">
        <v>24</v>
      </c>
      <c r="D958">
        <v>3</v>
      </c>
      <c r="E958" t="s">
        <v>146</v>
      </c>
      <c r="G958" t="s">
        <v>372</v>
      </c>
      <c r="I958" t="s">
        <v>147</v>
      </c>
      <c r="J958" t="s">
        <v>209</v>
      </c>
      <c r="K958" t="s">
        <v>211</v>
      </c>
      <c r="L958" t="s">
        <v>150</v>
      </c>
    </row>
    <row r="959" spans="1:12" x14ac:dyDescent="0.25">
      <c r="A959" t="s">
        <v>11</v>
      </c>
      <c r="B959">
        <v>33</v>
      </c>
      <c r="C959" t="s">
        <v>27</v>
      </c>
      <c r="D959">
        <v>1</v>
      </c>
      <c r="E959" t="s">
        <v>146</v>
      </c>
      <c r="G959" t="s">
        <v>372</v>
      </c>
      <c r="I959" t="s">
        <v>147</v>
      </c>
      <c r="J959" t="s">
        <v>210</v>
      </c>
      <c r="K959" t="s">
        <v>212</v>
      </c>
      <c r="L959" t="s">
        <v>150</v>
      </c>
    </row>
    <row r="960" spans="1:12" x14ac:dyDescent="0.25">
      <c r="A960" t="s">
        <v>11</v>
      </c>
      <c r="B960">
        <v>34</v>
      </c>
      <c r="C960" t="s">
        <v>27</v>
      </c>
      <c r="D960">
        <v>2</v>
      </c>
      <c r="E960" t="s">
        <v>146</v>
      </c>
      <c r="G960" t="s">
        <v>372</v>
      </c>
      <c r="I960" t="s">
        <v>147</v>
      </c>
      <c r="J960" t="s">
        <v>210</v>
      </c>
      <c r="K960" t="s">
        <v>212</v>
      </c>
      <c r="L960" t="s">
        <v>150</v>
      </c>
    </row>
    <row r="961" spans="1:12" x14ac:dyDescent="0.25">
      <c r="A961" t="s">
        <v>11</v>
      </c>
      <c r="B961">
        <v>35</v>
      </c>
      <c r="C961" t="s">
        <v>27</v>
      </c>
      <c r="D961">
        <v>3</v>
      </c>
      <c r="E961" t="s">
        <v>146</v>
      </c>
      <c r="G961" t="s">
        <v>372</v>
      </c>
      <c r="I961" t="s">
        <v>147</v>
      </c>
      <c r="J961" t="s">
        <v>210</v>
      </c>
      <c r="K961" t="s">
        <v>212</v>
      </c>
      <c r="L961" t="s">
        <v>150</v>
      </c>
    </row>
    <row r="962" spans="1:12" x14ac:dyDescent="0.25">
      <c r="A962" t="s">
        <v>11</v>
      </c>
      <c r="B962">
        <v>39</v>
      </c>
      <c r="C962" t="s">
        <v>12</v>
      </c>
      <c r="D962">
        <v>1</v>
      </c>
      <c r="E962" t="s">
        <v>155</v>
      </c>
      <c r="F962">
        <v>17</v>
      </c>
      <c r="G962" t="s">
        <v>372</v>
      </c>
      <c r="H962">
        <v>21</v>
      </c>
      <c r="I962" t="s">
        <v>156</v>
      </c>
      <c r="J962" t="s">
        <v>157</v>
      </c>
      <c r="K962" t="s">
        <v>158</v>
      </c>
      <c r="L962" t="s">
        <v>159</v>
      </c>
    </row>
    <row r="963" spans="1:12" x14ac:dyDescent="0.25">
      <c r="A963" t="s">
        <v>11</v>
      </c>
      <c r="B963">
        <v>40</v>
      </c>
      <c r="C963" t="s">
        <v>12</v>
      </c>
      <c r="D963">
        <v>2</v>
      </c>
      <c r="E963" t="s">
        <v>155</v>
      </c>
      <c r="F963">
        <v>0</v>
      </c>
      <c r="G963" t="s">
        <v>372</v>
      </c>
      <c r="H963">
        <v>1</v>
      </c>
      <c r="I963" t="s">
        <v>156</v>
      </c>
      <c r="J963" t="s">
        <v>157</v>
      </c>
      <c r="K963" t="s">
        <v>158</v>
      </c>
      <c r="L963" t="s">
        <v>159</v>
      </c>
    </row>
    <row r="964" spans="1:12" x14ac:dyDescent="0.25">
      <c r="A964" t="s">
        <v>11</v>
      </c>
      <c r="B964">
        <v>41</v>
      </c>
      <c r="C964" t="s">
        <v>12</v>
      </c>
      <c r="D964">
        <v>3</v>
      </c>
      <c r="E964" t="s">
        <v>155</v>
      </c>
      <c r="G964" t="s">
        <v>372</v>
      </c>
      <c r="I964" t="s">
        <v>156</v>
      </c>
      <c r="J964" t="s">
        <v>157</v>
      </c>
      <c r="K964" t="s">
        <v>158</v>
      </c>
      <c r="L964" t="s">
        <v>159</v>
      </c>
    </row>
    <row r="965" spans="1:12" x14ac:dyDescent="0.25">
      <c r="A965" t="s">
        <v>11</v>
      </c>
      <c r="B965">
        <v>42</v>
      </c>
      <c r="C965" t="s">
        <v>18</v>
      </c>
      <c r="D965">
        <v>1</v>
      </c>
      <c r="E965" t="s">
        <v>155</v>
      </c>
      <c r="F965">
        <v>21</v>
      </c>
      <c r="G965" t="s">
        <v>372</v>
      </c>
      <c r="H965">
        <v>14</v>
      </c>
      <c r="I965" t="s">
        <v>156</v>
      </c>
      <c r="J965" t="s">
        <v>160</v>
      </c>
      <c r="K965" t="s">
        <v>161</v>
      </c>
      <c r="L965" t="s">
        <v>159</v>
      </c>
    </row>
    <row r="966" spans="1:12" x14ac:dyDescent="0.25">
      <c r="A966" t="s">
        <v>11</v>
      </c>
      <c r="B966">
        <v>43</v>
      </c>
      <c r="C966" t="s">
        <v>18</v>
      </c>
      <c r="D966">
        <v>2</v>
      </c>
      <c r="E966" t="s">
        <v>155</v>
      </c>
      <c r="F966">
        <v>1</v>
      </c>
      <c r="G966" t="s">
        <v>372</v>
      </c>
      <c r="H966">
        <v>0</v>
      </c>
      <c r="I966" t="s">
        <v>156</v>
      </c>
      <c r="J966" t="s">
        <v>160</v>
      </c>
      <c r="K966" t="s">
        <v>161</v>
      </c>
      <c r="L966" t="s">
        <v>159</v>
      </c>
    </row>
    <row r="967" spans="1:12" x14ac:dyDescent="0.25">
      <c r="A967" t="s">
        <v>11</v>
      </c>
      <c r="B967">
        <v>44</v>
      </c>
      <c r="C967" t="s">
        <v>18</v>
      </c>
      <c r="D967">
        <v>3</v>
      </c>
      <c r="E967" t="s">
        <v>155</v>
      </c>
      <c r="G967" t="s">
        <v>372</v>
      </c>
      <c r="I967" t="s">
        <v>156</v>
      </c>
      <c r="J967" t="s">
        <v>160</v>
      </c>
      <c r="K967" t="s">
        <v>161</v>
      </c>
      <c r="L967" t="s">
        <v>159</v>
      </c>
    </row>
    <row r="968" spans="1:12" x14ac:dyDescent="0.25">
      <c r="A968" t="s">
        <v>11</v>
      </c>
      <c r="B968">
        <v>45</v>
      </c>
      <c r="C968" t="s">
        <v>21</v>
      </c>
      <c r="D968">
        <v>1</v>
      </c>
      <c r="E968" t="s">
        <v>155</v>
      </c>
      <c r="F968">
        <v>18</v>
      </c>
      <c r="G968" t="s">
        <v>372</v>
      </c>
      <c r="H968">
        <v>21</v>
      </c>
      <c r="I968" t="s">
        <v>156</v>
      </c>
      <c r="J968" t="s">
        <v>162</v>
      </c>
      <c r="K968" t="s">
        <v>163</v>
      </c>
      <c r="L968" t="s">
        <v>159</v>
      </c>
    </row>
    <row r="969" spans="1:12" x14ac:dyDescent="0.25">
      <c r="A969" t="s">
        <v>11</v>
      </c>
      <c r="B969">
        <v>46</v>
      </c>
      <c r="C969" t="s">
        <v>21</v>
      </c>
      <c r="D969">
        <v>2</v>
      </c>
      <c r="E969" t="s">
        <v>155</v>
      </c>
      <c r="F969">
        <v>0</v>
      </c>
      <c r="G969" t="s">
        <v>372</v>
      </c>
      <c r="H969">
        <v>1</v>
      </c>
      <c r="I969" t="s">
        <v>156</v>
      </c>
      <c r="J969" t="s">
        <v>162</v>
      </c>
      <c r="K969" t="s">
        <v>163</v>
      </c>
      <c r="L969" t="s">
        <v>159</v>
      </c>
    </row>
    <row r="970" spans="1:12" x14ac:dyDescent="0.25">
      <c r="A970" t="s">
        <v>11</v>
      </c>
      <c r="B970">
        <v>47</v>
      </c>
      <c r="C970" t="s">
        <v>21</v>
      </c>
      <c r="D970">
        <v>3</v>
      </c>
      <c r="E970" t="s">
        <v>155</v>
      </c>
      <c r="G970" t="s">
        <v>372</v>
      </c>
      <c r="I970" t="s">
        <v>156</v>
      </c>
      <c r="J970" t="s">
        <v>162</v>
      </c>
      <c r="K970" t="s">
        <v>163</v>
      </c>
      <c r="L970" t="s">
        <v>159</v>
      </c>
    </row>
    <row r="971" spans="1:12" x14ac:dyDescent="0.25">
      <c r="A971" t="s">
        <v>11</v>
      </c>
      <c r="B971">
        <v>48</v>
      </c>
      <c r="C971" t="s">
        <v>24</v>
      </c>
      <c r="D971">
        <v>1</v>
      </c>
      <c r="E971" t="s">
        <v>155</v>
      </c>
      <c r="F971">
        <v>21</v>
      </c>
      <c r="G971" t="s">
        <v>372</v>
      </c>
      <c r="H971">
        <v>19</v>
      </c>
      <c r="I971" t="s">
        <v>156</v>
      </c>
      <c r="J971" t="s">
        <v>164</v>
      </c>
      <c r="K971" t="s">
        <v>165</v>
      </c>
      <c r="L971" t="s">
        <v>159</v>
      </c>
    </row>
    <row r="972" spans="1:12" x14ac:dyDescent="0.25">
      <c r="A972" t="s">
        <v>11</v>
      </c>
      <c r="B972">
        <v>49</v>
      </c>
      <c r="C972" t="s">
        <v>24</v>
      </c>
      <c r="D972">
        <v>2</v>
      </c>
      <c r="E972" t="s">
        <v>155</v>
      </c>
      <c r="F972">
        <v>1</v>
      </c>
      <c r="G972" t="s">
        <v>372</v>
      </c>
      <c r="H972">
        <v>0</v>
      </c>
      <c r="I972" t="s">
        <v>156</v>
      </c>
      <c r="J972" t="s">
        <v>164</v>
      </c>
      <c r="K972" t="s">
        <v>165</v>
      </c>
      <c r="L972" t="s">
        <v>159</v>
      </c>
    </row>
    <row r="973" spans="1:12" x14ac:dyDescent="0.25">
      <c r="A973" t="s">
        <v>11</v>
      </c>
      <c r="B973">
        <v>50</v>
      </c>
      <c r="C973" t="s">
        <v>24</v>
      </c>
      <c r="D973">
        <v>3</v>
      </c>
      <c r="E973" t="s">
        <v>155</v>
      </c>
      <c r="G973" t="s">
        <v>372</v>
      </c>
      <c r="I973" t="s">
        <v>156</v>
      </c>
      <c r="J973" t="s">
        <v>164</v>
      </c>
      <c r="K973" t="s">
        <v>165</v>
      </c>
      <c r="L973" t="s">
        <v>159</v>
      </c>
    </row>
    <row r="974" spans="1:12" x14ac:dyDescent="0.25">
      <c r="A974" t="s">
        <v>11</v>
      </c>
      <c r="B974">
        <v>51</v>
      </c>
      <c r="C974" t="s">
        <v>27</v>
      </c>
      <c r="D974">
        <v>1</v>
      </c>
      <c r="E974" t="s">
        <v>155</v>
      </c>
      <c r="F974">
        <v>21</v>
      </c>
      <c r="G974" t="s">
        <v>372</v>
      </c>
      <c r="H974">
        <v>15</v>
      </c>
      <c r="I974" t="s">
        <v>156</v>
      </c>
      <c r="J974" t="s">
        <v>166</v>
      </c>
      <c r="K974" t="s">
        <v>167</v>
      </c>
      <c r="L974" t="s">
        <v>159</v>
      </c>
    </row>
    <row r="975" spans="1:12" x14ac:dyDescent="0.25">
      <c r="A975" t="s">
        <v>11</v>
      </c>
      <c r="B975">
        <v>52</v>
      </c>
      <c r="C975" t="s">
        <v>27</v>
      </c>
      <c r="D975">
        <v>2</v>
      </c>
      <c r="E975" t="s">
        <v>155</v>
      </c>
      <c r="F975">
        <v>1</v>
      </c>
      <c r="G975" t="s">
        <v>372</v>
      </c>
      <c r="H975">
        <v>0</v>
      </c>
      <c r="I975" t="s">
        <v>156</v>
      </c>
      <c r="J975" t="s">
        <v>166</v>
      </c>
      <c r="K975" t="s">
        <v>167</v>
      </c>
      <c r="L975" t="s">
        <v>159</v>
      </c>
    </row>
    <row r="976" spans="1:12" x14ac:dyDescent="0.25">
      <c r="A976" t="s">
        <v>11</v>
      </c>
      <c r="B976">
        <v>53</v>
      </c>
      <c r="C976" t="s">
        <v>27</v>
      </c>
      <c r="D976">
        <v>3</v>
      </c>
      <c r="E976" t="s">
        <v>155</v>
      </c>
      <c r="G976" t="s">
        <v>372</v>
      </c>
      <c r="I976" t="s">
        <v>156</v>
      </c>
      <c r="J976" t="s">
        <v>166</v>
      </c>
      <c r="K976" t="s">
        <v>167</v>
      </c>
      <c r="L976" t="s">
        <v>159</v>
      </c>
    </row>
    <row r="977" spans="1:12" x14ac:dyDescent="0.25">
      <c r="A977" t="s">
        <v>11</v>
      </c>
      <c r="B977">
        <v>57</v>
      </c>
      <c r="C977" t="s">
        <v>12</v>
      </c>
      <c r="D977">
        <v>1</v>
      </c>
      <c r="E977" t="s">
        <v>168</v>
      </c>
      <c r="F977">
        <v>21</v>
      </c>
      <c r="G977" t="s">
        <v>372</v>
      </c>
      <c r="H977">
        <v>13</v>
      </c>
      <c r="I977" t="s">
        <v>169</v>
      </c>
      <c r="J977" t="s">
        <v>170</v>
      </c>
      <c r="K977" t="s">
        <v>171</v>
      </c>
      <c r="L977" t="s">
        <v>172</v>
      </c>
    </row>
    <row r="978" spans="1:12" x14ac:dyDescent="0.25">
      <c r="A978" t="s">
        <v>11</v>
      </c>
      <c r="B978">
        <v>58</v>
      </c>
      <c r="C978" t="s">
        <v>12</v>
      </c>
      <c r="D978">
        <v>2</v>
      </c>
      <c r="E978" t="s">
        <v>168</v>
      </c>
      <c r="F978">
        <v>1</v>
      </c>
      <c r="G978" t="s">
        <v>372</v>
      </c>
      <c r="H978">
        <v>0</v>
      </c>
      <c r="I978" t="s">
        <v>169</v>
      </c>
      <c r="J978" t="s">
        <v>170</v>
      </c>
      <c r="K978" t="s">
        <v>171</v>
      </c>
      <c r="L978" t="s">
        <v>172</v>
      </c>
    </row>
    <row r="979" spans="1:12" x14ac:dyDescent="0.25">
      <c r="A979" t="s">
        <v>11</v>
      </c>
      <c r="B979">
        <v>59</v>
      </c>
      <c r="C979" t="s">
        <v>12</v>
      </c>
      <c r="D979">
        <v>3</v>
      </c>
      <c r="E979" t="s">
        <v>168</v>
      </c>
      <c r="G979" t="s">
        <v>372</v>
      </c>
      <c r="I979" t="s">
        <v>169</v>
      </c>
      <c r="J979" t="s">
        <v>170</v>
      </c>
      <c r="K979" t="s">
        <v>171</v>
      </c>
      <c r="L979" t="s">
        <v>172</v>
      </c>
    </row>
    <row r="980" spans="1:12" x14ac:dyDescent="0.25">
      <c r="A980" t="s">
        <v>11</v>
      </c>
      <c r="B980">
        <v>60</v>
      </c>
      <c r="C980" t="s">
        <v>18</v>
      </c>
      <c r="D980">
        <v>1</v>
      </c>
      <c r="E980" t="s">
        <v>168</v>
      </c>
      <c r="F980">
        <v>21</v>
      </c>
      <c r="G980" t="s">
        <v>372</v>
      </c>
      <c r="H980">
        <v>19</v>
      </c>
      <c r="I980" t="s">
        <v>169</v>
      </c>
      <c r="J980" t="s">
        <v>173</v>
      </c>
      <c r="K980" t="s">
        <v>174</v>
      </c>
      <c r="L980" t="s">
        <v>172</v>
      </c>
    </row>
    <row r="981" spans="1:12" x14ac:dyDescent="0.25">
      <c r="A981" t="s">
        <v>11</v>
      </c>
      <c r="B981">
        <v>61</v>
      </c>
      <c r="C981" t="s">
        <v>18</v>
      </c>
      <c r="D981">
        <v>2</v>
      </c>
      <c r="E981" t="s">
        <v>168</v>
      </c>
      <c r="F981">
        <v>1</v>
      </c>
      <c r="G981" t="s">
        <v>372</v>
      </c>
      <c r="H981">
        <v>0</v>
      </c>
      <c r="I981" t="s">
        <v>169</v>
      </c>
      <c r="J981" t="s">
        <v>173</v>
      </c>
      <c r="K981" t="s">
        <v>174</v>
      </c>
      <c r="L981" t="s">
        <v>172</v>
      </c>
    </row>
    <row r="982" spans="1:12" x14ac:dyDescent="0.25">
      <c r="A982" t="s">
        <v>11</v>
      </c>
      <c r="B982">
        <v>62</v>
      </c>
      <c r="C982" t="s">
        <v>18</v>
      </c>
      <c r="D982">
        <v>3</v>
      </c>
      <c r="E982" t="s">
        <v>168</v>
      </c>
      <c r="G982" t="s">
        <v>372</v>
      </c>
      <c r="I982" t="s">
        <v>169</v>
      </c>
      <c r="J982" t="s">
        <v>173</v>
      </c>
      <c r="K982" t="s">
        <v>174</v>
      </c>
      <c r="L982" t="s">
        <v>172</v>
      </c>
    </row>
    <row r="983" spans="1:12" x14ac:dyDescent="0.25">
      <c r="A983" t="s">
        <v>11</v>
      </c>
      <c r="B983">
        <v>63</v>
      </c>
      <c r="C983" t="s">
        <v>21</v>
      </c>
      <c r="D983">
        <v>1</v>
      </c>
      <c r="E983" t="s">
        <v>168</v>
      </c>
      <c r="F983">
        <v>25</v>
      </c>
      <c r="G983" t="s">
        <v>372</v>
      </c>
      <c r="H983">
        <v>23</v>
      </c>
      <c r="I983" t="s">
        <v>169</v>
      </c>
      <c r="J983" t="s">
        <v>175</v>
      </c>
      <c r="K983" t="s">
        <v>176</v>
      </c>
      <c r="L983" t="s">
        <v>172</v>
      </c>
    </row>
    <row r="984" spans="1:12" x14ac:dyDescent="0.25">
      <c r="A984" t="s">
        <v>11</v>
      </c>
      <c r="B984">
        <v>64</v>
      </c>
      <c r="C984" t="s">
        <v>21</v>
      </c>
      <c r="D984">
        <v>2</v>
      </c>
      <c r="E984" t="s">
        <v>168</v>
      </c>
      <c r="F984">
        <v>1</v>
      </c>
      <c r="G984" t="s">
        <v>372</v>
      </c>
      <c r="H984">
        <v>0</v>
      </c>
      <c r="I984" t="s">
        <v>169</v>
      </c>
      <c r="J984" t="s">
        <v>175</v>
      </c>
      <c r="K984" t="s">
        <v>176</v>
      </c>
      <c r="L984" t="s">
        <v>172</v>
      </c>
    </row>
    <row r="985" spans="1:12" x14ac:dyDescent="0.25">
      <c r="A985" t="s">
        <v>11</v>
      </c>
      <c r="B985">
        <v>65</v>
      </c>
      <c r="C985" t="s">
        <v>21</v>
      </c>
      <c r="D985">
        <v>3</v>
      </c>
      <c r="E985" t="s">
        <v>168</v>
      </c>
      <c r="G985" t="s">
        <v>372</v>
      </c>
      <c r="I985" t="s">
        <v>169</v>
      </c>
      <c r="J985" t="s">
        <v>175</v>
      </c>
      <c r="K985" t="s">
        <v>176</v>
      </c>
      <c r="L985" t="s">
        <v>172</v>
      </c>
    </row>
    <row r="986" spans="1:12" x14ac:dyDescent="0.25">
      <c r="A986" t="s">
        <v>11</v>
      </c>
      <c r="B986">
        <v>66</v>
      </c>
      <c r="C986" t="s">
        <v>24</v>
      </c>
      <c r="D986">
        <v>1</v>
      </c>
      <c r="E986" t="s">
        <v>168</v>
      </c>
      <c r="F986">
        <v>28</v>
      </c>
      <c r="G986" t="s">
        <v>372</v>
      </c>
      <c r="H986">
        <v>26</v>
      </c>
      <c r="I986" t="s">
        <v>169</v>
      </c>
      <c r="J986" t="s">
        <v>177</v>
      </c>
      <c r="K986" t="s">
        <v>178</v>
      </c>
      <c r="L986" t="s">
        <v>172</v>
      </c>
    </row>
    <row r="987" spans="1:12" x14ac:dyDescent="0.25">
      <c r="A987" t="s">
        <v>11</v>
      </c>
      <c r="B987">
        <v>67</v>
      </c>
      <c r="C987" t="s">
        <v>24</v>
      </c>
      <c r="D987">
        <v>2</v>
      </c>
      <c r="E987" t="s">
        <v>168</v>
      </c>
      <c r="F987">
        <v>1</v>
      </c>
      <c r="G987" t="s">
        <v>372</v>
      </c>
      <c r="H987">
        <v>0</v>
      </c>
      <c r="I987" t="s">
        <v>169</v>
      </c>
      <c r="J987" t="s">
        <v>177</v>
      </c>
      <c r="K987" t="s">
        <v>178</v>
      </c>
      <c r="L987" t="s">
        <v>172</v>
      </c>
    </row>
    <row r="988" spans="1:12" x14ac:dyDescent="0.25">
      <c r="A988" t="s">
        <v>11</v>
      </c>
      <c r="B988">
        <v>68</v>
      </c>
      <c r="C988" t="s">
        <v>24</v>
      </c>
      <c r="D988">
        <v>3</v>
      </c>
      <c r="E988" t="s">
        <v>168</v>
      </c>
      <c r="G988" t="s">
        <v>372</v>
      </c>
      <c r="I988" t="s">
        <v>169</v>
      </c>
      <c r="J988" t="s">
        <v>177</v>
      </c>
      <c r="K988" t="s">
        <v>178</v>
      </c>
      <c r="L988" t="s">
        <v>172</v>
      </c>
    </row>
    <row r="989" spans="1:12" x14ac:dyDescent="0.25">
      <c r="A989" t="s">
        <v>11</v>
      </c>
      <c r="B989">
        <v>69</v>
      </c>
      <c r="C989" t="s">
        <v>27</v>
      </c>
      <c r="D989">
        <v>1</v>
      </c>
      <c r="E989" t="s">
        <v>168</v>
      </c>
      <c r="F989">
        <v>21</v>
      </c>
      <c r="G989" t="s">
        <v>372</v>
      </c>
      <c r="H989">
        <v>14</v>
      </c>
      <c r="I989" t="s">
        <v>169</v>
      </c>
      <c r="J989" t="s">
        <v>179</v>
      </c>
      <c r="K989" t="s">
        <v>180</v>
      </c>
      <c r="L989" t="s">
        <v>172</v>
      </c>
    </row>
    <row r="990" spans="1:12" x14ac:dyDescent="0.25">
      <c r="A990" t="s">
        <v>11</v>
      </c>
      <c r="B990">
        <v>70</v>
      </c>
      <c r="C990" t="s">
        <v>27</v>
      </c>
      <c r="D990">
        <v>2</v>
      </c>
      <c r="E990" t="s">
        <v>168</v>
      </c>
      <c r="F990">
        <v>1</v>
      </c>
      <c r="G990" t="s">
        <v>372</v>
      </c>
      <c r="H990">
        <v>0</v>
      </c>
      <c r="I990" t="s">
        <v>169</v>
      </c>
      <c r="J990" t="s">
        <v>179</v>
      </c>
      <c r="K990" t="s">
        <v>180</v>
      </c>
      <c r="L990" t="s">
        <v>172</v>
      </c>
    </row>
    <row r="991" spans="1:12" x14ac:dyDescent="0.25">
      <c r="A991" t="s">
        <v>11</v>
      </c>
      <c r="B991">
        <v>71</v>
      </c>
      <c r="C991" t="s">
        <v>27</v>
      </c>
      <c r="D991">
        <v>3</v>
      </c>
      <c r="E991" t="s">
        <v>168</v>
      </c>
      <c r="G991" t="s">
        <v>372</v>
      </c>
      <c r="I991" t="s">
        <v>169</v>
      </c>
      <c r="J991" t="s">
        <v>179</v>
      </c>
      <c r="K991" t="s">
        <v>180</v>
      </c>
      <c r="L991" t="s">
        <v>172</v>
      </c>
    </row>
    <row r="992" spans="1:12" x14ac:dyDescent="0.25">
      <c r="A992" t="s">
        <v>11</v>
      </c>
      <c r="B992">
        <v>75</v>
      </c>
      <c r="C992" t="s">
        <v>12</v>
      </c>
      <c r="D992">
        <v>1</v>
      </c>
      <c r="E992" t="s">
        <v>181</v>
      </c>
      <c r="F992">
        <v>1</v>
      </c>
      <c r="G992" t="s">
        <v>372</v>
      </c>
      <c r="H992">
        <v>0</v>
      </c>
      <c r="I992" t="s">
        <v>182</v>
      </c>
      <c r="J992" t="s">
        <v>183</v>
      </c>
      <c r="K992" t="s">
        <v>184</v>
      </c>
      <c r="L992" t="s">
        <v>185</v>
      </c>
    </row>
    <row r="993" spans="1:12" x14ac:dyDescent="0.25">
      <c r="A993" t="s">
        <v>11</v>
      </c>
      <c r="B993">
        <v>76</v>
      </c>
      <c r="C993" t="s">
        <v>12</v>
      </c>
      <c r="D993">
        <v>2</v>
      </c>
      <c r="E993" t="s">
        <v>181</v>
      </c>
      <c r="F993">
        <v>1</v>
      </c>
      <c r="G993" t="s">
        <v>372</v>
      </c>
      <c r="H993">
        <v>0</v>
      </c>
      <c r="I993" t="s">
        <v>182</v>
      </c>
      <c r="J993" t="s">
        <v>183</v>
      </c>
      <c r="K993" t="s">
        <v>184</v>
      </c>
      <c r="L993" t="s">
        <v>185</v>
      </c>
    </row>
    <row r="994" spans="1:12" x14ac:dyDescent="0.25">
      <c r="A994" t="s">
        <v>11</v>
      </c>
      <c r="B994">
        <v>77</v>
      </c>
      <c r="C994" t="s">
        <v>12</v>
      </c>
      <c r="D994">
        <v>3</v>
      </c>
      <c r="E994" t="s">
        <v>181</v>
      </c>
      <c r="G994" t="s">
        <v>372</v>
      </c>
      <c r="I994" t="s">
        <v>182</v>
      </c>
      <c r="J994" t="s">
        <v>183</v>
      </c>
      <c r="K994" t="s">
        <v>184</v>
      </c>
      <c r="L994" t="s">
        <v>185</v>
      </c>
    </row>
    <row r="995" spans="1:12" x14ac:dyDescent="0.25">
      <c r="A995" t="s">
        <v>11</v>
      </c>
      <c r="B995">
        <v>78</v>
      </c>
      <c r="C995" t="s">
        <v>18</v>
      </c>
      <c r="D995">
        <v>1</v>
      </c>
      <c r="E995" t="s">
        <v>181</v>
      </c>
      <c r="F995">
        <v>1</v>
      </c>
      <c r="G995" t="s">
        <v>372</v>
      </c>
      <c r="H995">
        <v>0</v>
      </c>
      <c r="I995" t="s">
        <v>182</v>
      </c>
      <c r="J995" t="s">
        <v>186</v>
      </c>
      <c r="K995" t="s">
        <v>187</v>
      </c>
      <c r="L995" t="s">
        <v>185</v>
      </c>
    </row>
    <row r="996" spans="1:12" x14ac:dyDescent="0.25">
      <c r="A996" t="s">
        <v>11</v>
      </c>
      <c r="B996">
        <v>79</v>
      </c>
      <c r="C996" t="s">
        <v>18</v>
      </c>
      <c r="D996">
        <v>2</v>
      </c>
      <c r="E996" t="s">
        <v>181</v>
      </c>
      <c r="F996">
        <v>1</v>
      </c>
      <c r="G996" t="s">
        <v>372</v>
      </c>
      <c r="H996">
        <v>0</v>
      </c>
      <c r="I996" t="s">
        <v>182</v>
      </c>
      <c r="J996" t="s">
        <v>186</v>
      </c>
      <c r="K996" t="s">
        <v>187</v>
      </c>
      <c r="L996" t="s">
        <v>185</v>
      </c>
    </row>
    <row r="997" spans="1:12" x14ac:dyDescent="0.25">
      <c r="A997" t="s">
        <v>11</v>
      </c>
      <c r="B997">
        <v>80</v>
      </c>
      <c r="C997" t="s">
        <v>18</v>
      </c>
      <c r="D997">
        <v>3</v>
      </c>
      <c r="E997" t="s">
        <v>181</v>
      </c>
      <c r="G997" t="s">
        <v>372</v>
      </c>
      <c r="I997" t="s">
        <v>182</v>
      </c>
      <c r="J997" t="s">
        <v>186</v>
      </c>
      <c r="K997" t="s">
        <v>187</v>
      </c>
      <c r="L997" t="s">
        <v>185</v>
      </c>
    </row>
    <row r="998" spans="1:12" x14ac:dyDescent="0.25">
      <c r="A998" t="s">
        <v>11</v>
      </c>
      <c r="B998">
        <v>81</v>
      </c>
      <c r="C998" t="s">
        <v>21</v>
      </c>
      <c r="D998">
        <v>1</v>
      </c>
      <c r="E998" t="s">
        <v>181</v>
      </c>
      <c r="F998">
        <v>1</v>
      </c>
      <c r="G998" t="s">
        <v>372</v>
      </c>
      <c r="H998">
        <v>0</v>
      </c>
      <c r="I998" t="s">
        <v>182</v>
      </c>
      <c r="J998" t="s">
        <v>188</v>
      </c>
      <c r="K998" t="s">
        <v>189</v>
      </c>
      <c r="L998" t="s">
        <v>185</v>
      </c>
    </row>
    <row r="999" spans="1:12" x14ac:dyDescent="0.25">
      <c r="A999" t="s">
        <v>11</v>
      </c>
      <c r="B999">
        <v>82</v>
      </c>
      <c r="C999" t="s">
        <v>21</v>
      </c>
      <c r="D999">
        <v>2</v>
      </c>
      <c r="E999" t="s">
        <v>181</v>
      </c>
      <c r="F999">
        <v>1</v>
      </c>
      <c r="G999" t="s">
        <v>372</v>
      </c>
      <c r="H999">
        <v>0</v>
      </c>
      <c r="I999" t="s">
        <v>182</v>
      </c>
      <c r="J999" t="s">
        <v>188</v>
      </c>
      <c r="K999" t="s">
        <v>189</v>
      </c>
      <c r="L999" t="s">
        <v>185</v>
      </c>
    </row>
    <row r="1000" spans="1:12" x14ac:dyDescent="0.25">
      <c r="A1000" t="s">
        <v>11</v>
      </c>
      <c r="B1000">
        <v>83</v>
      </c>
      <c r="C1000" t="s">
        <v>21</v>
      </c>
      <c r="D1000">
        <v>3</v>
      </c>
      <c r="E1000" t="s">
        <v>181</v>
      </c>
      <c r="G1000" t="s">
        <v>372</v>
      </c>
      <c r="I1000" t="s">
        <v>182</v>
      </c>
      <c r="J1000" t="s">
        <v>188</v>
      </c>
      <c r="K1000" t="s">
        <v>189</v>
      </c>
      <c r="L1000" t="s">
        <v>185</v>
      </c>
    </row>
    <row r="1001" spans="1:12" x14ac:dyDescent="0.25">
      <c r="A1001" t="s">
        <v>11</v>
      </c>
      <c r="B1001">
        <v>84</v>
      </c>
      <c r="C1001" t="s">
        <v>24</v>
      </c>
      <c r="D1001">
        <v>1</v>
      </c>
      <c r="E1001" t="s">
        <v>181</v>
      </c>
      <c r="F1001">
        <v>1</v>
      </c>
      <c r="G1001" t="s">
        <v>372</v>
      </c>
      <c r="H1001">
        <v>0</v>
      </c>
      <c r="I1001" t="s">
        <v>182</v>
      </c>
      <c r="J1001" t="s">
        <v>190</v>
      </c>
      <c r="K1001" t="s">
        <v>191</v>
      </c>
      <c r="L1001" t="s">
        <v>185</v>
      </c>
    </row>
    <row r="1002" spans="1:12" x14ac:dyDescent="0.25">
      <c r="A1002" t="s">
        <v>11</v>
      </c>
      <c r="B1002">
        <v>85</v>
      </c>
      <c r="C1002" t="s">
        <v>24</v>
      </c>
      <c r="D1002">
        <v>2</v>
      </c>
      <c r="E1002" t="s">
        <v>181</v>
      </c>
      <c r="F1002">
        <v>1</v>
      </c>
      <c r="G1002" t="s">
        <v>372</v>
      </c>
      <c r="H1002">
        <v>0</v>
      </c>
      <c r="I1002" t="s">
        <v>182</v>
      </c>
      <c r="J1002" t="s">
        <v>190</v>
      </c>
      <c r="K1002" t="s">
        <v>191</v>
      </c>
      <c r="L1002" t="s">
        <v>185</v>
      </c>
    </row>
    <row r="1003" spans="1:12" x14ac:dyDescent="0.25">
      <c r="A1003" t="s">
        <v>11</v>
      </c>
      <c r="B1003">
        <v>86</v>
      </c>
      <c r="C1003" t="s">
        <v>24</v>
      </c>
      <c r="D1003">
        <v>3</v>
      </c>
      <c r="E1003" t="s">
        <v>181</v>
      </c>
      <c r="G1003" t="s">
        <v>372</v>
      </c>
      <c r="I1003" t="s">
        <v>182</v>
      </c>
      <c r="J1003" t="s">
        <v>190</v>
      </c>
      <c r="K1003" t="s">
        <v>191</v>
      </c>
      <c r="L1003" t="s">
        <v>185</v>
      </c>
    </row>
    <row r="1004" spans="1:12" x14ac:dyDescent="0.25">
      <c r="A1004" t="s">
        <v>11</v>
      </c>
      <c r="B1004">
        <v>87</v>
      </c>
      <c r="C1004" t="s">
        <v>27</v>
      </c>
      <c r="D1004">
        <v>1</v>
      </c>
      <c r="E1004" t="s">
        <v>181</v>
      </c>
      <c r="F1004">
        <v>0</v>
      </c>
      <c r="G1004" t="s">
        <v>372</v>
      </c>
      <c r="H1004">
        <v>1</v>
      </c>
      <c r="I1004" t="s">
        <v>182</v>
      </c>
      <c r="J1004" t="s">
        <v>192</v>
      </c>
      <c r="K1004" t="s">
        <v>193</v>
      </c>
      <c r="L1004" t="s">
        <v>185</v>
      </c>
    </row>
    <row r="1005" spans="1:12" x14ac:dyDescent="0.25">
      <c r="A1005" t="s">
        <v>11</v>
      </c>
      <c r="B1005">
        <v>88</v>
      </c>
      <c r="C1005" t="s">
        <v>27</v>
      </c>
      <c r="D1005">
        <v>2</v>
      </c>
      <c r="E1005" t="s">
        <v>181</v>
      </c>
      <c r="F1005">
        <v>0</v>
      </c>
      <c r="G1005" t="s">
        <v>372</v>
      </c>
      <c r="H1005">
        <v>1</v>
      </c>
      <c r="I1005" t="s">
        <v>182</v>
      </c>
      <c r="J1005" t="s">
        <v>192</v>
      </c>
      <c r="K1005" t="s">
        <v>193</v>
      </c>
      <c r="L1005" t="s">
        <v>185</v>
      </c>
    </row>
    <row r="1006" spans="1:12" x14ac:dyDescent="0.25">
      <c r="A1006" t="s">
        <v>11</v>
      </c>
      <c r="B1006">
        <v>89</v>
      </c>
      <c r="C1006" t="s">
        <v>27</v>
      </c>
      <c r="D1006">
        <v>3</v>
      </c>
      <c r="E1006" t="s">
        <v>181</v>
      </c>
      <c r="G1006" t="s">
        <v>372</v>
      </c>
      <c r="I1006" t="s">
        <v>182</v>
      </c>
      <c r="J1006" t="s">
        <v>192</v>
      </c>
      <c r="K1006" t="s">
        <v>193</v>
      </c>
      <c r="L1006" t="s">
        <v>185</v>
      </c>
    </row>
    <row r="1007" spans="1:12" x14ac:dyDescent="0.25">
      <c r="A1007" t="s">
        <v>11</v>
      </c>
      <c r="B1007">
        <v>93</v>
      </c>
      <c r="C1007" t="s">
        <v>12</v>
      </c>
      <c r="D1007">
        <v>1</v>
      </c>
      <c r="E1007" t="s">
        <v>13</v>
      </c>
      <c r="F1007">
        <v>21</v>
      </c>
      <c r="G1007" t="s">
        <v>372</v>
      </c>
      <c r="H1007">
        <v>16</v>
      </c>
      <c r="I1007" t="s">
        <v>14</v>
      </c>
      <c r="J1007" t="s">
        <v>15</v>
      </c>
      <c r="K1007" t="s">
        <v>16</v>
      </c>
      <c r="L1007" t="s">
        <v>17</v>
      </c>
    </row>
    <row r="1008" spans="1:12" x14ac:dyDescent="0.25">
      <c r="A1008" t="s">
        <v>11</v>
      </c>
      <c r="B1008">
        <v>94</v>
      </c>
      <c r="C1008" t="s">
        <v>12</v>
      </c>
      <c r="D1008">
        <v>2</v>
      </c>
      <c r="E1008" t="s">
        <v>13</v>
      </c>
      <c r="F1008">
        <v>1</v>
      </c>
      <c r="G1008" t="s">
        <v>372</v>
      </c>
      <c r="H1008">
        <v>0</v>
      </c>
      <c r="I1008" t="s">
        <v>14</v>
      </c>
      <c r="J1008" t="s">
        <v>15</v>
      </c>
      <c r="K1008" t="s">
        <v>16</v>
      </c>
      <c r="L1008" t="s">
        <v>17</v>
      </c>
    </row>
    <row r="1009" spans="1:12" x14ac:dyDescent="0.25">
      <c r="A1009" t="s">
        <v>11</v>
      </c>
      <c r="B1009">
        <v>95</v>
      </c>
      <c r="C1009" t="s">
        <v>12</v>
      </c>
      <c r="D1009">
        <v>3</v>
      </c>
      <c r="E1009" t="s">
        <v>13</v>
      </c>
      <c r="G1009" t="s">
        <v>372</v>
      </c>
      <c r="I1009" t="s">
        <v>14</v>
      </c>
      <c r="J1009" t="s">
        <v>15</v>
      </c>
      <c r="K1009" t="s">
        <v>16</v>
      </c>
      <c r="L1009" t="s">
        <v>17</v>
      </c>
    </row>
    <row r="1010" spans="1:12" x14ac:dyDescent="0.25">
      <c r="A1010" t="s">
        <v>11</v>
      </c>
      <c r="B1010">
        <v>96</v>
      </c>
      <c r="C1010" t="s">
        <v>18</v>
      </c>
      <c r="D1010">
        <v>1</v>
      </c>
      <c r="E1010" t="s">
        <v>13</v>
      </c>
      <c r="F1010">
        <v>21</v>
      </c>
      <c r="G1010" t="s">
        <v>372</v>
      </c>
      <c r="H1010">
        <v>19</v>
      </c>
      <c r="I1010" t="s">
        <v>14</v>
      </c>
      <c r="J1010" t="s">
        <v>19</v>
      </c>
      <c r="K1010" t="s">
        <v>20</v>
      </c>
      <c r="L1010" t="s">
        <v>17</v>
      </c>
    </row>
    <row r="1011" spans="1:12" x14ac:dyDescent="0.25">
      <c r="A1011" t="s">
        <v>11</v>
      </c>
      <c r="B1011">
        <v>97</v>
      </c>
      <c r="C1011" t="s">
        <v>18</v>
      </c>
      <c r="D1011">
        <v>2</v>
      </c>
      <c r="E1011" t="s">
        <v>13</v>
      </c>
      <c r="F1011">
        <v>1</v>
      </c>
      <c r="G1011" t="s">
        <v>372</v>
      </c>
      <c r="H1011">
        <v>0</v>
      </c>
      <c r="I1011" t="s">
        <v>14</v>
      </c>
      <c r="J1011" t="s">
        <v>19</v>
      </c>
      <c r="K1011" t="s">
        <v>20</v>
      </c>
      <c r="L1011" t="s">
        <v>17</v>
      </c>
    </row>
    <row r="1012" spans="1:12" x14ac:dyDescent="0.25">
      <c r="A1012" t="s">
        <v>11</v>
      </c>
      <c r="B1012">
        <v>98</v>
      </c>
      <c r="C1012" t="s">
        <v>18</v>
      </c>
      <c r="D1012">
        <v>3</v>
      </c>
      <c r="E1012" t="s">
        <v>13</v>
      </c>
      <c r="G1012" t="s">
        <v>372</v>
      </c>
      <c r="I1012" t="s">
        <v>14</v>
      </c>
      <c r="J1012" t="s">
        <v>19</v>
      </c>
      <c r="K1012" t="s">
        <v>20</v>
      </c>
      <c r="L1012" t="s">
        <v>17</v>
      </c>
    </row>
    <row r="1013" spans="1:12" x14ac:dyDescent="0.25">
      <c r="A1013" t="s">
        <v>11</v>
      </c>
      <c r="B1013">
        <v>99</v>
      </c>
      <c r="C1013" t="s">
        <v>21</v>
      </c>
      <c r="D1013">
        <v>1</v>
      </c>
      <c r="E1013" t="s">
        <v>13</v>
      </c>
      <c r="F1013">
        <v>18</v>
      </c>
      <c r="G1013" t="s">
        <v>372</v>
      </c>
      <c r="H1013">
        <v>21</v>
      </c>
      <c r="I1013" t="s">
        <v>14</v>
      </c>
      <c r="J1013" t="s">
        <v>22</v>
      </c>
      <c r="K1013" t="s">
        <v>23</v>
      </c>
      <c r="L1013" t="s">
        <v>17</v>
      </c>
    </row>
    <row r="1014" spans="1:12" x14ac:dyDescent="0.25">
      <c r="A1014" t="s">
        <v>11</v>
      </c>
      <c r="B1014">
        <v>100</v>
      </c>
      <c r="C1014" t="s">
        <v>21</v>
      </c>
      <c r="D1014">
        <v>2</v>
      </c>
      <c r="E1014" t="s">
        <v>13</v>
      </c>
      <c r="F1014">
        <v>0</v>
      </c>
      <c r="G1014" t="s">
        <v>372</v>
      </c>
      <c r="H1014">
        <v>1</v>
      </c>
      <c r="I1014" t="s">
        <v>14</v>
      </c>
      <c r="J1014" t="s">
        <v>22</v>
      </c>
      <c r="K1014" t="s">
        <v>23</v>
      </c>
      <c r="L1014" t="s">
        <v>17</v>
      </c>
    </row>
    <row r="1015" spans="1:12" x14ac:dyDescent="0.25">
      <c r="A1015" t="s">
        <v>11</v>
      </c>
      <c r="B1015">
        <v>101</v>
      </c>
      <c r="C1015" t="s">
        <v>21</v>
      </c>
      <c r="D1015">
        <v>3</v>
      </c>
      <c r="E1015" t="s">
        <v>13</v>
      </c>
      <c r="G1015" t="s">
        <v>372</v>
      </c>
      <c r="I1015" t="s">
        <v>14</v>
      </c>
      <c r="J1015" t="s">
        <v>22</v>
      </c>
      <c r="K1015" t="s">
        <v>23</v>
      </c>
      <c r="L1015" t="s">
        <v>17</v>
      </c>
    </row>
    <row r="1016" spans="1:12" x14ac:dyDescent="0.25">
      <c r="A1016" t="s">
        <v>11</v>
      </c>
      <c r="B1016">
        <v>102</v>
      </c>
      <c r="C1016" t="s">
        <v>24</v>
      </c>
      <c r="D1016">
        <v>1</v>
      </c>
      <c r="E1016" t="s">
        <v>13</v>
      </c>
      <c r="F1016">
        <v>16</v>
      </c>
      <c r="G1016" t="s">
        <v>372</v>
      </c>
      <c r="H1016">
        <v>21</v>
      </c>
      <c r="I1016" t="s">
        <v>14</v>
      </c>
      <c r="J1016" t="s">
        <v>25</v>
      </c>
      <c r="K1016" t="s">
        <v>26</v>
      </c>
      <c r="L1016" t="s">
        <v>17</v>
      </c>
    </row>
    <row r="1017" spans="1:12" x14ac:dyDescent="0.25">
      <c r="A1017" t="s">
        <v>11</v>
      </c>
      <c r="B1017">
        <v>103</v>
      </c>
      <c r="C1017" t="s">
        <v>24</v>
      </c>
      <c r="D1017">
        <v>2</v>
      </c>
      <c r="E1017" t="s">
        <v>13</v>
      </c>
      <c r="F1017">
        <v>0</v>
      </c>
      <c r="G1017" t="s">
        <v>372</v>
      </c>
      <c r="H1017">
        <v>1</v>
      </c>
      <c r="I1017" t="s">
        <v>14</v>
      </c>
      <c r="J1017" t="s">
        <v>25</v>
      </c>
      <c r="K1017" t="s">
        <v>26</v>
      </c>
      <c r="L1017" t="s">
        <v>17</v>
      </c>
    </row>
    <row r="1018" spans="1:12" x14ac:dyDescent="0.25">
      <c r="A1018" t="s">
        <v>11</v>
      </c>
      <c r="B1018">
        <v>104</v>
      </c>
      <c r="C1018" t="s">
        <v>24</v>
      </c>
      <c r="D1018">
        <v>3</v>
      </c>
      <c r="E1018" t="s">
        <v>13</v>
      </c>
      <c r="G1018" t="s">
        <v>372</v>
      </c>
      <c r="I1018" t="s">
        <v>14</v>
      </c>
      <c r="J1018" t="s">
        <v>25</v>
      </c>
      <c r="K1018" t="s">
        <v>26</v>
      </c>
      <c r="L1018" t="s">
        <v>17</v>
      </c>
    </row>
    <row r="1019" spans="1:12" x14ac:dyDescent="0.25">
      <c r="A1019" t="s">
        <v>11</v>
      </c>
      <c r="B1019">
        <v>105</v>
      </c>
      <c r="C1019" t="s">
        <v>27</v>
      </c>
      <c r="D1019">
        <v>1</v>
      </c>
      <c r="E1019" t="s">
        <v>13</v>
      </c>
      <c r="F1019">
        <v>18</v>
      </c>
      <c r="G1019" t="s">
        <v>372</v>
      </c>
      <c r="H1019">
        <v>21</v>
      </c>
      <c r="I1019" t="s">
        <v>14</v>
      </c>
      <c r="J1019" t="s">
        <v>28</v>
      </c>
      <c r="K1019" t="s">
        <v>29</v>
      </c>
      <c r="L1019" t="s">
        <v>17</v>
      </c>
    </row>
    <row r="1020" spans="1:12" x14ac:dyDescent="0.25">
      <c r="A1020" t="s">
        <v>11</v>
      </c>
      <c r="B1020">
        <v>106</v>
      </c>
      <c r="C1020" t="s">
        <v>27</v>
      </c>
      <c r="D1020">
        <v>2</v>
      </c>
      <c r="E1020" t="s">
        <v>13</v>
      </c>
      <c r="F1020">
        <v>0</v>
      </c>
      <c r="G1020" t="s">
        <v>372</v>
      </c>
      <c r="H1020">
        <v>1</v>
      </c>
      <c r="I1020" t="s">
        <v>14</v>
      </c>
      <c r="J1020" t="s">
        <v>28</v>
      </c>
      <c r="K1020" t="s">
        <v>29</v>
      </c>
      <c r="L1020" t="s">
        <v>17</v>
      </c>
    </row>
    <row r="1021" spans="1:12" x14ac:dyDescent="0.25">
      <c r="A1021" t="s">
        <v>11</v>
      </c>
      <c r="B1021">
        <v>107</v>
      </c>
      <c r="C1021" t="s">
        <v>27</v>
      </c>
      <c r="D1021">
        <v>3</v>
      </c>
      <c r="E1021" t="s">
        <v>13</v>
      </c>
      <c r="G1021" t="s">
        <v>372</v>
      </c>
      <c r="I1021" t="s">
        <v>14</v>
      </c>
      <c r="J1021" t="s">
        <v>28</v>
      </c>
      <c r="K1021" t="s">
        <v>29</v>
      </c>
      <c r="L1021" t="s">
        <v>17</v>
      </c>
    </row>
    <row r="1022" spans="1:12" x14ac:dyDescent="0.25">
      <c r="A1022" t="s">
        <v>11</v>
      </c>
      <c r="B1022">
        <v>111</v>
      </c>
      <c r="C1022" t="s">
        <v>12</v>
      </c>
      <c r="D1022">
        <v>1</v>
      </c>
      <c r="E1022" t="s">
        <v>30</v>
      </c>
      <c r="F1022">
        <v>24</v>
      </c>
      <c r="G1022" t="s">
        <v>372</v>
      </c>
      <c r="H1022">
        <v>25</v>
      </c>
      <c r="I1022" t="s">
        <v>31</v>
      </c>
      <c r="J1022" t="s">
        <v>32</v>
      </c>
      <c r="K1022" t="s">
        <v>33</v>
      </c>
      <c r="L1022" t="s">
        <v>34</v>
      </c>
    </row>
    <row r="1023" spans="1:12" x14ac:dyDescent="0.25">
      <c r="A1023" t="s">
        <v>11</v>
      </c>
      <c r="B1023">
        <v>112</v>
      </c>
      <c r="C1023" t="s">
        <v>12</v>
      </c>
      <c r="D1023">
        <v>2</v>
      </c>
      <c r="E1023" t="s">
        <v>30</v>
      </c>
      <c r="F1023">
        <v>0</v>
      </c>
      <c r="G1023" t="s">
        <v>372</v>
      </c>
      <c r="H1023">
        <v>1</v>
      </c>
      <c r="I1023" t="s">
        <v>31</v>
      </c>
      <c r="J1023" t="s">
        <v>32</v>
      </c>
      <c r="K1023" t="s">
        <v>33</v>
      </c>
      <c r="L1023" t="s">
        <v>34</v>
      </c>
    </row>
    <row r="1024" spans="1:12" x14ac:dyDescent="0.25">
      <c r="A1024" t="s">
        <v>11</v>
      </c>
      <c r="B1024">
        <v>113</v>
      </c>
      <c r="C1024" t="s">
        <v>12</v>
      </c>
      <c r="D1024">
        <v>3</v>
      </c>
      <c r="E1024" t="s">
        <v>30</v>
      </c>
      <c r="G1024" t="s">
        <v>372</v>
      </c>
      <c r="I1024" t="s">
        <v>31</v>
      </c>
      <c r="J1024" t="s">
        <v>32</v>
      </c>
      <c r="K1024" t="s">
        <v>33</v>
      </c>
      <c r="L1024" t="s">
        <v>34</v>
      </c>
    </row>
    <row r="1025" spans="1:12" x14ac:dyDescent="0.25">
      <c r="A1025" t="s">
        <v>11</v>
      </c>
      <c r="B1025">
        <v>114</v>
      </c>
      <c r="C1025" t="s">
        <v>18</v>
      </c>
      <c r="D1025">
        <v>1</v>
      </c>
      <c r="E1025" t="s">
        <v>30</v>
      </c>
      <c r="F1025">
        <v>19</v>
      </c>
      <c r="G1025" t="s">
        <v>372</v>
      </c>
      <c r="H1025">
        <v>21</v>
      </c>
      <c r="I1025" t="s">
        <v>31</v>
      </c>
      <c r="J1025" t="s">
        <v>35</v>
      </c>
      <c r="K1025" t="s">
        <v>36</v>
      </c>
      <c r="L1025" t="s">
        <v>34</v>
      </c>
    </row>
    <row r="1026" spans="1:12" x14ac:dyDescent="0.25">
      <c r="A1026" t="s">
        <v>11</v>
      </c>
      <c r="B1026">
        <v>115</v>
      </c>
      <c r="C1026" t="s">
        <v>18</v>
      </c>
      <c r="D1026">
        <v>2</v>
      </c>
      <c r="E1026" t="s">
        <v>30</v>
      </c>
      <c r="F1026">
        <v>0</v>
      </c>
      <c r="G1026" t="s">
        <v>372</v>
      </c>
      <c r="H1026">
        <v>1</v>
      </c>
      <c r="I1026" t="s">
        <v>31</v>
      </c>
      <c r="J1026" t="s">
        <v>35</v>
      </c>
      <c r="K1026" t="s">
        <v>36</v>
      </c>
      <c r="L1026" t="s">
        <v>34</v>
      </c>
    </row>
    <row r="1027" spans="1:12" x14ac:dyDescent="0.25">
      <c r="A1027" t="s">
        <v>11</v>
      </c>
      <c r="B1027">
        <v>116</v>
      </c>
      <c r="C1027" t="s">
        <v>18</v>
      </c>
      <c r="D1027">
        <v>3</v>
      </c>
      <c r="E1027" t="s">
        <v>30</v>
      </c>
      <c r="G1027" t="s">
        <v>372</v>
      </c>
      <c r="I1027" t="s">
        <v>31</v>
      </c>
      <c r="J1027" t="s">
        <v>35</v>
      </c>
      <c r="K1027" t="s">
        <v>36</v>
      </c>
      <c r="L1027" t="s">
        <v>34</v>
      </c>
    </row>
    <row r="1028" spans="1:12" x14ac:dyDescent="0.25">
      <c r="A1028" t="s">
        <v>11</v>
      </c>
      <c r="B1028">
        <v>117</v>
      </c>
      <c r="C1028" t="s">
        <v>21</v>
      </c>
      <c r="D1028">
        <v>1</v>
      </c>
      <c r="E1028" t="s">
        <v>30</v>
      </c>
      <c r="F1028">
        <v>25</v>
      </c>
      <c r="G1028" t="s">
        <v>372</v>
      </c>
      <c r="H1028">
        <v>24</v>
      </c>
      <c r="I1028" t="s">
        <v>31</v>
      </c>
      <c r="J1028" t="s">
        <v>37</v>
      </c>
      <c r="K1028" t="s">
        <v>38</v>
      </c>
      <c r="L1028" t="s">
        <v>34</v>
      </c>
    </row>
    <row r="1029" spans="1:12" x14ac:dyDescent="0.25">
      <c r="A1029" t="s">
        <v>11</v>
      </c>
      <c r="B1029">
        <v>118</v>
      </c>
      <c r="C1029" t="s">
        <v>21</v>
      </c>
      <c r="D1029">
        <v>2</v>
      </c>
      <c r="E1029" t="s">
        <v>30</v>
      </c>
      <c r="F1029">
        <v>1</v>
      </c>
      <c r="G1029" t="s">
        <v>372</v>
      </c>
      <c r="H1029">
        <v>0</v>
      </c>
      <c r="I1029" t="s">
        <v>31</v>
      </c>
      <c r="J1029" t="s">
        <v>37</v>
      </c>
      <c r="K1029" t="s">
        <v>38</v>
      </c>
      <c r="L1029" t="s">
        <v>34</v>
      </c>
    </row>
    <row r="1030" spans="1:12" x14ac:dyDescent="0.25">
      <c r="A1030" t="s">
        <v>11</v>
      </c>
      <c r="B1030">
        <v>119</v>
      </c>
      <c r="C1030" t="s">
        <v>21</v>
      </c>
      <c r="D1030">
        <v>3</v>
      </c>
      <c r="E1030" t="s">
        <v>30</v>
      </c>
      <c r="G1030" t="s">
        <v>372</v>
      </c>
      <c r="I1030" t="s">
        <v>31</v>
      </c>
      <c r="J1030" t="s">
        <v>37</v>
      </c>
      <c r="K1030" t="s">
        <v>38</v>
      </c>
      <c r="L1030" t="s">
        <v>34</v>
      </c>
    </row>
    <row r="1031" spans="1:12" x14ac:dyDescent="0.25">
      <c r="A1031" t="s">
        <v>11</v>
      </c>
      <c r="B1031">
        <v>120</v>
      </c>
      <c r="C1031" t="s">
        <v>24</v>
      </c>
      <c r="D1031">
        <v>1</v>
      </c>
      <c r="E1031" t="s">
        <v>30</v>
      </c>
      <c r="F1031">
        <v>21</v>
      </c>
      <c r="G1031" t="s">
        <v>372</v>
      </c>
      <c r="H1031">
        <v>19</v>
      </c>
      <c r="I1031" t="s">
        <v>31</v>
      </c>
      <c r="J1031" t="s">
        <v>39</v>
      </c>
      <c r="K1031" t="s">
        <v>40</v>
      </c>
      <c r="L1031" t="s">
        <v>34</v>
      </c>
    </row>
    <row r="1032" spans="1:12" x14ac:dyDescent="0.25">
      <c r="A1032" t="s">
        <v>11</v>
      </c>
      <c r="B1032">
        <v>121</v>
      </c>
      <c r="C1032" t="s">
        <v>24</v>
      </c>
      <c r="D1032">
        <v>2</v>
      </c>
      <c r="E1032" t="s">
        <v>30</v>
      </c>
      <c r="F1032">
        <v>1</v>
      </c>
      <c r="G1032" t="s">
        <v>372</v>
      </c>
      <c r="H1032">
        <v>0</v>
      </c>
      <c r="I1032" t="s">
        <v>31</v>
      </c>
      <c r="J1032" t="s">
        <v>39</v>
      </c>
      <c r="K1032" t="s">
        <v>40</v>
      </c>
      <c r="L1032" t="s">
        <v>34</v>
      </c>
    </row>
    <row r="1033" spans="1:12" x14ac:dyDescent="0.25">
      <c r="A1033" t="s">
        <v>11</v>
      </c>
      <c r="B1033">
        <v>122</v>
      </c>
      <c r="C1033" t="s">
        <v>24</v>
      </c>
      <c r="D1033">
        <v>3</v>
      </c>
      <c r="E1033" t="s">
        <v>30</v>
      </c>
      <c r="G1033" t="s">
        <v>372</v>
      </c>
      <c r="I1033" t="s">
        <v>31</v>
      </c>
      <c r="J1033" t="s">
        <v>39</v>
      </c>
      <c r="K1033" t="s">
        <v>40</v>
      </c>
      <c r="L1033" t="s">
        <v>34</v>
      </c>
    </row>
    <row r="1034" spans="1:12" x14ac:dyDescent="0.25">
      <c r="A1034" t="s">
        <v>11</v>
      </c>
      <c r="B1034">
        <v>123</v>
      </c>
      <c r="C1034" t="s">
        <v>27</v>
      </c>
      <c r="D1034">
        <v>1</v>
      </c>
      <c r="E1034" t="s">
        <v>30</v>
      </c>
      <c r="F1034">
        <v>21</v>
      </c>
      <c r="G1034" t="s">
        <v>372</v>
      </c>
      <c r="H1034">
        <v>11</v>
      </c>
      <c r="I1034" t="s">
        <v>31</v>
      </c>
      <c r="J1034" t="s">
        <v>41</v>
      </c>
      <c r="K1034" t="s">
        <v>42</v>
      </c>
      <c r="L1034" t="s">
        <v>34</v>
      </c>
    </row>
    <row r="1035" spans="1:12" x14ac:dyDescent="0.25">
      <c r="A1035" t="s">
        <v>11</v>
      </c>
      <c r="B1035">
        <v>124</v>
      </c>
      <c r="C1035" t="s">
        <v>27</v>
      </c>
      <c r="D1035">
        <v>2</v>
      </c>
      <c r="E1035" t="s">
        <v>30</v>
      </c>
      <c r="F1035">
        <v>1</v>
      </c>
      <c r="G1035" t="s">
        <v>372</v>
      </c>
      <c r="H1035">
        <v>0</v>
      </c>
      <c r="I1035" t="s">
        <v>31</v>
      </c>
      <c r="J1035" t="s">
        <v>41</v>
      </c>
      <c r="K1035" t="s">
        <v>42</v>
      </c>
      <c r="L1035" t="s">
        <v>34</v>
      </c>
    </row>
    <row r="1036" spans="1:12" x14ac:dyDescent="0.25">
      <c r="A1036" t="s">
        <v>11</v>
      </c>
      <c r="B1036">
        <v>125</v>
      </c>
      <c r="C1036" t="s">
        <v>27</v>
      </c>
      <c r="D1036">
        <v>3</v>
      </c>
      <c r="E1036" t="s">
        <v>30</v>
      </c>
      <c r="G1036" t="s">
        <v>372</v>
      </c>
      <c r="I1036" t="s">
        <v>31</v>
      </c>
      <c r="J1036" t="s">
        <v>41</v>
      </c>
      <c r="K1036" t="s">
        <v>42</v>
      </c>
      <c r="L1036" t="s">
        <v>34</v>
      </c>
    </row>
    <row r="1037" spans="1:12" x14ac:dyDescent="0.25">
      <c r="A1037" t="s">
        <v>11</v>
      </c>
      <c r="B1037">
        <v>129</v>
      </c>
      <c r="C1037" t="s">
        <v>12</v>
      </c>
      <c r="D1037">
        <v>1</v>
      </c>
      <c r="E1037" t="s">
        <v>43</v>
      </c>
      <c r="F1037">
        <v>1</v>
      </c>
      <c r="G1037" t="s">
        <v>372</v>
      </c>
      <c r="H1037">
        <v>0</v>
      </c>
      <c r="I1037" t="s">
        <v>44</v>
      </c>
      <c r="J1037" t="s">
        <v>45</v>
      </c>
      <c r="K1037" t="s">
        <v>46</v>
      </c>
      <c r="L1037" t="s">
        <v>47</v>
      </c>
    </row>
    <row r="1038" spans="1:12" x14ac:dyDescent="0.25">
      <c r="A1038" t="s">
        <v>11</v>
      </c>
      <c r="B1038">
        <v>130</v>
      </c>
      <c r="C1038" t="s">
        <v>12</v>
      </c>
      <c r="D1038">
        <v>2</v>
      </c>
      <c r="E1038" t="s">
        <v>43</v>
      </c>
      <c r="F1038">
        <v>1</v>
      </c>
      <c r="G1038" t="s">
        <v>372</v>
      </c>
      <c r="H1038">
        <v>0</v>
      </c>
      <c r="I1038" t="s">
        <v>44</v>
      </c>
      <c r="J1038" t="s">
        <v>45</v>
      </c>
      <c r="K1038" t="s">
        <v>46</v>
      </c>
      <c r="L1038" t="s">
        <v>47</v>
      </c>
    </row>
    <row r="1039" spans="1:12" x14ac:dyDescent="0.25">
      <c r="A1039" t="s">
        <v>11</v>
      </c>
      <c r="B1039">
        <v>131</v>
      </c>
      <c r="C1039" t="s">
        <v>12</v>
      </c>
      <c r="D1039">
        <v>3</v>
      </c>
      <c r="E1039" t="s">
        <v>43</v>
      </c>
      <c r="G1039" t="s">
        <v>372</v>
      </c>
      <c r="I1039" t="s">
        <v>44</v>
      </c>
      <c r="J1039" t="s">
        <v>45</v>
      </c>
      <c r="K1039" t="s">
        <v>46</v>
      </c>
      <c r="L1039" t="s">
        <v>47</v>
      </c>
    </row>
    <row r="1040" spans="1:12" x14ac:dyDescent="0.25">
      <c r="A1040" t="s">
        <v>11</v>
      </c>
      <c r="B1040">
        <v>132</v>
      </c>
      <c r="C1040" t="s">
        <v>18</v>
      </c>
      <c r="D1040">
        <v>1</v>
      </c>
      <c r="E1040" t="s">
        <v>43</v>
      </c>
      <c r="F1040">
        <v>1</v>
      </c>
      <c r="G1040" t="s">
        <v>372</v>
      </c>
      <c r="H1040">
        <v>0</v>
      </c>
      <c r="I1040" t="s">
        <v>44</v>
      </c>
      <c r="J1040" t="s">
        <v>48</v>
      </c>
      <c r="K1040" t="s">
        <v>49</v>
      </c>
      <c r="L1040" t="s">
        <v>47</v>
      </c>
    </row>
    <row r="1041" spans="1:12" x14ac:dyDescent="0.25">
      <c r="A1041" t="s">
        <v>11</v>
      </c>
      <c r="B1041">
        <v>133</v>
      </c>
      <c r="C1041" t="s">
        <v>18</v>
      </c>
      <c r="D1041">
        <v>2</v>
      </c>
      <c r="E1041" t="s">
        <v>43</v>
      </c>
      <c r="F1041">
        <v>1</v>
      </c>
      <c r="G1041" t="s">
        <v>372</v>
      </c>
      <c r="H1041">
        <v>0</v>
      </c>
      <c r="I1041" t="s">
        <v>44</v>
      </c>
      <c r="J1041" t="s">
        <v>48</v>
      </c>
      <c r="K1041" t="s">
        <v>49</v>
      </c>
      <c r="L1041" t="s">
        <v>47</v>
      </c>
    </row>
    <row r="1042" spans="1:12" x14ac:dyDescent="0.25">
      <c r="A1042" t="s">
        <v>11</v>
      </c>
      <c r="B1042">
        <v>134</v>
      </c>
      <c r="C1042" t="s">
        <v>18</v>
      </c>
      <c r="D1042">
        <v>3</v>
      </c>
      <c r="E1042" t="s">
        <v>43</v>
      </c>
      <c r="G1042" t="s">
        <v>372</v>
      </c>
      <c r="I1042" t="s">
        <v>44</v>
      </c>
      <c r="J1042" t="s">
        <v>48</v>
      </c>
      <c r="K1042" t="s">
        <v>49</v>
      </c>
      <c r="L1042" t="s">
        <v>47</v>
      </c>
    </row>
    <row r="1043" spans="1:12" x14ac:dyDescent="0.25">
      <c r="A1043" t="s">
        <v>11</v>
      </c>
      <c r="B1043">
        <v>135</v>
      </c>
      <c r="C1043" t="s">
        <v>21</v>
      </c>
      <c r="D1043">
        <v>1</v>
      </c>
      <c r="E1043" t="s">
        <v>43</v>
      </c>
      <c r="F1043">
        <v>1</v>
      </c>
      <c r="G1043" t="s">
        <v>372</v>
      </c>
      <c r="H1043">
        <v>0</v>
      </c>
      <c r="I1043" t="s">
        <v>44</v>
      </c>
      <c r="J1043" t="s">
        <v>50</v>
      </c>
      <c r="K1043" t="s">
        <v>51</v>
      </c>
      <c r="L1043" t="s">
        <v>47</v>
      </c>
    </row>
    <row r="1044" spans="1:12" x14ac:dyDescent="0.25">
      <c r="A1044" t="s">
        <v>11</v>
      </c>
      <c r="B1044">
        <v>136</v>
      </c>
      <c r="C1044" t="s">
        <v>21</v>
      </c>
      <c r="D1044">
        <v>2</v>
      </c>
      <c r="E1044" t="s">
        <v>43</v>
      </c>
      <c r="F1044">
        <v>1</v>
      </c>
      <c r="G1044" t="s">
        <v>372</v>
      </c>
      <c r="H1044">
        <v>0</v>
      </c>
      <c r="I1044" t="s">
        <v>44</v>
      </c>
      <c r="J1044" t="s">
        <v>50</v>
      </c>
      <c r="K1044" t="s">
        <v>51</v>
      </c>
      <c r="L1044" t="s">
        <v>47</v>
      </c>
    </row>
    <row r="1045" spans="1:12" x14ac:dyDescent="0.25">
      <c r="A1045" t="s">
        <v>11</v>
      </c>
      <c r="B1045">
        <v>137</v>
      </c>
      <c r="C1045" t="s">
        <v>21</v>
      </c>
      <c r="D1045">
        <v>3</v>
      </c>
      <c r="E1045" t="s">
        <v>43</v>
      </c>
      <c r="G1045" t="s">
        <v>372</v>
      </c>
      <c r="I1045" t="s">
        <v>44</v>
      </c>
      <c r="J1045" t="s">
        <v>50</v>
      </c>
      <c r="K1045" t="s">
        <v>51</v>
      </c>
      <c r="L1045" t="s">
        <v>47</v>
      </c>
    </row>
    <row r="1046" spans="1:12" x14ac:dyDescent="0.25">
      <c r="A1046" t="s">
        <v>11</v>
      </c>
      <c r="B1046">
        <v>138</v>
      </c>
      <c r="C1046" t="s">
        <v>24</v>
      </c>
      <c r="D1046">
        <v>1</v>
      </c>
      <c r="E1046" t="s">
        <v>43</v>
      </c>
      <c r="F1046">
        <v>1</v>
      </c>
      <c r="G1046" t="s">
        <v>372</v>
      </c>
      <c r="H1046">
        <v>0</v>
      </c>
      <c r="I1046" t="s">
        <v>44</v>
      </c>
      <c r="J1046" t="s">
        <v>52</v>
      </c>
      <c r="K1046" t="s">
        <v>53</v>
      </c>
      <c r="L1046" t="s">
        <v>47</v>
      </c>
    </row>
    <row r="1047" spans="1:12" x14ac:dyDescent="0.25">
      <c r="A1047" t="s">
        <v>11</v>
      </c>
      <c r="B1047">
        <v>139</v>
      </c>
      <c r="C1047" t="s">
        <v>24</v>
      </c>
      <c r="D1047">
        <v>2</v>
      </c>
      <c r="E1047" t="s">
        <v>43</v>
      </c>
      <c r="F1047">
        <v>1</v>
      </c>
      <c r="G1047" t="s">
        <v>372</v>
      </c>
      <c r="H1047">
        <v>0</v>
      </c>
      <c r="I1047" t="s">
        <v>44</v>
      </c>
      <c r="J1047" t="s">
        <v>52</v>
      </c>
      <c r="K1047" t="s">
        <v>53</v>
      </c>
      <c r="L1047" t="s">
        <v>47</v>
      </c>
    </row>
    <row r="1048" spans="1:12" x14ac:dyDescent="0.25">
      <c r="A1048" t="s">
        <v>11</v>
      </c>
      <c r="B1048">
        <v>140</v>
      </c>
      <c r="C1048" t="s">
        <v>24</v>
      </c>
      <c r="D1048">
        <v>3</v>
      </c>
      <c r="E1048" t="s">
        <v>43</v>
      </c>
      <c r="G1048" t="s">
        <v>372</v>
      </c>
      <c r="I1048" t="s">
        <v>44</v>
      </c>
      <c r="J1048" t="s">
        <v>52</v>
      </c>
      <c r="K1048" t="s">
        <v>53</v>
      </c>
      <c r="L1048" t="s">
        <v>47</v>
      </c>
    </row>
    <row r="1049" spans="1:12" x14ac:dyDescent="0.25">
      <c r="A1049" t="s">
        <v>11</v>
      </c>
      <c r="B1049">
        <v>141</v>
      </c>
      <c r="C1049" t="s">
        <v>27</v>
      </c>
      <c r="D1049">
        <v>1</v>
      </c>
      <c r="E1049" t="s">
        <v>43</v>
      </c>
      <c r="F1049">
        <v>0</v>
      </c>
      <c r="G1049" t="s">
        <v>372</v>
      </c>
      <c r="H1049">
        <v>1</v>
      </c>
      <c r="I1049" t="s">
        <v>44</v>
      </c>
      <c r="J1049" t="s">
        <v>54</v>
      </c>
      <c r="K1049" t="s">
        <v>55</v>
      </c>
      <c r="L1049" t="s">
        <v>47</v>
      </c>
    </row>
    <row r="1050" spans="1:12" x14ac:dyDescent="0.25">
      <c r="A1050" t="s">
        <v>11</v>
      </c>
      <c r="B1050">
        <v>142</v>
      </c>
      <c r="C1050" t="s">
        <v>27</v>
      </c>
      <c r="D1050">
        <v>2</v>
      </c>
      <c r="E1050" t="s">
        <v>43</v>
      </c>
      <c r="F1050">
        <v>0</v>
      </c>
      <c r="G1050" t="s">
        <v>372</v>
      </c>
      <c r="H1050">
        <v>1</v>
      </c>
      <c r="I1050" t="s">
        <v>44</v>
      </c>
      <c r="J1050" t="s">
        <v>54</v>
      </c>
      <c r="K1050" t="s">
        <v>55</v>
      </c>
      <c r="L1050" t="s">
        <v>47</v>
      </c>
    </row>
    <row r="1051" spans="1:12" x14ac:dyDescent="0.25">
      <c r="A1051" t="s">
        <v>11</v>
      </c>
      <c r="B1051">
        <v>143</v>
      </c>
      <c r="C1051" t="s">
        <v>27</v>
      </c>
      <c r="D1051">
        <v>3</v>
      </c>
      <c r="E1051" t="s">
        <v>43</v>
      </c>
      <c r="G1051" t="s">
        <v>372</v>
      </c>
      <c r="I1051" t="s">
        <v>44</v>
      </c>
      <c r="J1051" t="s">
        <v>54</v>
      </c>
      <c r="K1051" t="s">
        <v>55</v>
      </c>
      <c r="L1051" t="s">
        <v>47</v>
      </c>
    </row>
    <row r="1052" spans="1:12" x14ac:dyDescent="0.25">
      <c r="A1052" t="s">
        <v>11</v>
      </c>
      <c r="B1052">
        <v>147</v>
      </c>
      <c r="C1052" t="s">
        <v>12</v>
      </c>
      <c r="D1052">
        <v>1</v>
      </c>
      <c r="E1052" t="s">
        <v>56</v>
      </c>
      <c r="F1052">
        <v>21</v>
      </c>
      <c r="G1052" t="s">
        <v>372</v>
      </c>
      <c r="H1052">
        <v>17</v>
      </c>
      <c r="I1052" t="s">
        <v>57</v>
      </c>
      <c r="J1052" t="s">
        <v>58</v>
      </c>
      <c r="K1052" t="s">
        <v>59</v>
      </c>
      <c r="L1052" t="s">
        <v>60</v>
      </c>
    </row>
    <row r="1053" spans="1:12" x14ac:dyDescent="0.25">
      <c r="A1053" t="s">
        <v>11</v>
      </c>
      <c r="B1053">
        <v>148</v>
      </c>
      <c r="C1053" t="s">
        <v>12</v>
      </c>
      <c r="D1053">
        <v>2</v>
      </c>
      <c r="E1053" t="s">
        <v>56</v>
      </c>
      <c r="F1053">
        <v>1</v>
      </c>
      <c r="G1053" t="s">
        <v>372</v>
      </c>
      <c r="H1053">
        <v>0</v>
      </c>
      <c r="I1053" t="s">
        <v>57</v>
      </c>
      <c r="J1053" t="s">
        <v>58</v>
      </c>
      <c r="K1053" t="s">
        <v>59</v>
      </c>
      <c r="L1053" t="s">
        <v>60</v>
      </c>
    </row>
    <row r="1054" spans="1:12" x14ac:dyDescent="0.25">
      <c r="A1054" t="s">
        <v>11</v>
      </c>
      <c r="B1054">
        <v>149</v>
      </c>
      <c r="C1054" t="s">
        <v>12</v>
      </c>
      <c r="D1054">
        <v>3</v>
      </c>
      <c r="E1054" t="s">
        <v>56</v>
      </c>
      <c r="G1054" t="s">
        <v>372</v>
      </c>
      <c r="I1054" t="s">
        <v>57</v>
      </c>
      <c r="J1054" t="s">
        <v>58</v>
      </c>
      <c r="K1054" t="s">
        <v>59</v>
      </c>
      <c r="L1054" t="s">
        <v>60</v>
      </c>
    </row>
    <row r="1055" spans="1:12" x14ac:dyDescent="0.25">
      <c r="A1055" t="s">
        <v>11</v>
      </c>
      <c r="B1055">
        <v>150</v>
      </c>
      <c r="C1055" t="s">
        <v>18</v>
      </c>
      <c r="D1055">
        <v>1</v>
      </c>
      <c r="E1055" t="s">
        <v>56</v>
      </c>
      <c r="F1055">
        <v>21</v>
      </c>
      <c r="G1055" t="s">
        <v>372</v>
      </c>
      <c r="H1055">
        <v>18</v>
      </c>
      <c r="I1055" t="s">
        <v>57</v>
      </c>
      <c r="J1055" t="s">
        <v>61</v>
      </c>
      <c r="K1055" t="s">
        <v>62</v>
      </c>
      <c r="L1055" t="s">
        <v>60</v>
      </c>
    </row>
    <row r="1056" spans="1:12" x14ac:dyDescent="0.25">
      <c r="A1056" t="s">
        <v>11</v>
      </c>
      <c r="B1056">
        <v>151</v>
      </c>
      <c r="C1056" t="s">
        <v>18</v>
      </c>
      <c r="D1056">
        <v>2</v>
      </c>
      <c r="E1056" t="s">
        <v>56</v>
      </c>
      <c r="F1056">
        <v>1</v>
      </c>
      <c r="G1056" t="s">
        <v>372</v>
      </c>
      <c r="H1056">
        <v>0</v>
      </c>
      <c r="I1056" t="s">
        <v>57</v>
      </c>
      <c r="J1056" t="s">
        <v>61</v>
      </c>
      <c r="K1056" t="s">
        <v>62</v>
      </c>
      <c r="L1056" t="s">
        <v>60</v>
      </c>
    </row>
    <row r="1057" spans="1:12" x14ac:dyDescent="0.25">
      <c r="A1057" t="s">
        <v>11</v>
      </c>
      <c r="B1057">
        <v>152</v>
      </c>
      <c r="C1057" t="s">
        <v>18</v>
      </c>
      <c r="D1057">
        <v>3</v>
      </c>
      <c r="E1057" t="s">
        <v>56</v>
      </c>
      <c r="G1057" t="s">
        <v>372</v>
      </c>
      <c r="I1057" t="s">
        <v>57</v>
      </c>
      <c r="J1057" t="s">
        <v>61</v>
      </c>
      <c r="K1057" t="s">
        <v>62</v>
      </c>
      <c r="L1057" t="s">
        <v>60</v>
      </c>
    </row>
    <row r="1058" spans="1:12" x14ac:dyDescent="0.25">
      <c r="A1058" t="s">
        <v>11</v>
      </c>
      <c r="B1058">
        <v>153</v>
      </c>
      <c r="C1058" t="s">
        <v>21</v>
      </c>
      <c r="D1058">
        <v>1</v>
      </c>
      <c r="E1058" t="s">
        <v>56</v>
      </c>
      <c r="F1058">
        <v>21</v>
      </c>
      <c r="G1058" t="s">
        <v>372</v>
      </c>
      <c r="H1058">
        <v>23</v>
      </c>
      <c r="I1058" t="s">
        <v>57</v>
      </c>
      <c r="J1058" t="s">
        <v>63</v>
      </c>
      <c r="K1058" t="s">
        <v>64</v>
      </c>
      <c r="L1058" t="s">
        <v>60</v>
      </c>
    </row>
    <row r="1059" spans="1:12" x14ac:dyDescent="0.25">
      <c r="A1059" t="s">
        <v>11</v>
      </c>
      <c r="B1059">
        <v>154</v>
      </c>
      <c r="C1059" t="s">
        <v>21</v>
      </c>
      <c r="D1059">
        <v>2</v>
      </c>
      <c r="E1059" t="s">
        <v>56</v>
      </c>
      <c r="F1059">
        <v>0</v>
      </c>
      <c r="G1059" t="s">
        <v>372</v>
      </c>
      <c r="H1059">
        <v>1</v>
      </c>
      <c r="I1059" t="s">
        <v>57</v>
      </c>
      <c r="J1059" t="s">
        <v>63</v>
      </c>
      <c r="K1059" t="s">
        <v>64</v>
      </c>
      <c r="L1059" t="s">
        <v>60</v>
      </c>
    </row>
    <row r="1060" spans="1:12" x14ac:dyDescent="0.25">
      <c r="A1060" t="s">
        <v>11</v>
      </c>
      <c r="B1060">
        <v>155</v>
      </c>
      <c r="C1060" t="s">
        <v>21</v>
      </c>
      <c r="D1060">
        <v>3</v>
      </c>
      <c r="E1060" t="s">
        <v>56</v>
      </c>
      <c r="G1060" t="s">
        <v>372</v>
      </c>
      <c r="I1060" t="s">
        <v>57</v>
      </c>
      <c r="J1060" t="s">
        <v>63</v>
      </c>
      <c r="K1060" t="s">
        <v>64</v>
      </c>
      <c r="L1060" t="s">
        <v>60</v>
      </c>
    </row>
    <row r="1061" spans="1:12" x14ac:dyDescent="0.25">
      <c r="A1061" t="s">
        <v>11</v>
      </c>
      <c r="B1061">
        <v>156</v>
      </c>
      <c r="C1061" t="s">
        <v>24</v>
      </c>
      <c r="D1061">
        <v>1</v>
      </c>
      <c r="E1061" t="s">
        <v>56</v>
      </c>
      <c r="F1061">
        <v>21</v>
      </c>
      <c r="G1061" t="s">
        <v>372</v>
      </c>
      <c r="H1061">
        <v>13</v>
      </c>
      <c r="I1061" t="s">
        <v>57</v>
      </c>
      <c r="J1061" t="s">
        <v>65</v>
      </c>
      <c r="K1061" t="s">
        <v>66</v>
      </c>
      <c r="L1061" t="s">
        <v>60</v>
      </c>
    </row>
    <row r="1062" spans="1:12" x14ac:dyDescent="0.25">
      <c r="A1062" t="s">
        <v>11</v>
      </c>
      <c r="B1062">
        <v>157</v>
      </c>
      <c r="C1062" t="s">
        <v>24</v>
      </c>
      <c r="D1062">
        <v>2</v>
      </c>
      <c r="E1062" t="s">
        <v>56</v>
      </c>
      <c r="F1062">
        <v>1</v>
      </c>
      <c r="G1062" t="s">
        <v>372</v>
      </c>
      <c r="H1062">
        <v>0</v>
      </c>
      <c r="I1062" t="s">
        <v>57</v>
      </c>
      <c r="J1062" t="s">
        <v>65</v>
      </c>
      <c r="K1062" t="s">
        <v>66</v>
      </c>
      <c r="L1062" t="s">
        <v>60</v>
      </c>
    </row>
    <row r="1063" spans="1:12" x14ac:dyDescent="0.25">
      <c r="A1063" t="s">
        <v>11</v>
      </c>
      <c r="B1063">
        <v>158</v>
      </c>
      <c r="C1063" t="s">
        <v>24</v>
      </c>
      <c r="D1063">
        <v>3</v>
      </c>
      <c r="E1063" t="s">
        <v>56</v>
      </c>
      <c r="G1063" t="s">
        <v>372</v>
      </c>
      <c r="I1063" t="s">
        <v>57</v>
      </c>
      <c r="J1063" t="s">
        <v>65</v>
      </c>
      <c r="K1063" t="s">
        <v>66</v>
      </c>
      <c r="L1063" t="s">
        <v>60</v>
      </c>
    </row>
    <row r="1064" spans="1:12" x14ac:dyDescent="0.25">
      <c r="A1064" t="s">
        <v>11</v>
      </c>
      <c r="B1064">
        <v>159</v>
      </c>
      <c r="C1064" t="s">
        <v>27</v>
      </c>
      <c r="D1064">
        <v>1</v>
      </c>
      <c r="E1064" t="s">
        <v>56</v>
      </c>
      <c r="F1064">
        <v>21</v>
      </c>
      <c r="G1064" t="s">
        <v>372</v>
      </c>
      <c r="H1064">
        <v>17</v>
      </c>
      <c r="I1064" t="s">
        <v>57</v>
      </c>
      <c r="J1064" t="s">
        <v>67</v>
      </c>
      <c r="K1064" t="s">
        <v>68</v>
      </c>
      <c r="L1064" t="s">
        <v>60</v>
      </c>
    </row>
    <row r="1065" spans="1:12" x14ac:dyDescent="0.25">
      <c r="A1065" t="s">
        <v>11</v>
      </c>
      <c r="B1065">
        <v>160</v>
      </c>
      <c r="C1065" t="s">
        <v>27</v>
      </c>
      <c r="D1065">
        <v>2</v>
      </c>
      <c r="E1065" t="s">
        <v>56</v>
      </c>
      <c r="F1065">
        <v>1</v>
      </c>
      <c r="G1065" t="s">
        <v>372</v>
      </c>
      <c r="H1065">
        <v>0</v>
      </c>
      <c r="I1065" t="s">
        <v>57</v>
      </c>
      <c r="J1065" t="s">
        <v>67</v>
      </c>
      <c r="K1065" t="s">
        <v>68</v>
      </c>
      <c r="L1065" t="s">
        <v>60</v>
      </c>
    </row>
    <row r="1066" spans="1:12" x14ac:dyDescent="0.25">
      <c r="A1066" t="s">
        <v>11</v>
      </c>
      <c r="B1066">
        <v>161</v>
      </c>
      <c r="C1066" t="s">
        <v>27</v>
      </c>
      <c r="D1066">
        <v>3</v>
      </c>
      <c r="E1066" t="s">
        <v>56</v>
      </c>
      <c r="G1066" t="s">
        <v>372</v>
      </c>
      <c r="I1066" t="s">
        <v>57</v>
      </c>
      <c r="J1066" t="s">
        <v>67</v>
      </c>
      <c r="K1066" t="s">
        <v>68</v>
      </c>
      <c r="L1066" t="s">
        <v>60</v>
      </c>
    </row>
    <row r="1067" spans="1:12" x14ac:dyDescent="0.25">
      <c r="A1067" t="s">
        <v>11</v>
      </c>
      <c r="B1067">
        <v>165</v>
      </c>
      <c r="C1067" t="s">
        <v>12</v>
      </c>
      <c r="D1067">
        <v>1</v>
      </c>
      <c r="E1067" t="s">
        <v>69</v>
      </c>
      <c r="F1067">
        <v>21</v>
      </c>
      <c r="G1067" t="s">
        <v>372</v>
      </c>
      <c r="H1067">
        <v>19</v>
      </c>
      <c r="I1067" t="s">
        <v>70</v>
      </c>
      <c r="J1067" t="s">
        <v>71</v>
      </c>
      <c r="K1067" t="s">
        <v>72</v>
      </c>
      <c r="L1067" t="s">
        <v>73</v>
      </c>
    </row>
    <row r="1068" spans="1:12" x14ac:dyDescent="0.25">
      <c r="A1068" t="s">
        <v>11</v>
      </c>
      <c r="B1068">
        <v>166</v>
      </c>
      <c r="C1068" t="s">
        <v>12</v>
      </c>
      <c r="D1068">
        <v>2</v>
      </c>
      <c r="E1068" t="s">
        <v>69</v>
      </c>
      <c r="F1068">
        <v>1</v>
      </c>
      <c r="G1068" t="s">
        <v>372</v>
      </c>
      <c r="H1068">
        <v>0</v>
      </c>
      <c r="I1068" t="s">
        <v>70</v>
      </c>
      <c r="J1068" t="s">
        <v>71</v>
      </c>
      <c r="K1068" t="s">
        <v>72</v>
      </c>
      <c r="L1068" t="s">
        <v>73</v>
      </c>
    </row>
    <row r="1069" spans="1:12" x14ac:dyDescent="0.25">
      <c r="A1069" t="s">
        <v>11</v>
      </c>
      <c r="B1069">
        <v>167</v>
      </c>
      <c r="C1069" t="s">
        <v>12</v>
      </c>
      <c r="D1069">
        <v>3</v>
      </c>
      <c r="E1069" t="s">
        <v>69</v>
      </c>
      <c r="G1069" t="s">
        <v>372</v>
      </c>
      <c r="I1069" t="s">
        <v>70</v>
      </c>
      <c r="J1069" t="s">
        <v>71</v>
      </c>
      <c r="K1069" t="s">
        <v>72</v>
      </c>
      <c r="L1069" t="s">
        <v>73</v>
      </c>
    </row>
    <row r="1070" spans="1:12" x14ac:dyDescent="0.25">
      <c r="A1070" t="s">
        <v>11</v>
      </c>
      <c r="B1070">
        <v>168</v>
      </c>
      <c r="C1070" t="s">
        <v>18</v>
      </c>
      <c r="D1070">
        <v>1</v>
      </c>
      <c r="E1070" t="s">
        <v>69</v>
      </c>
      <c r="F1070">
        <v>21</v>
      </c>
      <c r="G1070" t="s">
        <v>372</v>
      </c>
      <c r="H1070">
        <v>18</v>
      </c>
      <c r="I1070" t="s">
        <v>70</v>
      </c>
      <c r="J1070" t="s">
        <v>74</v>
      </c>
      <c r="K1070" t="s">
        <v>75</v>
      </c>
      <c r="L1070" t="s">
        <v>73</v>
      </c>
    </row>
    <row r="1071" spans="1:12" x14ac:dyDescent="0.25">
      <c r="A1071" t="s">
        <v>11</v>
      </c>
      <c r="B1071">
        <v>169</v>
      </c>
      <c r="C1071" t="s">
        <v>18</v>
      </c>
      <c r="D1071">
        <v>2</v>
      </c>
      <c r="E1071" t="s">
        <v>69</v>
      </c>
      <c r="F1071">
        <v>1</v>
      </c>
      <c r="G1071" t="s">
        <v>372</v>
      </c>
      <c r="H1071">
        <v>0</v>
      </c>
      <c r="I1071" t="s">
        <v>70</v>
      </c>
      <c r="J1071" t="s">
        <v>74</v>
      </c>
      <c r="K1071" t="s">
        <v>75</v>
      </c>
      <c r="L1071" t="s">
        <v>73</v>
      </c>
    </row>
    <row r="1072" spans="1:12" x14ac:dyDescent="0.25">
      <c r="A1072" t="s">
        <v>11</v>
      </c>
      <c r="B1072">
        <v>170</v>
      </c>
      <c r="C1072" t="s">
        <v>18</v>
      </c>
      <c r="D1072">
        <v>3</v>
      </c>
      <c r="E1072" t="s">
        <v>69</v>
      </c>
      <c r="G1072" t="s">
        <v>372</v>
      </c>
      <c r="I1072" t="s">
        <v>70</v>
      </c>
      <c r="J1072" t="s">
        <v>74</v>
      </c>
      <c r="K1072" t="s">
        <v>75</v>
      </c>
      <c r="L1072" t="s">
        <v>73</v>
      </c>
    </row>
    <row r="1073" spans="1:12" x14ac:dyDescent="0.25">
      <c r="A1073" t="s">
        <v>11</v>
      </c>
      <c r="B1073">
        <v>171</v>
      </c>
      <c r="C1073" t="s">
        <v>21</v>
      </c>
      <c r="D1073">
        <v>1</v>
      </c>
      <c r="E1073" t="s">
        <v>69</v>
      </c>
      <c r="F1073">
        <v>25</v>
      </c>
      <c r="G1073" t="s">
        <v>372</v>
      </c>
      <c r="H1073">
        <v>24</v>
      </c>
      <c r="I1073" t="s">
        <v>70</v>
      </c>
      <c r="J1073" t="s">
        <v>76</v>
      </c>
      <c r="K1073" t="s">
        <v>77</v>
      </c>
      <c r="L1073" t="s">
        <v>73</v>
      </c>
    </row>
    <row r="1074" spans="1:12" x14ac:dyDescent="0.25">
      <c r="A1074" t="s">
        <v>11</v>
      </c>
      <c r="B1074">
        <v>172</v>
      </c>
      <c r="C1074" t="s">
        <v>21</v>
      </c>
      <c r="D1074">
        <v>2</v>
      </c>
      <c r="E1074" t="s">
        <v>69</v>
      </c>
      <c r="F1074">
        <v>1</v>
      </c>
      <c r="G1074" t="s">
        <v>372</v>
      </c>
      <c r="H1074">
        <v>0</v>
      </c>
      <c r="I1074" t="s">
        <v>70</v>
      </c>
      <c r="J1074" t="s">
        <v>76</v>
      </c>
      <c r="K1074" t="s">
        <v>77</v>
      </c>
      <c r="L1074" t="s">
        <v>73</v>
      </c>
    </row>
    <row r="1075" spans="1:12" x14ac:dyDescent="0.25">
      <c r="A1075" t="s">
        <v>11</v>
      </c>
      <c r="B1075">
        <v>173</v>
      </c>
      <c r="C1075" t="s">
        <v>21</v>
      </c>
      <c r="D1075">
        <v>3</v>
      </c>
      <c r="E1075" t="s">
        <v>69</v>
      </c>
      <c r="G1075" t="s">
        <v>372</v>
      </c>
      <c r="I1075" t="s">
        <v>70</v>
      </c>
      <c r="J1075" t="s">
        <v>76</v>
      </c>
      <c r="K1075" t="s">
        <v>77</v>
      </c>
      <c r="L1075" t="s">
        <v>73</v>
      </c>
    </row>
    <row r="1076" spans="1:12" x14ac:dyDescent="0.25">
      <c r="A1076" t="s">
        <v>11</v>
      </c>
      <c r="B1076">
        <v>174</v>
      </c>
      <c r="C1076" t="s">
        <v>24</v>
      </c>
      <c r="D1076">
        <v>1</v>
      </c>
      <c r="E1076" t="s">
        <v>69</v>
      </c>
      <c r="F1076">
        <v>21</v>
      </c>
      <c r="G1076" t="s">
        <v>372</v>
      </c>
      <c r="H1076">
        <v>18</v>
      </c>
      <c r="I1076" t="s">
        <v>70</v>
      </c>
      <c r="J1076" t="s">
        <v>78</v>
      </c>
      <c r="K1076" t="s">
        <v>79</v>
      </c>
      <c r="L1076" t="s">
        <v>73</v>
      </c>
    </row>
    <row r="1077" spans="1:12" x14ac:dyDescent="0.25">
      <c r="A1077" t="s">
        <v>11</v>
      </c>
      <c r="B1077">
        <v>175</v>
      </c>
      <c r="C1077" t="s">
        <v>24</v>
      </c>
      <c r="D1077">
        <v>2</v>
      </c>
      <c r="E1077" t="s">
        <v>69</v>
      </c>
      <c r="F1077">
        <v>1</v>
      </c>
      <c r="G1077" t="s">
        <v>372</v>
      </c>
      <c r="H1077">
        <v>0</v>
      </c>
      <c r="I1077" t="s">
        <v>70</v>
      </c>
      <c r="J1077" t="s">
        <v>78</v>
      </c>
      <c r="K1077" t="s">
        <v>79</v>
      </c>
      <c r="L1077" t="s">
        <v>73</v>
      </c>
    </row>
    <row r="1078" spans="1:12" x14ac:dyDescent="0.25">
      <c r="A1078" t="s">
        <v>11</v>
      </c>
      <c r="B1078">
        <v>176</v>
      </c>
      <c r="C1078" t="s">
        <v>24</v>
      </c>
      <c r="D1078">
        <v>3</v>
      </c>
      <c r="E1078" t="s">
        <v>69</v>
      </c>
      <c r="G1078" t="s">
        <v>372</v>
      </c>
      <c r="I1078" t="s">
        <v>70</v>
      </c>
      <c r="J1078" t="s">
        <v>78</v>
      </c>
      <c r="K1078" t="s">
        <v>79</v>
      </c>
      <c r="L1078" t="s">
        <v>73</v>
      </c>
    </row>
    <row r="1079" spans="1:12" x14ac:dyDescent="0.25">
      <c r="A1079" t="s">
        <v>11</v>
      </c>
      <c r="B1079">
        <v>177</v>
      </c>
      <c r="C1079" t="s">
        <v>27</v>
      </c>
      <c r="D1079">
        <v>1</v>
      </c>
      <c r="E1079" t="s">
        <v>69</v>
      </c>
      <c r="F1079">
        <v>21</v>
      </c>
      <c r="G1079" t="s">
        <v>372</v>
      </c>
      <c r="H1079">
        <v>19</v>
      </c>
      <c r="I1079" t="s">
        <v>70</v>
      </c>
      <c r="J1079" t="s">
        <v>80</v>
      </c>
      <c r="K1079" t="s">
        <v>81</v>
      </c>
      <c r="L1079" t="s">
        <v>73</v>
      </c>
    </row>
    <row r="1080" spans="1:12" x14ac:dyDescent="0.25">
      <c r="A1080" t="s">
        <v>11</v>
      </c>
      <c r="B1080">
        <v>178</v>
      </c>
      <c r="C1080" t="s">
        <v>27</v>
      </c>
      <c r="D1080">
        <v>2</v>
      </c>
      <c r="E1080" t="s">
        <v>69</v>
      </c>
      <c r="F1080">
        <v>1</v>
      </c>
      <c r="G1080" t="s">
        <v>372</v>
      </c>
      <c r="H1080">
        <v>0</v>
      </c>
      <c r="I1080" t="s">
        <v>70</v>
      </c>
      <c r="J1080" t="s">
        <v>80</v>
      </c>
      <c r="K1080" t="s">
        <v>81</v>
      </c>
      <c r="L1080" t="s">
        <v>73</v>
      </c>
    </row>
    <row r="1081" spans="1:12" x14ac:dyDescent="0.25">
      <c r="A1081" t="s">
        <v>11</v>
      </c>
      <c r="B1081">
        <v>179</v>
      </c>
      <c r="C1081" t="s">
        <v>27</v>
      </c>
      <c r="D1081">
        <v>3</v>
      </c>
      <c r="E1081" t="s">
        <v>69</v>
      </c>
      <c r="G1081" t="s">
        <v>372</v>
      </c>
      <c r="I1081" t="s">
        <v>70</v>
      </c>
      <c r="J1081" t="s">
        <v>80</v>
      </c>
      <c r="K1081" t="s">
        <v>81</v>
      </c>
      <c r="L1081" t="s">
        <v>73</v>
      </c>
    </row>
    <row r="1082" spans="1:12" x14ac:dyDescent="0.25">
      <c r="A1082" t="s">
        <v>11</v>
      </c>
      <c r="B1082">
        <v>183</v>
      </c>
      <c r="C1082" t="s">
        <v>12</v>
      </c>
      <c r="D1082">
        <v>1</v>
      </c>
      <c r="E1082" t="s">
        <v>82</v>
      </c>
      <c r="F1082">
        <v>15</v>
      </c>
      <c r="G1082" t="s">
        <v>372</v>
      </c>
      <c r="H1082">
        <v>21</v>
      </c>
      <c r="I1082" t="s">
        <v>83</v>
      </c>
      <c r="J1082" t="s">
        <v>84</v>
      </c>
      <c r="K1082" t="s">
        <v>85</v>
      </c>
      <c r="L1082" t="s">
        <v>86</v>
      </c>
    </row>
    <row r="1083" spans="1:12" x14ac:dyDescent="0.25">
      <c r="A1083" t="s">
        <v>11</v>
      </c>
      <c r="B1083">
        <v>184</v>
      </c>
      <c r="C1083" t="s">
        <v>12</v>
      </c>
      <c r="D1083">
        <v>2</v>
      </c>
      <c r="E1083" t="s">
        <v>82</v>
      </c>
      <c r="F1083">
        <v>0</v>
      </c>
      <c r="G1083" t="s">
        <v>372</v>
      </c>
      <c r="H1083">
        <v>1</v>
      </c>
      <c r="I1083" t="s">
        <v>83</v>
      </c>
      <c r="J1083" t="s">
        <v>84</v>
      </c>
      <c r="K1083" t="s">
        <v>85</v>
      </c>
      <c r="L1083" t="s">
        <v>86</v>
      </c>
    </row>
    <row r="1084" spans="1:12" x14ac:dyDescent="0.25">
      <c r="A1084" t="s">
        <v>11</v>
      </c>
      <c r="B1084">
        <v>185</v>
      </c>
      <c r="C1084" t="s">
        <v>12</v>
      </c>
      <c r="D1084">
        <v>3</v>
      </c>
      <c r="E1084" t="s">
        <v>82</v>
      </c>
      <c r="G1084" t="s">
        <v>372</v>
      </c>
      <c r="I1084" t="s">
        <v>83</v>
      </c>
      <c r="J1084" t="s">
        <v>84</v>
      </c>
      <c r="K1084" t="s">
        <v>85</v>
      </c>
      <c r="L1084" t="s">
        <v>86</v>
      </c>
    </row>
    <row r="1085" spans="1:12" x14ac:dyDescent="0.25">
      <c r="A1085" t="s">
        <v>11</v>
      </c>
      <c r="B1085">
        <v>186</v>
      </c>
      <c r="C1085" t="s">
        <v>18</v>
      </c>
      <c r="D1085">
        <v>1</v>
      </c>
      <c r="E1085" t="s">
        <v>82</v>
      </c>
      <c r="F1085">
        <v>22</v>
      </c>
      <c r="G1085" t="s">
        <v>372</v>
      </c>
      <c r="H1085">
        <v>24</v>
      </c>
      <c r="I1085" t="s">
        <v>83</v>
      </c>
      <c r="J1085" t="s">
        <v>87</v>
      </c>
      <c r="K1085" t="s">
        <v>88</v>
      </c>
      <c r="L1085" t="s">
        <v>86</v>
      </c>
    </row>
    <row r="1086" spans="1:12" x14ac:dyDescent="0.25">
      <c r="A1086" t="s">
        <v>11</v>
      </c>
      <c r="B1086">
        <v>187</v>
      </c>
      <c r="C1086" t="s">
        <v>18</v>
      </c>
      <c r="D1086">
        <v>2</v>
      </c>
      <c r="E1086" t="s">
        <v>82</v>
      </c>
      <c r="F1086">
        <v>0</v>
      </c>
      <c r="G1086" t="s">
        <v>372</v>
      </c>
      <c r="H1086">
        <v>1</v>
      </c>
      <c r="I1086" t="s">
        <v>83</v>
      </c>
      <c r="J1086" t="s">
        <v>87</v>
      </c>
      <c r="K1086" t="s">
        <v>88</v>
      </c>
      <c r="L1086" t="s">
        <v>86</v>
      </c>
    </row>
    <row r="1087" spans="1:12" x14ac:dyDescent="0.25">
      <c r="A1087" t="s">
        <v>11</v>
      </c>
      <c r="B1087">
        <v>188</v>
      </c>
      <c r="C1087" t="s">
        <v>18</v>
      </c>
      <c r="D1087">
        <v>3</v>
      </c>
      <c r="E1087" t="s">
        <v>82</v>
      </c>
      <c r="G1087" t="s">
        <v>372</v>
      </c>
      <c r="I1087" t="s">
        <v>83</v>
      </c>
      <c r="J1087" t="s">
        <v>87</v>
      </c>
      <c r="K1087" t="s">
        <v>88</v>
      </c>
      <c r="L1087" t="s">
        <v>86</v>
      </c>
    </row>
    <row r="1088" spans="1:12" x14ac:dyDescent="0.25">
      <c r="A1088" t="s">
        <v>11</v>
      </c>
      <c r="B1088">
        <v>189</v>
      </c>
      <c r="C1088" t="s">
        <v>21</v>
      </c>
      <c r="D1088">
        <v>1</v>
      </c>
      <c r="E1088" t="s">
        <v>82</v>
      </c>
      <c r="F1088">
        <v>19</v>
      </c>
      <c r="G1088" t="s">
        <v>372</v>
      </c>
      <c r="H1088">
        <v>21</v>
      </c>
      <c r="I1088" t="s">
        <v>83</v>
      </c>
      <c r="J1088" t="s">
        <v>89</v>
      </c>
      <c r="K1088" t="s">
        <v>90</v>
      </c>
      <c r="L1088" t="s">
        <v>86</v>
      </c>
    </row>
    <row r="1089" spans="1:12" x14ac:dyDescent="0.25">
      <c r="A1089" t="s">
        <v>11</v>
      </c>
      <c r="B1089">
        <v>190</v>
      </c>
      <c r="C1089" t="s">
        <v>21</v>
      </c>
      <c r="D1089">
        <v>2</v>
      </c>
      <c r="E1089" t="s">
        <v>82</v>
      </c>
      <c r="F1089">
        <v>0</v>
      </c>
      <c r="G1089" t="s">
        <v>372</v>
      </c>
      <c r="H1089">
        <v>1</v>
      </c>
      <c r="I1089" t="s">
        <v>83</v>
      </c>
      <c r="J1089" t="s">
        <v>89</v>
      </c>
      <c r="K1089" t="s">
        <v>90</v>
      </c>
      <c r="L1089" t="s">
        <v>86</v>
      </c>
    </row>
    <row r="1090" spans="1:12" x14ac:dyDescent="0.25">
      <c r="A1090" t="s">
        <v>11</v>
      </c>
      <c r="B1090">
        <v>191</v>
      </c>
      <c r="C1090" t="s">
        <v>21</v>
      </c>
      <c r="D1090">
        <v>3</v>
      </c>
      <c r="E1090" t="s">
        <v>82</v>
      </c>
      <c r="G1090" t="s">
        <v>372</v>
      </c>
      <c r="I1090" t="s">
        <v>83</v>
      </c>
      <c r="J1090" t="s">
        <v>89</v>
      </c>
      <c r="K1090" t="s">
        <v>90</v>
      </c>
      <c r="L1090" t="s">
        <v>86</v>
      </c>
    </row>
    <row r="1091" spans="1:12" x14ac:dyDescent="0.25">
      <c r="A1091" t="s">
        <v>11</v>
      </c>
      <c r="B1091">
        <v>192</v>
      </c>
      <c r="C1091" t="s">
        <v>24</v>
      </c>
      <c r="D1091">
        <v>1</v>
      </c>
      <c r="E1091" t="s">
        <v>82</v>
      </c>
      <c r="F1091">
        <v>19</v>
      </c>
      <c r="G1091" t="s">
        <v>372</v>
      </c>
      <c r="H1091">
        <v>21</v>
      </c>
      <c r="I1091" t="s">
        <v>83</v>
      </c>
      <c r="J1091" t="s">
        <v>91</v>
      </c>
      <c r="K1091" t="s">
        <v>92</v>
      </c>
      <c r="L1091" t="s">
        <v>86</v>
      </c>
    </row>
    <row r="1092" spans="1:12" x14ac:dyDescent="0.25">
      <c r="A1092" t="s">
        <v>11</v>
      </c>
      <c r="B1092">
        <v>193</v>
      </c>
      <c r="C1092" t="s">
        <v>24</v>
      </c>
      <c r="D1092">
        <v>2</v>
      </c>
      <c r="E1092" t="s">
        <v>82</v>
      </c>
      <c r="F1092">
        <v>0</v>
      </c>
      <c r="G1092" t="s">
        <v>372</v>
      </c>
      <c r="H1092">
        <v>1</v>
      </c>
      <c r="I1092" t="s">
        <v>83</v>
      </c>
      <c r="J1092" t="s">
        <v>91</v>
      </c>
      <c r="K1092" t="s">
        <v>92</v>
      </c>
      <c r="L1092" t="s">
        <v>86</v>
      </c>
    </row>
    <row r="1093" spans="1:12" x14ac:dyDescent="0.25">
      <c r="A1093" t="s">
        <v>11</v>
      </c>
      <c r="B1093">
        <v>194</v>
      </c>
      <c r="C1093" t="s">
        <v>24</v>
      </c>
      <c r="D1093">
        <v>3</v>
      </c>
      <c r="E1093" t="s">
        <v>82</v>
      </c>
      <c r="G1093" t="s">
        <v>372</v>
      </c>
      <c r="I1093" t="s">
        <v>83</v>
      </c>
      <c r="J1093" t="s">
        <v>91</v>
      </c>
      <c r="K1093" t="s">
        <v>92</v>
      </c>
      <c r="L1093" t="s">
        <v>86</v>
      </c>
    </row>
    <row r="1094" spans="1:12" x14ac:dyDescent="0.25">
      <c r="A1094" t="s">
        <v>11</v>
      </c>
      <c r="B1094">
        <v>195</v>
      </c>
      <c r="C1094" t="s">
        <v>27</v>
      </c>
      <c r="D1094">
        <v>1</v>
      </c>
      <c r="E1094" t="s">
        <v>82</v>
      </c>
      <c r="F1094">
        <v>21</v>
      </c>
      <c r="G1094" t="s">
        <v>372</v>
      </c>
      <c r="H1094">
        <v>18</v>
      </c>
      <c r="I1094" t="s">
        <v>83</v>
      </c>
      <c r="J1094" t="s">
        <v>93</v>
      </c>
      <c r="K1094" t="s">
        <v>94</v>
      </c>
      <c r="L1094" t="s">
        <v>86</v>
      </c>
    </row>
    <row r="1095" spans="1:12" x14ac:dyDescent="0.25">
      <c r="A1095" t="s">
        <v>11</v>
      </c>
      <c r="B1095">
        <v>196</v>
      </c>
      <c r="C1095" t="s">
        <v>27</v>
      </c>
      <c r="D1095">
        <v>2</v>
      </c>
      <c r="E1095" t="s">
        <v>82</v>
      </c>
      <c r="F1095">
        <v>1</v>
      </c>
      <c r="G1095" t="s">
        <v>372</v>
      </c>
      <c r="H1095">
        <v>0</v>
      </c>
      <c r="I1095" t="s">
        <v>83</v>
      </c>
      <c r="J1095" t="s">
        <v>93</v>
      </c>
      <c r="K1095" t="s">
        <v>94</v>
      </c>
      <c r="L1095" t="s">
        <v>86</v>
      </c>
    </row>
    <row r="1096" spans="1:12" x14ac:dyDescent="0.25">
      <c r="A1096" t="s">
        <v>11</v>
      </c>
      <c r="B1096">
        <v>197</v>
      </c>
      <c r="C1096" t="s">
        <v>27</v>
      </c>
      <c r="D1096">
        <v>3</v>
      </c>
      <c r="E1096" t="s">
        <v>82</v>
      </c>
      <c r="G1096" t="s">
        <v>372</v>
      </c>
      <c r="I1096" t="s">
        <v>83</v>
      </c>
      <c r="J1096" t="s">
        <v>93</v>
      </c>
      <c r="K1096" t="s">
        <v>94</v>
      </c>
      <c r="L1096" t="s">
        <v>86</v>
      </c>
    </row>
    <row r="1097" spans="1:12" x14ac:dyDescent="0.25">
      <c r="A1097" t="s">
        <v>11</v>
      </c>
      <c r="B1097">
        <v>201</v>
      </c>
      <c r="C1097" t="s">
        <v>12</v>
      </c>
      <c r="D1097">
        <v>1</v>
      </c>
      <c r="E1097" t="s">
        <v>95</v>
      </c>
      <c r="F1097">
        <v>14</v>
      </c>
      <c r="G1097" t="s">
        <v>372</v>
      </c>
      <c r="H1097">
        <v>21</v>
      </c>
      <c r="I1097" t="s">
        <v>96</v>
      </c>
      <c r="J1097" t="s">
        <v>97</v>
      </c>
      <c r="K1097" t="s">
        <v>98</v>
      </c>
      <c r="L1097" t="s">
        <v>99</v>
      </c>
    </row>
    <row r="1098" spans="1:12" x14ac:dyDescent="0.25">
      <c r="A1098" t="s">
        <v>11</v>
      </c>
      <c r="B1098">
        <v>202</v>
      </c>
      <c r="C1098" t="s">
        <v>12</v>
      </c>
      <c r="D1098">
        <v>2</v>
      </c>
      <c r="E1098" t="s">
        <v>95</v>
      </c>
      <c r="F1098">
        <v>0</v>
      </c>
      <c r="G1098" t="s">
        <v>372</v>
      </c>
      <c r="H1098">
        <v>1</v>
      </c>
      <c r="I1098" t="s">
        <v>96</v>
      </c>
      <c r="J1098" t="s">
        <v>97</v>
      </c>
      <c r="K1098" t="s">
        <v>98</v>
      </c>
      <c r="L1098" t="s">
        <v>99</v>
      </c>
    </row>
    <row r="1099" spans="1:12" x14ac:dyDescent="0.25">
      <c r="A1099" t="s">
        <v>11</v>
      </c>
      <c r="B1099">
        <v>203</v>
      </c>
      <c r="C1099" t="s">
        <v>12</v>
      </c>
      <c r="D1099">
        <v>3</v>
      </c>
      <c r="E1099" t="s">
        <v>95</v>
      </c>
      <c r="G1099" t="s">
        <v>372</v>
      </c>
      <c r="I1099" t="s">
        <v>96</v>
      </c>
      <c r="J1099" t="s">
        <v>97</v>
      </c>
      <c r="K1099" t="s">
        <v>98</v>
      </c>
      <c r="L1099" t="s">
        <v>99</v>
      </c>
    </row>
    <row r="1100" spans="1:12" x14ac:dyDescent="0.25">
      <c r="A1100" t="s">
        <v>11</v>
      </c>
      <c r="B1100">
        <v>204</v>
      </c>
      <c r="C1100" t="s">
        <v>18</v>
      </c>
      <c r="D1100">
        <v>1</v>
      </c>
      <c r="E1100" t="s">
        <v>95</v>
      </c>
      <c r="F1100">
        <v>21</v>
      </c>
      <c r="G1100" t="s">
        <v>372</v>
      </c>
      <c r="H1100">
        <v>14</v>
      </c>
      <c r="I1100" t="s">
        <v>96</v>
      </c>
      <c r="J1100" t="s">
        <v>100</v>
      </c>
      <c r="K1100" t="s">
        <v>101</v>
      </c>
      <c r="L1100" t="s">
        <v>99</v>
      </c>
    </row>
    <row r="1101" spans="1:12" x14ac:dyDescent="0.25">
      <c r="A1101" t="s">
        <v>11</v>
      </c>
      <c r="B1101">
        <v>205</v>
      </c>
      <c r="C1101" t="s">
        <v>18</v>
      </c>
      <c r="D1101">
        <v>2</v>
      </c>
      <c r="E1101" t="s">
        <v>95</v>
      </c>
      <c r="F1101">
        <v>1</v>
      </c>
      <c r="G1101" t="s">
        <v>372</v>
      </c>
      <c r="H1101">
        <v>0</v>
      </c>
      <c r="I1101" t="s">
        <v>96</v>
      </c>
      <c r="J1101" t="s">
        <v>100</v>
      </c>
      <c r="K1101" t="s">
        <v>101</v>
      </c>
      <c r="L1101" t="s">
        <v>99</v>
      </c>
    </row>
    <row r="1102" spans="1:12" x14ac:dyDescent="0.25">
      <c r="A1102" t="s">
        <v>11</v>
      </c>
      <c r="B1102">
        <v>206</v>
      </c>
      <c r="C1102" t="s">
        <v>18</v>
      </c>
      <c r="D1102">
        <v>3</v>
      </c>
      <c r="E1102" t="s">
        <v>95</v>
      </c>
      <c r="G1102" t="s">
        <v>372</v>
      </c>
      <c r="I1102" t="s">
        <v>96</v>
      </c>
      <c r="J1102" t="s">
        <v>100</v>
      </c>
      <c r="K1102" t="s">
        <v>101</v>
      </c>
      <c r="L1102" t="s">
        <v>99</v>
      </c>
    </row>
    <row r="1103" spans="1:12" x14ac:dyDescent="0.25">
      <c r="A1103" t="s">
        <v>11</v>
      </c>
      <c r="B1103">
        <v>207</v>
      </c>
      <c r="C1103" t="s">
        <v>21</v>
      </c>
      <c r="D1103">
        <v>1</v>
      </c>
      <c r="E1103" t="s">
        <v>95</v>
      </c>
      <c r="F1103">
        <v>21</v>
      </c>
      <c r="G1103" t="s">
        <v>372</v>
      </c>
      <c r="H1103">
        <v>16</v>
      </c>
      <c r="I1103" t="s">
        <v>96</v>
      </c>
      <c r="J1103" t="s">
        <v>102</v>
      </c>
      <c r="K1103" t="s">
        <v>103</v>
      </c>
      <c r="L1103" t="s">
        <v>99</v>
      </c>
    </row>
    <row r="1104" spans="1:12" x14ac:dyDescent="0.25">
      <c r="A1104" t="s">
        <v>11</v>
      </c>
      <c r="B1104">
        <v>208</v>
      </c>
      <c r="C1104" t="s">
        <v>21</v>
      </c>
      <c r="D1104">
        <v>2</v>
      </c>
      <c r="E1104" t="s">
        <v>95</v>
      </c>
      <c r="F1104">
        <v>1</v>
      </c>
      <c r="G1104" t="s">
        <v>372</v>
      </c>
      <c r="H1104">
        <v>0</v>
      </c>
      <c r="I1104" t="s">
        <v>96</v>
      </c>
      <c r="J1104" t="s">
        <v>102</v>
      </c>
      <c r="K1104" t="s">
        <v>103</v>
      </c>
      <c r="L1104" t="s">
        <v>99</v>
      </c>
    </row>
    <row r="1105" spans="1:12" x14ac:dyDescent="0.25">
      <c r="A1105" t="s">
        <v>11</v>
      </c>
      <c r="B1105">
        <v>209</v>
      </c>
      <c r="C1105" t="s">
        <v>21</v>
      </c>
      <c r="D1105">
        <v>3</v>
      </c>
      <c r="E1105" t="s">
        <v>95</v>
      </c>
      <c r="G1105" t="s">
        <v>372</v>
      </c>
      <c r="I1105" t="s">
        <v>96</v>
      </c>
      <c r="J1105" t="s">
        <v>102</v>
      </c>
      <c r="K1105" t="s">
        <v>103</v>
      </c>
      <c r="L1105" t="s">
        <v>99</v>
      </c>
    </row>
    <row r="1106" spans="1:12" x14ac:dyDescent="0.25">
      <c r="A1106" t="s">
        <v>11</v>
      </c>
      <c r="B1106">
        <v>210</v>
      </c>
      <c r="C1106" t="s">
        <v>24</v>
      </c>
      <c r="D1106">
        <v>1</v>
      </c>
      <c r="E1106" t="s">
        <v>95</v>
      </c>
      <c r="F1106">
        <v>16</v>
      </c>
      <c r="G1106" t="s">
        <v>372</v>
      </c>
      <c r="H1106">
        <v>21</v>
      </c>
      <c r="I1106" t="s">
        <v>96</v>
      </c>
      <c r="J1106" t="s">
        <v>104</v>
      </c>
      <c r="K1106" t="s">
        <v>105</v>
      </c>
      <c r="L1106" t="s">
        <v>99</v>
      </c>
    </row>
    <row r="1107" spans="1:12" x14ac:dyDescent="0.25">
      <c r="A1107" t="s">
        <v>11</v>
      </c>
      <c r="B1107">
        <v>211</v>
      </c>
      <c r="C1107" t="s">
        <v>24</v>
      </c>
      <c r="D1107">
        <v>2</v>
      </c>
      <c r="E1107" t="s">
        <v>95</v>
      </c>
      <c r="F1107">
        <v>0</v>
      </c>
      <c r="G1107" t="s">
        <v>372</v>
      </c>
      <c r="H1107">
        <v>1</v>
      </c>
      <c r="I1107" t="s">
        <v>96</v>
      </c>
      <c r="J1107" t="s">
        <v>104</v>
      </c>
      <c r="K1107" t="s">
        <v>105</v>
      </c>
      <c r="L1107" t="s">
        <v>99</v>
      </c>
    </row>
    <row r="1108" spans="1:12" x14ac:dyDescent="0.25">
      <c r="A1108" t="s">
        <v>11</v>
      </c>
      <c r="B1108">
        <v>212</v>
      </c>
      <c r="C1108" t="s">
        <v>24</v>
      </c>
      <c r="D1108">
        <v>3</v>
      </c>
      <c r="E1108" t="s">
        <v>95</v>
      </c>
      <c r="G1108" t="s">
        <v>372</v>
      </c>
      <c r="I1108" t="s">
        <v>96</v>
      </c>
      <c r="J1108" t="s">
        <v>104</v>
      </c>
      <c r="K1108" t="s">
        <v>105</v>
      </c>
      <c r="L1108" t="s">
        <v>99</v>
      </c>
    </row>
    <row r="1109" spans="1:12" x14ac:dyDescent="0.25">
      <c r="A1109" t="s">
        <v>11</v>
      </c>
      <c r="B1109">
        <v>213</v>
      </c>
      <c r="C1109" t="s">
        <v>27</v>
      </c>
      <c r="D1109">
        <v>1</v>
      </c>
      <c r="E1109" t="s">
        <v>95</v>
      </c>
      <c r="F1109">
        <v>21</v>
      </c>
      <c r="G1109" t="s">
        <v>372</v>
      </c>
      <c r="H1109">
        <v>15</v>
      </c>
      <c r="I1109" t="s">
        <v>96</v>
      </c>
      <c r="J1109" t="s">
        <v>106</v>
      </c>
      <c r="K1109" t="s">
        <v>107</v>
      </c>
      <c r="L1109" t="s">
        <v>99</v>
      </c>
    </row>
    <row r="1110" spans="1:12" x14ac:dyDescent="0.25">
      <c r="A1110" t="s">
        <v>11</v>
      </c>
      <c r="B1110">
        <v>214</v>
      </c>
      <c r="C1110" t="s">
        <v>27</v>
      </c>
      <c r="D1110">
        <v>2</v>
      </c>
      <c r="E1110" t="s">
        <v>95</v>
      </c>
      <c r="F1110">
        <v>1</v>
      </c>
      <c r="G1110" t="s">
        <v>372</v>
      </c>
      <c r="H1110">
        <v>0</v>
      </c>
      <c r="I1110" t="s">
        <v>96</v>
      </c>
      <c r="J1110" t="s">
        <v>106</v>
      </c>
      <c r="K1110" t="s">
        <v>107</v>
      </c>
      <c r="L1110" t="s">
        <v>99</v>
      </c>
    </row>
    <row r="1111" spans="1:12" x14ac:dyDescent="0.25">
      <c r="A1111" t="s">
        <v>11</v>
      </c>
      <c r="B1111">
        <v>215</v>
      </c>
      <c r="C1111" t="s">
        <v>27</v>
      </c>
      <c r="D1111">
        <v>3</v>
      </c>
      <c r="E1111" t="s">
        <v>95</v>
      </c>
      <c r="G1111" t="s">
        <v>372</v>
      </c>
      <c r="I1111" t="s">
        <v>96</v>
      </c>
      <c r="J1111" t="s">
        <v>106</v>
      </c>
      <c r="K1111" t="s">
        <v>107</v>
      </c>
      <c r="L1111" t="s">
        <v>99</v>
      </c>
    </row>
    <row r="1112" spans="1:12" x14ac:dyDescent="0.25">
      <c r="A1112" t="s">
        <v>11</v>
      </c>
      <c r="B1112">
        <v>219</v>
      </c>
      <c r="C1112" t="s">
        <v>12</v>
      </c>
      <c r="D1112">
        <v>1</v>
      </c>
      <c r="E1112" t="s">
        <v>108</v>
      </c>
      <c r="F1112">
        <v>15</v>
      </c>
      <c r="G1112" t="s">
        <v>372</v>
      </c>
      <c r="H1112">
        <v>21</v>
      </c>
      <c r="I1112" t="s">
        <v>109</v>
      </c>
      <c r="J1112" t="s">
        <v>110</v>
      </c>
      <c r="K1112" t="s">
        <v>111</v>
      </c>
      <c r="L1112" t="s">
        <v>112</v>
      </c>
    </row>
    <row r="1113" spans="1:12" x14ac:dyDescent="0.25">
      <c r="A1113" t="s">
        <v>11</v>
      </c>
      <c r="B1113">
        <v>220</v>
      </c>
      <c r="C1113" t="s">
        <v>12</v>
      </c>
      <c r="D1113">
        <v>2</v>
      </c>
      <c r="E1113" t="s">
        <v>108</v>
      </c>
      <c r="F1113">
        <v>0</v>
      </c>
      <c r="G1113" t="s">
        <v>372</v>
      </c>
      <c r="H1113">
        <v>1</v>
      </c>
      <c r="I1113" t="s">
        <v>109</v>
      </c>
      <c r="J1113" t="s">
        <v>110</v>
      </c>
      <c r="K1113" t="s">
        <v>111</v>
      </c>
      <c r="L1113" t="s">
        <v>112</v>
      </c>
    </row>
    <row r="1114" spans="1:12" x14ac:dyDescent="0.25">
      <c r="A1114" t="s">
        <v>11</v>
      </c>
      <c r="B1114">
        <v>221</v>
      </c>
      <c r="C1114" t="s">
        <v>12</v>
      </c>
      <c r="D1114">
        <v>3</v>
      </c>
      <c r="E1114" t="s">
        <v>108</v>
      </c>
      <c r="G1114" t="s">
        <v>372</v>
      </c>
      <c r="I1114" t="s">
        <v>109</v>
      </c>
      <c r="J1114" t="s">
        <v>110</v>
      </c>
      <c r="K1114" t="s">
        <v>111</v>
      </c>
      <c r="L1114" t="s">
        <v>112</v>
      </c>
    </row>
    <row r="1115" spans="1:12" x14ac:dyDescent="0.25">
      <c r="A1115" t="s">
        <v>11</v>
      </c>
      <c r="B1115">
        <v>222</v>
      </c>
      <c r="C1115" t="s">
        <v>18</v>
      </c>
      <c r="D1115">
        <v>1</v>
      </c>
      <c r="E1115" t="s">
        <v>108</v>
      </c>
      <c r="F1115">
        <v>19</v>
      </c>
      <c r="G1115" t="s">
        <v>372</v>
      </c>
      <c r="H1115">
        <v>21</v>
      </c>
      <c r="I1115" t="s">
        <v>109</v>
      </c>
      <c r="J1115" t="s">
        <v>113</v>
      </c>
      <c r="K1115" t="s">
        <v>114</v>
      </c>
      <c r="L1115" t="s">
        <v>112</v>
      </c>
    </row>
    <row r="1116" spans="1:12" x14ac:dyDescent="0.25">
      <c r="A1116" t="s">
        <v>11</v>
      </c>
      <c r="B1116">
        <v>223</v>
      </c>
      <c r="C1116" t="s">
        <v>18</v>
      </c>
      <c r="D1116">
        <v>2</v>
      </c>
      <c r="E1116" t="s">
        <v>108</v>
      </c>
      <c r="F1116">
        <v>0</v>
      </c>
      <c r="G1116" t="s">
        <v>372</v>
      </c>
      <c r="H1116">
        <v>1</v>
      </c>
      <c r="I1116" t="s">
        <v>109</v>
      </c>
      <c r="J1116" t="s">
        <v>113</v>
      </c>
      <c r="K1116" t="s">
        <v>114</v>
      </c>
      <c r="L1116" t="s">
        <v>112</v>
      </c>
    </row>
    <row r="1117" spans="1:12" x14ac:dyDescent="0.25">
      <c r="A1117" t="s">
        <v>11</v>
      </c>
      <c r="B1117">
        <v>224</v>
      </c>
      <c r="C1117" t="s">
        <v>18</v>
      </c>
      <c r="D1117">
        <v>3</v>
      </c>
      <c r="E1117" t="s">
        <v>108</v>
      </c>
      <c r="G1117" t="s">
        <v>372</v>
      </c>
      <c r="I1117" t="s">
        <v>109</v>
      </c>
      <c r="J1117" t="s">
        <v>113</v>
      </c>
      <c r="K1117" t="s">
        <v>114</v>
      </c>
      <c r="L1117" t="s">
        <v>112</v>
      </c>
    </row>
    <row r="1118" spans="1:12" x14ac:dyDescent="0.25">
      <c r="A1118" t="s">
        <v>11</v>
      </c>
      <c r="B1118">
        <v>225</v>
      </c>
      <c r="C1118" t="s">
        <v>21</v>
      </c>
      <c r="D1118">
        <v>1</v>
      </c>
      <c r="E1118" t="s">
        <v>108</v>
      </c>
      <c r="F1118">
        <v>15</v>
      </c>
      <c r="G1118" t="s">
        <v>372</v>
      </c>
      <c r="H1118">
        <v>21</v>
      </c>
      <c r="I1118" t="s">
        <v>109</v>
      </c>
      <c r="J1118" t="s">
        <v>115</v>
      </c>
      <c r="K1118" t="s">
        <v>116</v>
      </c>
      <c r="L1118" t="s">
        <v>112</v>
      </c>
    </row>
    <row r="1119" spans="1:12" x14ac:dyDescent="0.25">
      <c r="A1119" t="s">
        <v>11</v>
      </c>
      <c r="B1119">
        <v>226</v>
      </c>
      <c r="C1119" t="s">
        <v>21</v>
      </c>
      <c r="D1119">
        <v>2</v>
      </c>
      <c r="E1119" t="s">
        <v>108</v>
      </c>
      <c r="F1119">
        <v>0</v>
      </c>
      <c r="G1119" t="s">
        <v>372</v>
      </c>
      <c r="H1119">
        <v>1</v>
      </c>
      <c r="I1119" t="s">
        <v>109</v>
      </c>
      <c r="J1119" t="s">
        <v>115</v>
      </c>
      <c r="K1119" t="s">
        <v>116</v>
      </c>
      <c r="L1119" t="s">
        <v>112</v>
      </c>
    </row>
    <row r="1120" spans="1:12" x14ac:dyDescent="0.25">
      <c r="A1120" t="s">
        <v>11</v>
      </c>
      <c r="B1120">
        <v>227</v>
      </c>
      <c r="C1120" t="s">
        <v>21</v>
      </c>
      <c r="D1120">
        <v>3</v>
      </c>
      <c r="E1120" t="s">
        <v>108</v>
      </c>
      <c r="G1120" t="s">
        <v>372</v>
      </c>
      <c r="I1120" t="s">
        <v>109</v>
      </c>
      <c r="J1120" t="s">
        <v>115</v>
      </c>
      <c r="K1120" t="s">
        <v>116</v>
      </c>
      <c r="L1120" t="s">
        <v>112</v>
      </c>
    </row>
    <row r="1121" spans="1:12" x14ac:dyDescent="0.25">
      <c r="A1121" t="s">
        <v>11</v>
      </c>
      <c r="B1121">
        <v>228</v>
      </c>
      <c r="C1121" t="s">
        <v>24</v>
      </c>
      <c r="D1121">
        <v>1</v>
      </c>
      <c r="E1121" t="s">
        <v>108</v>
      </c>
      <c r="F1121">
        <v>17</v>
      </c>
      <c r="G1121" t="s">
        <v>372</v>
      </c>
      <c r="H1121">
        <v>21</v>
      </c>
      <c r="I1121" t="s">
        <v>109</v>
      </c>
      <c r="J1121" t="s">
        <v>117</v>
      </c>
      <c r="K1121" t="s">
        <v>118</v>
      </c>
      <c r="L1121" t="s">
        <v>112</v>
      </c>
    </row>
    <row r="1122" spans="1:12" x14ac:dyDescent="0.25">
      <c r="A1122" t="s">
        <v>11</v>
      </c>
      <c r="B1122">
        <v>229</v>
      </c>
      <c r="C1122" t="s">
        <v>24</v>
      </c>
      <c r="D1122">
        <v>2</v>
      </c>
      <c r="E1122" t="s">
        <v>108</v>
      </c>
      <c r="F1122">
        <v>0</v>
      </c>
      <c r="G1122" t="s">
        <v>372</v>
      </c>
      <c r="H1122">
        <v>1</v>
      </c>
      <c r="I1122" t="s">
        <v>109</v>
      </c>
      <c r="J1122" t="s">
        <v>117</v>
      </c>
      <c r="K1122" t="s">
        <v>118</v>
      </c>
      <c r="L1122" t="s">
        <v>112</v>
      </c>
    </row>
    <row r="1123" spans="1:12" x14ac:dyDescent="0.25">
      <c r="A1123" t="s">
        <v>11</v>
      </c>
      <c r="B1123">
        <v>230</v>
      </c>
      <c r="C1123" t="s">
        <v>24</v>
      </c>
      <c r="D1123">
        <v>3</v>
      </c>
      <c r="E1123" t="s">
        <v>108</v>
      </c>
      <c r="G1123" t="s">
        <v>372</v>
      </c>
      <c r="I1123" t="s">
        <v>109</v>
      </c>
      <c r="J1123" t="s">
        <v>117</v>
      </c>
      <c r="K1123" t="s">
        <v>118</v>
      </c>
      <c r="L1123" t="s">
        <v>112</v>
      </c>
    </row>
    <row r="1124" spans="1:12" x14ac:dyDescent="0.25">
      <c r="A1124" t="s">
        <v>11</v>
      </c>
      <c r="B1124">
        <v>231</v>
      </c>
      <c r="C1124" t="s">
        <v>27</v>
      </c>
      <c r="D1124">
        <v>1</v>
      </c>
      <c r="E1124" t="s">
        <v>108</v>
      </c>
      <c r="F1124">
        <v>17</v>
      </c>
      <c r="G1124" t="s">
        <v>372</v>
      </c>
      <c r="H1124">
        <v>21</v>
      </c>
      <c r="I1124" t="s">
        <v>109</v>
      </c>
      <c r="J1124" t="s">
        <v>119</v>
      </c>
      <c r="K1124" t="s">
        <v>120</v>
      </c>
      <c r="L1124" t="s">
        <v>112</v>
      </c>
    </row>
    <row r="1125" spans="1:12" x14ac:dyDescent="0.25">
      <c r="A1125" t="s">
        <v>11</v>
      </c>
      <c r="B1125">
        <v>232</v>
      </c>
      <c r="C1125" t="s">
        <v>27</v>
      </c>
      <c r="D1125">
        <v>2</v>
      </c>
      <c r="E1125" t="s">
        <v>108</v>
      </c>
      <c r="F1125">
        <v>0</v>
      </c>
      <c r="G1125" t="s">
        <v>372</v>
      </c>
      <c r="H1125">
        <v>1</v>
      </c>
      <c r="I1125" t="s">
        <v>109</v>
      </c>
      <c r="J1125" t="s">
        <v>119</v>
      </c>
      <c r="K1125" t="s">
        <v>120</v>
      </c>
      <c r="L1125" t="s">
        <v>112</v>
      </c>
    </row>
    <row r="1126" spans="1:12" x14ac:dyDescent="0.25">
      <c r="A1126" t="s">
        <v>11</v>
      </c>
      <c r="B1126">
        <v>233</v>
      </c>
      <c r="C1126" t="s">
        <v>27</v>
      </c>
      <c r="D1126">
        <v>3</v>
      </c>
      <c r="E1126" t="s">
        <v>108</v>
      </c>
      <c r="G1126" t="s">
        <v>372</v>
      </c>
      <c r="I1126" t="s">
        <v>109</v>
      </c>
      <c r="J1126" t="s">
        <v>119</v>
      </c>
      <c r="K1126" t="s">
        <v>120</v>
      </c>
      <c r="L1126" t="s">
        <v>112</v>
      </c>
    </row>
    <row r="1127" spans="1:12" x14ac:dyDescent="0.25">
      <c r="A1127" t="s">
        <v>11</v>
      </c>
      <c r="B1127">
        <v>237</v>
      </c>
      <c r="C1127" t="s">
        <v>12</v>
      </c>
      <c r="D1127">
        <v>1</v>
      </c>
      <c r="E1127" t="s">
        <v>121</v>
      </c>
      <c r="F1127">
        <v>1</v>
      </c>
      <c r="G1127" t="s">
        <v>372</v>
      </c>
      <c r="H1127">
        <v>0</v>
      </c>
      <c r="I1127" t="s">
        <v>122</v>
      </c>
      <c r="J1127" t="s">
        <v>123</v>
      </c>
      <c r="K1127" t="s">
        <v>124</v>
      </c>
      <c r="L1127" t="s">
        <v>125</v>
      </c>
    </row>
    <row r="1128" spans="1:12" x14ac:dyDescent="0.25">
      <c r="A1128" t="s">
        <v>11</v>
      </c>
      <c r="B1128">
        <v>238</v>
      </c>
      <c r="C1128" t="s">
        <v>12</v>
      </c>
      <c r="D1128">
        <v>2</v>
      </c>
      <c r="E1128" t="s">
        <v>121</v>
      </c>
      <c r="F1128">
        <v>1</v>
      </c>
      <c r="G1128" t="s">
        <v>372</v>
      </c>
      <c r="H1128">
        <v>0</v>
      </c>
      <c r="I1128" t="s">
        <v>122</v>
      </c>
      <c r="J1128" t="s">
        <v>123</v>
      </c>
      <c r="K1128" t="s">
        <v>124</v>
      </c>
      <c r="L1128" t="s">
        <v>125</v>
      </c>
    </row>
    <row r="1129" spans="1:12" x14ac:dyDescent="0.25">
      <c r="A1129" t="s">
        <v>11</v>
      </c>
      <c r="B1129">
        <v>239</v>
      </c>
      <c r="C1129" t="s">
        <v>12</v>
      </c>
      <c r="D1129">
        <v>3</v>
      </c>
      <c r="E1129" t="s">
        <v>121</v>
      </c>
      <c r="G1129" t="s">
        <v>372</v>
      </c>
      <c r="I1129" t="s">
        <v>122</v>
      </c>
      <c r="J1129" t="s">
        <v>123</v>
      </c>
      <c r="K1129" t="s">
        <v>124</v>
      </c>
      <c r="L1129" t="s">
        <v>125</v>
      </c>
    </row>
    <row r="1130" spans="1:12" x14ac:dyDescent="0.25">
      <c r="A1130" t="s">
        <v>11</v>
      </c>
      <c r="B1130">
        <v>240</v>
      </c>
      <c r="C1130" t="s">
        <v>18</v>
      </c>
      <c r="D1130">
        <v>1</v>
      </c>
      <c r="E1130" t="s">
        <v>121</v>
      </c>
      <c r="F1130">
        <v>1</v>
      </c>
      <c r="G1130" t="s">
        <v>372</v>
      </c>
      <c r="H1130">
        <v>0</v>
      </c>
      <c r="I1130" t="s">
        <v>122</v>
      </c>
      <c r="J1130" t="s">
        <v>126</v>
      </c>
      <c r="K1130" t="s">
        <v>127</v>
      </c>
      <c r="L1130" t="s">
        <v>125</v>
      </c>
    </row>
    <row r="1131" spans="1:12" x14ac:dyDescent="0.25">
      <c r="A1131" t="s">
        <v>11</v>
      </c>
      <c r="B1131">
        <v>241</v>
      </c>
      <c r="C1131" t="s">
        <v>18</v>
      </c>
      <c r="D1131">
        <v>2</v>
      </c>
      <c r="E1131" t="s">
        <v>121</v>
      </c>
      <c r="F1131">
        <v>1</v>
      </c>
      <c r="G1131" t="s">
        <v>372</v>
      </c>
      <c r="H1131">
        <v>0</v>
      </c>
      <c r="I1131" t="s">
        <v>122</v>
      </c>
      <c r="J1131" t="s">
        <v>126</v>
      </c>
      <c r="K1131" t="s">
        <v>127</v>
      </c>
      <c r="L1131" t="s">
        <v>125</v>
      </c>
    </row>
    <row r="1132" spans="1:12" x14ac:dyDescent="0.25">
      <c r="A1132" t="s">
        <v>11</v>
      </c>
      <c r="B1132">
        <v>242</v>
      </c>
      <c r="C1132" t="s">
        <v>18</v>
      </c>
      <c r="D1132">
        <v>3</v>
      </c>
      <c r="E1132" t="s">
        <v>121</v>
      </c>
      <c r="G1132" t="s">
        <v>372</v>
      </c>
      <c r="I1132" t="s">
        <v>122</v>
      </c>
      <c r="J1132" t="s">
        <v>126</v>
      </c>
      <c r="K1132" t="s">
        <v>127</v>
      </c>
      <c r="L1132" t="s">
        <v>125</v>
      </c>
    </row>
    <row r="1133" spans="1:12" x14ac:dyDescent="0.25">
      <c r="A1133" t="s">
        <v>11</v>
      </c>
      <c r="B1133">
        <v>243</v>
      </c>
      <c r="C1133" t="s">
        <v>21</v>
      </c>
      <c r="D1133">
        <v>1</v>
      </c>
      <c r="E1133" t="s">
        <v>121</v>
      </c>
      <c r="F1133">
        <v>1</v>
      </c>
      <c r="G1133" t="s">
        <v>372</v>
      </c>
      <c r="H1133">
        <v>0</v>
      </c>
      <c r="I1133" t="s">
        <v>122</v>
      </c>
      <c r="J1133" t="s">
        <v>128</v>
      </c>
      <c r="K1133" t="s">
        <v>129</v>
      </c>
      <c r="L1133" t="s">
        <v>125</v>
      </c>
    </row>
    <row r="1134" spans="1:12" x14ac:dyDescent="0.25">
      <c r="A1134" t="s">
        <v>11</v>
      </c>
      <c r="B1134">
        <v>244</v>
      </c>
      <c r="C1134" t="s">
        <v>21</v>
      </c>
      <c r="D1134">
        <v>2</v>
      </c>
      <c r="E1134" t="s">
        <v>121</v>
      </c>
      <c r="F1134">
        <v>1</v>
      </c>
      <c r="G1134" t="s">
        <v>372</v>
      </c>
      <c r="H1134">
        <v>0</v>
      </c>
      <c r="I1134" t="s">
        <v>122</v>
      </c>
      <c r="J1134" t="s">
        <v>128</v>
      </c>
      <c r="K1134" t="s">
        <v>129</v>
      </c>
      <c r="L1134" t="s">
        <v>125</v>
      </c>
    </row>
    <row r="1135" spans="1:12" x14ac:dyDescent="0.25">
      <c r="A1135" t="s">
        <v>11</v>
      </c>
      <c r="B1135">
        <v>245</v>
      </c>
      <c r="C1135" t="s">
        <v>21</v>
      </c>
      <c r="D1135">
        <v>3</v>
      </c>
      <c r="E1135" t="s">
        <v>121</v>
      </c>
      <c r="G1135" t="s">
        <v>372</v>
      </c>
      <c r="I1135" t="s">
        <v>122</v>
      </c>
      <c r="J1135" t="s">
        <v>128</v>
      </c>
      <c r="K1135" t="s">
        <v>129</v>
      </c>
      <c r="L1135" t="s">
        <v>125</v>
      </c>
    </row>
    <row r="1136" spans="1:12" x14ac:dyDescent="0.25">
      <c r="A1136" t="s">
        <v>11</v>
      </c>
      <c r="B1136">
        <v>246</v>
      </c>
      <c r="C1136" t="s">
        <v>24</v>
      </c>
      <c r="D1136">
        <v>1</v>
      </c>
      <c r="E1136" t="s">
        <v>121</v>
      </c>
      <c r="F1136">
        <v>1</v>
      </c>
      <c r="G1136" t="s">
        <v>372</v>
      </c>
      <c r="H1136">
        <v>0</v>
      </c>
      <c r="I1136" t="s">
        <v>122</v>
      </c>
      <c r="J1136" t="s">
        <v>130</v>
      </c>
      <c r="K1136" t="s">
        <v>131</v>
      </c>
      <c r="L1136" t="s">
        <v>125</v>
      </c>
    </row>
    <row r="1137" spans="1:12" x14ac:dyDescent="0.25">
      <c r="A1137" t="s">
        <v>11</v>
      </c>
      <c r="B1137">
        <v>247</v>
      </c>
      <c r="C1137" t="s">
        <v>24</v>
      </c>
      <c r="D1137">
        <v>2</v>
      </c>
      <c r="E1137" t="s">
        <v>121</v>
      </c>
      <c r="F1137">
        <v>1</v>
      </c>
      <c r="G1137" t="s">
        <v>372</v>
      </c>
      <c r="H1137">
        <v>0</v>
      </c>
      <c r="I1137" t="s">
        <v>122</v>
      </c>
      <c r="J1137" t="s">
        <v>130</v>
      </c>
      <c r="K1137" t="s">
        <v>131</v>
      </c>
      <c r="L1137" t="s">
        <v>125</v>
      </c>
    </row>
    <row r="1138" spans="1:12" x14ac:dyDescent="0.25">
      <c r="A1138" t="s">
        <v>11</v>
      </c>
      <c r="B1138">
        <v>248</v>
      </c>
      <c r="C1138" t="s">
        <v>24</v>
      </c>
      <c r="D1138">
        <v>3</v>
      </c>
      <c r="E1138" t="s">
        <v>121</v>
      </c>
      <c r="G1138" t="s">
        <v>372</v>
      </c>
      <c r="I1138" t="s">
        <v>122</v>
      </c>
      <c r="J1138" t="s">
        <v>130</v>
      </c>
      <c r="K1138" t="s">
        <v>131</v>
      </c>
      <c r="L1138" t="s">
        <v>125</v>
      </c>
    </row>
    <row r="1139" spans="1:12" x14ac:dyDescent="0.25">
      <c r="A1139" t="s">
        <v>11</v>
      </c>
      <c r="B1139">
        <v>249</v>
      </c>
      <c r="C1139" t="s">
        <v>27</v>
      </c>
      <c r="D1139">
        <v>1</v>
      </c>
      <c r="E1139" t="s">
        <v>121</v>
      </c>
      <c r="F1139">
        <v>1</v>
      </c>
      <c r="G1139" t="s">
        <v>372</v>
      </c>
      <c r="H1139">
        <v>0</v>
      </c>
      <c r="I1139" t="s">
        <v>122</v>
      </c>
      <c r="J1139" t="s">
        <v>132</v>
      </c>
      <c r="K1139" t="s">
        <v>133</v>
      </c>
      <c r="L1139" t="s">
        <v>125</v>
      </c>
    </row>
    <row r="1140" spans="1:12" x14ac:dyDescent="0.25">
      <c r="A1140" t="s">
        <v>11</v>
      </c>
      <c r="B1140">
        <v>250</v>
      </c>
      <c r="C1140" t="s">
        <v>27</v>
      </c>
      <c r="D1140">
        <v>2</v>
      </c>
      <c r="E1140" t="s">
        <v>121</v>
      </c>
      <c r="F1140">
        <v>1</v>
      </c>
      <c r="G1140" t="s">
        <v>372</v>
      </c>
      <c r="H1140">
        <v>0</v>
      </c>
      <c r="I1140" t="s">
        <v>122</v>
      </c>
      <c r="J1140" t="s">
        <v>132</v>
      </c>
      <c r="K1140" t="s">
        <v>133</v>
      </c>
      <c r="L1140" t="s">
        <v>125</v>
      </c>
    </row>
    <row r="1141" spans="1:12" x14ac:dyDescent="0.25">
      <c r="A1141" t="s">
        <v>11</v>
      </c>
      <c r="B1141">
        <v>251</v>
      </c>
      <c r="C1141" t="s">
        <v>27</v>
      </c>
      <c r="D1141">
        <v>3</v>
      </c>
      <c r="E1141" t="s">
        <v>121</v>
      </c>
      <c r="G1141" t="s">
        <v>372</v>
      </c>
      <c r="I1141" t="s">
        <v>122</v>
      </c>
      <c r="J1141" t="s">
        <v>132</v>
      </c>
      <c r="K1141" t="s">
        <v>133</v>
      </c>
      <c r="L1141" t="s">
        <v>125</v>
      </c>
    </row>
    <row r="1142" spans="1:12" x14ac:dyDescent="0.25">
      <c r="A1142" t="s">
        <v>11</v>
      </c>
      <c r="B1142">
        <v>255</v>
      </c>
      <c r="C1142" t="s">
        <v>12</v>
      </c>
      <c r="D1142">
        <v>1</v>
      </c>
      <c r="E1142" t="s">
        <v>134</v>
      </c>
      <c r="F1142">
        <v>1</v>
      </c>
      <c r="G1142" t="s">
        <v>372</v>
      </c>
      <c r="H1142">
        <v>0</v>
      </c>
      <c r="I1142" t="s">
        <v>135</v>
      </c>
      <c r="J1142" t="s">
        <v>136</v>
      </c>
      <c r="K1142" t="s">
        <v>137</v>
      </c>
      <c r="L1142" t="s">
        <v>138</v>
      </c>
    </row>
    <row r="1143" spans="1:12" x14ac:dyDescent="0.25">
      <c r="A1143" t="s">
        <v>11</v>
      </c>
      <c r="B1143">
        <v>256</v>
      </c>
      <c r="C1143" t="s">
        <v>12</v>
      </c>
      <c r="D1143">
        <v>2</v>
      </c>
      <c r="E1143" t="s">
        <v>134</v>
      </c>
      <c r="F1143">
        <v>1</v>
      </c>
      <c r="G1143" t="s">
        <v>372</v>
      </c>
      <c r="H1143">
        <v>0</v>
      </c>
      <c r="I1143" t="s">
        <v>135</v>
      </c>
      <c r="J1143" t="s">
        <v>136</v>
      </c>
      <c r="K1143" t="s">
        <v>137</v>
      </c>
      <c r="L1143" t="s">
        <v>138</v>
      </c>
    </row>
    <row r="1144" spans="1:12" x14ac:dyDescent="0.25">
      <c r="A1144" t="s">
        <v>11</v>
      </c>
      <c r="B1144">
        <v>257</v>
      </c>
      <c r="C1144" t="s">
        <v>12</v>
      </c>
      <c r="D1144">
        <v>3</v>
      </c>
      <c r="E1144" t="s">
        <v>134</v>
      </c>
      <c r="G1144" t="s">
        <v>372</v>
      </c>
      <c r="I1144" t="s">
        <v>135</v>
      </c>
      <c r="J1144" t="s">
        <v>136</v>
      </c>
      <c r="K1144" t="s">
        <v>137</v>
      </c>
      <c r="L1144" t="s">
        <v>138</v>
      </c>
    </row>
    <row r="1145" spans="1:12" x14ac:dyDescent="0.25">
      <c r="A1145" t="s">
        <v>11</v>
      </c>
      <c r="B1145">
        <v>258</v>
      </c>
      <c r="C1145" t="s">
        <v>18</v>
      </c>
      <c r="D1145">
        <v>1</v>
      </c>
      <c r="E1145" t="s">
        <v>134</v>
      </c>
      <c r="F1145">
        <v>1</v>
      </c>
      <c r="G1145" t="s">
        <v>372</v>
      </c>
      <c r="H1145">
        <v>0</v>
      </c>
      <c r="I1145" t="s">
        <v>135</v>
      </c>
      <c r="J1145" t="s">
        <v>139</v>
      </c>
      <c r="K1145" t="s">
        <v>140</v>
      </c>
      <c r="L1145" t="s">
        <v>138</v>
      </c>
    </row>
    <row r="1146" spans="1:12" x14ac:dyDescent="0.25">
      <c r="A1146" t="s">
        <v>11</v>
      </c>
      <c r="B1146">
        <v>259</v>
      </c>
      <c r="C1146" t="s">
        <v>18</v>
      </c>
      <c r="D1146">
        <v>2</v>
      </c>
      <c r="E1146" t="s">
        <v>134</v>
      </c>
      <c r="F1146">
        <v>1</v>
      </c>
      <c r="G1146" t="s">
        <v>372</v>
      </c>
      <c r="H1146">
        <v>0</v>
      </c>
      <c r="I1146" t="s">
        <v>135</v>
      </c>
      <c r="J1146" t="s">
        <v>139</v>
      </c>
      <c r="K1146" t="s">
        <v>140</v>
      </c>
      <c r="L1146" t="s">
        <v>138</v>
      </c>
    </row>
    <row r="1147" spans="1:12" x14ac:dyDescent="0.25">
      <c r="A1147" t="s">
        <v>11</v>
      </c>
      <c r="B1147">
        <v>260</v>
      </c>
      <c r="C1147" t="s">
        <v>18</v>
      </c>
      <c r="D1147">
        <v>3</v>
      </c>
      <c r="E1147" t="s">
        <v>134</v>
      </c>
      <c r="G1147" t="s">
        <v>372</v>
      </c>
      <c r="I1147" t="s">
        <v>135</v>
      </c>
      <c r="J1147" t="s">
        <v>139</v>
      </c>
      <c r="K1147" t="s">
        <v>140</v>
      </c>
      <c r="L1147" t="s">
        <v>138</v>
      </c>
    </row>
    <row r="1148" spans="1:12" x14ac:dyDescent="0.25">
      <c r="A1148" t="s">
        <v>11</v>
      </c>
      <c r="B1148">
        <v>261</v>
      </c>
      <c r="C1148" t="s">
        <v>21</v>
      </c>
      <c r="D1148">
        <v>1</v>
      </c>
      <c r="E1148" t="s">
        <v>134</v>
      </c>
      <c r="F1148">
        <v>1</v>
      </c>
      <c r="G1148" t="s">
        <v>372</v>
      </c>
      <c r="H1148">
        <v>0</v>
      </c>
      <c r="I1148" t="s">
        <v>135</v>
      </c>
      <c r="J1148" t="s">
        <v>141</v>
      </c>
      <c r="K1148" t="s">
        <v>142</v>
      </c>
      <c r="L1148" t="s">
        <v>138</v>
      </c>
    </row>
    <row r="1149" spans="1:12" x14ac:dyDescent="0.25">
      <c r="A1149" t="s">
        <v>11</v>
      </c>
      <c r="B1149">
        <v>262</v>
      </c>
      <c r="C1149" t="s">
        <v>21</v>
      </c>
      <c r="D1149">
        <v>2</v>
      </c>
      <c r="E1149" t="s">
        <v>134</v>
      </c>
      <c r="F1149">
        <v>1</v>
      </c>
      <c r="G1149" t="s">
        <v>372</v>
      </c>
      <c r="H1149">
        <v>0</v>
      </c>
      <c r="I1149" t="s">
        <v>135</v>
      </c>
      <c r="J1149" t="s">
        <v>141</v>
      </c>
      <c r="K1149" t="s">
        <v>142</v>
      </c>
      <c r="L1149" t="s">
        <v>138</v>
      </c>
    </row>
    <row r="1150" spans="1:12" x14ac:dyDescent="0.25">
      <c r="A1150" t="s">
        <v>11</v>
      </c>
      <c r="B1150">
        <v>263</v>
      </c>
      <c r="C1150" t="s">
        <v>21</v>
      </c>
      <c r="D1150">
        <v>3</v>
      </c>
      <c r="E1150" t="s">
        <v>134</v>
      </c>
      <c r="G1150" t="s">
        <v>372</v>
      </c>
      <c r="I1150" t="s">
        <v>135</v>
      </c>
      <c r="J1150" t="s">
        <v>141</v>
      </c>
      <c r="K1150" t="s">
        <v>142</v>
      </c>
      <c r="L1150" t="s">
        <v>138</v>
      </c>
    </row>
    <row r="1151" spans="1:12" x14ac:dyDescent="0.25">
      <c r="A1151" t="s">
        <v>11</v>
      </c>
      <c r="B1151">
        <v>264</v>
      </c>
      <c r="C1151" t="s">
        <v>24</v>
      </c>
      <c r="D1151">
        <v>1</v>
      </c>
      <c r="E1151" t="s">
        <v>134</v>
      </c>
      <c r="F1151">
        <v>1</v>
      </c>
      <c r="G1151" t="s">
        <v>372</v>
      </c>
      <c r="H1151">
        <v>0</v>
      </c>
      <c r="I1151" t="s">
        <v>135</v>
      </c>
      <c r="J1151" t="s">
        <v>143</v>
      </c>
      <c r="K1151" t="s">
        <v>144</v>
      </c>
      <c r="L1151" t="s">
        <v>138</v>
      </c>
    </row>
    <row r="1152" spans="1:12" x14ac:dyDescent="0.25">
      <c r="A1152" t="s">
        <v>11</v>
      </c>
      <c r="B1152">
        <v>265</v>
      </c>
      <c r="C1152" t="s">
        <v>24</v>
      </c>
      <c r="D1152">
        <v>2</v>
      </c>
      <c r="E1152" t="s">
        <v>134</v>
      </c>
      <c r="F1152">
        <v>1</v>
      </c>
      <c r="G1152" t="s">
        <v>372</v>
      </c>
      <c r="H1152">
        <v>0</v>
      </c>
      <c r="I1152" t="s">
        <v>135</v>
      </c>
      <c r="J1152" t="s">
        <v>143</v>
      </c>
      <c r="K1152" t="s">
        <v>144</v>
      </c>
      <c r="L1152" t="s">
        <v>138</v>
      </c>
    </row>
    <row r="1153" spans="1:12" x14ac:dyDescent="0.25">
      <c r="A1153" t="s">
        <v>11</v>
      </c>
      <c r="B1153">
        <v>266</v>
      </c>
      <c r="C1153" t="s">
        <v>24</v>
      </c>
      <c r="D1153">
        <v>3</v>
      </c>
      <c r="E1153" t="s">
        <v>134</v>
      </c>
      <c r="G1153" t="s">
        <v>372</v>
      </c>
      <c r="I1153" t="s">
        <v>135</v>
      </c>
      <c r="J1153" t="s">
        <v>143</v>
      </c>
      <c r="K1153" t="s">
        <v>144</v>
      </c>
      <c r="L1153" t="s">
        <v>138</v>
      </c>
    </row>
    <row r="1154" spans="1:12" x14ac:dyDescent="0.25">
      <c r="A1154" t="s">
        <v>11</v>
      </c>
      <c r="B1154">
        <v>267</v>
      </c>
      <c r="C1154" t="s">
        <v>27</v>
      </c>
      <c r="D1154">
        <v>1</v>
      </c>
      <c r="E1154" t="s">
        <v>134</v>
      </c>
      <c r="F1154">
        <v>0</v>
      </c>
      <c r="G1154" t="s">
        <v>372</v>
      </c>
      <c r="H1154">
        <v>1</v>
      </c>
      <c r="I1154" t="s">
        <v>135</v>
      </c>
      <c r="J1154" t="s">
        <v>145</v>
      </c>
      <c r="L1154" t="s">
        <v>138</v>
      </c>
    </row>
    <row r="1155" spans="1:12" x14ac:dyDescent="0.25">
      <c r="A1155" t="s">
        <v>11</v>
      </c>
      <c r="B1155">
        <v>268</v>
      </c>
      <c r="C1155" t="s">
        <v>27</v>
      </c>
      <c r="D1155">
        <v>2</v>
      </c>
      <c r="E1155" t="s">
        <v>134</v>
      </c>
      <c r="F1155">
        <v>0</v>
      </c>
      <c r="G1155" t="s">
        <v>372</v>
      </c>
      <c r="H1155">
        <v>1</v>
      </c>
      <c r="I1155" t="s">
        <v>135</v>
      </c>
      <c r="J1155" t="s">
        <v>145</v>
      </c>
      <c r="L1155" t="s">
        <v>138</v>
      </c>
    </row>
    <row r="1156" spans="1:12" x14ac:dyDescent="0.25">
      <c r="A1156" t="s">
        <v>11</v>
      </c>
      <c r="B1156">
        <v>269</v>
      </c>
      <c r="C1156" t="s">
        <v>27</v>
      </c>
      <c r="D1156">
        <v>3</v>
      </c>
      <c r="E1156" t="s">
        <v>134</v>
      </c>
      <c r="G1156" t="s">
        <v>372</v>
      </c>
      <c r="I1156" t="s">
        <v>135</v>
      </c>
      <c r="J1156" t="s">
        <v>145</v>
      </c>
      <c r="L1156" t="s">
        <v>138</v>
      </c>
    </row>
    <row r="1157" spans="1:12" x14ac:dyDescent="0.25">
      <c r="C1157" t="s">
        <v>21</v>
      </c>
      <c r="D1157" t="s">
        <v>24</v>
      </c>
      <c r="E1157" t="s">
        <v>27</v>
      </c>
      <c r="F1157" t="s">
        <v>373</v>
      </c>
      <c r="G1157" t="s">
        <v>374</v>
      </c>
      <c r="H1157" t="s">
        <v>375</v>
      </c>
      <c r="I1157" t="s">
        <v>376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CD4E-9531-4A00-ADE9-0B7033C911DC}">
  <dimension ref="A1:L1015"/>
  <sheetViews>
    <sheetView topLeftCell="A852" workbookViewId="0">
      <selection activeCell="J857" sqref="A857:XFD871"/>
    </sheetView>
  </sheetViews>
  <sheetFormatPr defaultRowHeight="13.2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372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213</v>
      </c>
      <c r="B2">
        <v>3</v>
      </c>
      <c r="C2" t="s">
        <v>12</v>
      </c>
      <c r="D2">
        <v>1</v>
      </c>
      <c r="E2" t="s">
        <v>195</v>
      </c>
      <c r="F2">
        <v>1</v>
      </c>
      <c r="G2" t="s">
        <v>372</v>
      </c>
      <c r="H2">
        <v>0</v>
      </c>
      <c r="I2" t="s">
        <v>225</v>
      </c>
      <c r="J2" t="s">
        <v>230</v>
      </c>
      <c r="L2" t="s">
        <v>214</v>
      </c>
    </row>
    <row r="3" spans="1:12" x14ac:dyDescent="0.25">
      <c r="A3" t="s">
        <v>213</v>
      </c>
      <c r="B3">
        <v>4</v>
      </c>
      <c r="C3" t="s">
        <v>12</v>
      </c>
      <c r="D3">
        <v>2</v>
      </c>
      <c r="E3" t="s">
        <v>195</v>
      </c>
      <c r="F3">
        <v>1</v>
      </c>
      <c r="G3" t="s">
        <v>372</v>
      </c>
      <c r="H3">
        <v>0</v>
      </c>
      <c r="I3" t="s">
        <v>225</v>
      </c>
      <c r="J3" t="s">
        <v>230</v>
      </c>
      <c r="L3" t="s">
        <v>214</v>
      </c>
    </row>
    <row r="4" spans="1:12" x14ac:dyDescent="0.25">
      <c r="A4" t="s">
        <v>213</v>
      </c>
      <c r="B4">
        <v>5</v>
      </c>
      <c r="C4" t="s">
        <v>12</v>
      </c>
      <c r="D4">
        <v>3</v>
      </c>
      <c r="E4" t="s">
        <v>195</v>
      </c>
      <c r="G4" t="s">
        <v>372</v>
      </c>
      <c r="I4" t="s">
        <v>225</v>
      </c>
      <c r="J4" t="s">
        <v>230</v>
      </c>
      <c r="L4" t="s">
        <v>214</v>
      </c>
    </row>
    <row r="5" spans="1:12" x14ac:dyDescent="0.25">
      <c r="A5" t="s">
        <v>213</v>
      </c>
      <c r="B5">
        <v>6</v>
      </c>
      <c r="C5" t="s">
        <v>18</v>
      </c>
      <c r="D5">
        <v>1</v>
      </c>
      <c r="E5" t="s">
        <v>195</v>
      </c>
      <c r="F5">
        <v>1</v>
      </c>
      <c r="G5" t="s">
        <v>372</v>
      </c>
      <c r="H5">
        <v>0</v>
      </c>
      <c r="I5" t="s">
        <v>225</v>
      </c>
      <c r="J5" t="s">
        <v>235</v>
      </c>
      <c r="L5" t="s">
        <v>214</v>
      </c>
    </row>
    <row r="6" spans="1:12" x14ac:dyDescent="0.25">
      <c r="A6" t="s">
        <v>213</v>
      </c>
      <c r="B6">
        <v>7</v>
      </c>
      <c r="C6" t="s">
        <v>18</v>
      </c>
      <c r="D6">
        <v>2</v>
      </c>
      <c r="E6" t="s">
        <v>195</v>
      </c>
      <c r="F6">
        <v>1</v>
      </c>
      <c r="G6" t="s">
        <v>372</v>
      </c>
      <c r="H6">
        <v>0</v>
      </c>
      <c r="I6" t="s">
        <v>225</v>
      </c>
      <c r="J6" t="s">
        <v>235</v>
      </c>
      <c r="L6" t="s">
        <v>214</v>
      </c>
    </row>
    <row r="7" spans="1:12" x14ac:dyDescent="0.25">
      <c r="A7" t="s">
        <v>213</v>
      </c>
      <c r="B7">
        <v>8</v>
      </c>
      <c r="C7" t="s">
        <v>18</v>
      </c>
      <c r="D7">
        <v>3</v>
      </c>
      <c r="E7" t="s">
        <v>195</v>
      </c>
      <c r="G7" t="s">
        <v>372</v>
      </c>
      <c r="I7" t="s">
        <v>225</v>
      </c>
      <c r="J7" t="s">
        <v>235</v>
      </c>
      <c r="L7" t="s">
        <v>214</v>
      </c>
    </row>
    <row r="8" spans="1:12" x14ac:dyDescent="0.25">
      <c r="A8" t="s">
        <v>213</v>
      </c>
      <c r="B8">
        <v>9</v>
      </c>
      <c r="C8" t="s">
        <v>21</v>
      </c>
      <c r="D8">
        <v>1</v>
      </c>
      <c r="E8" t="s">
        <v>195</v>
      </c>
      <c r="F8">
        <v>1</v>
      </c>
      <c r="G8" t="s">
        <v>372</v>
      </c>
      <c r="H8">
        <v>0</v>
      </c>
      <c r="I8" t="s">
        <v>225</v>
      </c>
      <c r="J8" t="s">
        <v>240</v>
      </c>
      <c r="L8" t="s">
        <v>214</v>
      </c>
    </row>
    <row r="9" spans="1:12" x14ac:dyDescent="0.25">
      <c r="A9" t="s">
        <v>213</v>
      </c>
      <c r="B9">
        <v>10</v>
      </c>
      <c r="C9" t="s">
        <v>21</v>
      </c>
      <c r="D9">
        <v>2</v>
      </c>
      <c r="E9" t="s">
        <v>195</v>
      </c>
      <c r="F9">
        <v>1</v>
      </c>
      <c r="G9" t="s">
        <v>372</v>
      </c>
      <c r="H9">
        <v>0</v>
      </c>
      <c r="I9" t="s">
        <v>225</v>
      </c>
      <c r="J9" t="s">
        <v>240</v>
      </c>
      <c r="L9" t="s">
        <v>214</v>
      </c>
    </row>
    <row r="10" spans="1:12" x14ac:dyDescent="0.25">
      <c r="A10" t="s">
        <v>213</v>
      </c>
      <c r="B10">
        <v>11</v>
      </c>
      <c r="C10" t="s">
        <v>21</v>
      </c>
      <c r="D10">
        <v>3</v>
      </c>
      <c r="E10" t="s">
        <v>195</v>
      </c>
      <c r="G10" t="s">
        <v>372</v>
      </c>
      <c r="I10" t="s">
        <v>225</v>
      </c>
      <c r="J10" t="s">
        <v>240</v>
      </c>
      <c r="L10" t="s">
        <v>214</v>
      </c>
    </row>
    <row r="11" spans="1:12" x14ac:dyDescent="0.25">
      <c r="A11" t="s">
        <v>213</v>
      </c>
      <c r="B11">
        <v>12</v>
      </c>
      <c r="C11" t="s">
        <v>24</v>
      </c>
      <c r="D11">
        <v>1</v>
      </c>
      <c r="E11" t="s">
        <v>195</v>
      </c>
      <c r="F11">
        <v>1</v>
      </c>
      <c r="G11" t="s">
        <v>372</v>
      </c>
      <c r="H11">
        <v>0</v>
      </c>
      <c r="I11" t="s">
        <v>225</v>
      </c>
      <c r="J11" t="s">
        <v>245</v>
      </c>
      <c r="L11" t="s">
        <v>214</v>
      </c>
    </row>
    <row r="12" spans="1:12" x14ac:dyDescent="0.25">
      <c r="A12" t="s">
        <v>213</v>
      </c>
      <c r="B12">
        <v>13</v>
      </c>
      <c r="C12" t="s">
        <v>24</v>
      </c>
      <c r="D12">
        <v>2</v>
      </c>
      <c r="E12" t="s">
        <v>195</v>
      </c>
      <c r="F12">
        <v>1</v>
      </c>
      <c r="G12" t="s">
        <v>372</v>
      </c>
      <c r="H12">
        <v>0</v>
      </c>
      <c r="I12" t="s">
        <v>225</v>
      </c>
      <c r="J12" t="s">
        <v>245</v>
      </c>
      <c r="L12" t="s">
        <v>214</v>
      </c>
    </row>
    <row r="13" spans="1:12" x14ac:dyDescent="0.25">
      <c r="A13" t="s">
        <v>213</v>
      </c>
      <c r="B13">
        <v>14</v>
      </c>
      <c r="C13" t="s">
        <v>24</v>
      </c>
      <c r="D13">
        <v>3</v>
      </c>
      <c r="E13" t="s">
        <v>195</v>
      </c>
      <c r="G13" t="s">
        <v>372</v>
      </c>
      <c r="I13" t="s">
        <v>225</v>
      </c>
      <c r="J13" t="s">
        <v>245</v>
      </c>
      <c r="L13" t="s">
        <v>214</v>
      </c>
    </row>
    <row r="14" spans="1:12" x14ac:dyDescent="0.25">
      <c r="A14" t="s">
        <v>213</v>
      </c>
      <c r="B14">
        <v>15</v>
      </c>
      <c r="C14" t="s">
        <v>27</v>
      </c>
      <c r="D14">
        <v>1</v>
      </c>
      <c r="E14" t="s">
        <v>195</v>
      </c>
      <c r="F14">
        <v>1</v>
      </c>
      <c r="G14" t="s">
        <v>372</v>
      </c>
      <c r="H14">
        <v>0</v>
      </c>
      <c r="I14" t="s">
        <v>225</v>
      </c>
      <c r="J14" t="s">
        <v>250</v>
      </c>
      <c r="L14" t="s">
        <v>214</v>
      </c>
    </row>
    <row r="15" spans="1:12" x14ac:dyDescent="0.25">
      <c r="A15" t="s">
        <v>213</v>
      </c>
      <c r="B15">
        <v>16</v>
      </c>
      <c r="C15" t="s">
        <v>27</v>
      </c>
      <c r="D15">
        <v>2</v>
      </c>
      <c r="E15" t="s">
        <v>195</v>
      </c>
      <c r="F15">
        <v>1</v>
      </c>
      <c r="G15" t="s">
        <v>372</v>
      </c>
      <c r="H15">
        <v>0</v>
      </c>
      <c r="I15" t="s">
        <v>225</v>
      </c>
      <c r="J15" t="s">
        <v>250</v>
      </c>
      <c r="L15" t="s">
        <v>214</v>
      </c>
    </row>
    <row r="16" spans="1:12" x14ac:dyDescent="0.25">
      <c r="A16" t="s">
        <v>213</v>
      </c>
      <c r="B16">
        <v>17</v>
      </c>
      <c r="C16" t="s">
        <v>27</v>
      </c>
      <c r="D16">
        <v>3</v>
      </c>
      <c r="E16" t="s">
        <v>195</v>
      </c>
      <c r="G16" t="s">
        <v>372</v>
      </c>
      <c r="I16" t="s">
        <v>225</v>
      </c>
      <c r="J16" t="s">
        <v>250</v>
      </c>
      <c r="L16" t="s">
        <v>214</v>
      </c>
    </row>
    <row r="17" spans="1:12" x14ac:dyDescent="0.25">
      <c r="A17" t="s">
        <v>213</v>
      </c>
      <c r="B17">
        <v>21</v>
      </c>
      <c r="C17" t="s">
        <v>12</v>
      </c>
      <c r="D17">
        <v>1</v>
      </c>
      <c r="E17" t="s">
        <v>156</v>
      </c>
      <c r="F17">
        <v>1</v>
      </c>
      <c r="G17" t="s">
        <v>372</v>
      </c>
      <c r="H17">
        <v>0</v>
      </c>
      <c r="I17" t="s">
        <v>225</v>
      </c>
      <c r="J17" t="s">
        <v>255</v>
      </c>
      <c r="L17" t="s">
        <v>214</v>
      </c>
    </row>
    <row r="18" spans="1:12" x14ac:dyDescent="0.25">
      <c r="A18" t="s">
        <v>213</v>
      </c>
      <c r="B18">
        <v>22</v>
      </c>
      <c r="C18" t="s">
        <v>12</v>
      </c>
      <c r="D18">
        <v>2</v>
      </c>
      <c r="E18" t="s">
        <v>156</v>
      </c>
      <c r="F18">
        <v>1</v>
      </c>
      <c r="G18" t="s">
        <v>372</v>
      </c>
      <c r="H18">
        <v>0</v>
      </c>
      <c r="I18" t="s">
        <v>225</v>
      </c>
      <c r="J18" t="s">
        <v>255</v>
      </c>
      <c r="L18" t="s">
        <v>214</v>
      </c>
    </row>
    <row r="19" spans="1:12" x14ac:dyDescent="0.25">
      <c r="A19" t="s">
        <v>213</v>
      </c>
      <c r="B19">
        <v>23</v>
      </c>
      <c r="C19" t="s">
        <v>12</v>
      </c>
      <c r="D19">
        <v>3</v>
      </c>
      <c r="E19" t="s">
        <v>156</v>
      </c>
      <c r="G19" t="s">
        <v>372</v>
      </c>
      <c r="I19" t="s">
        <v>225</v>
      </c>
      <c r="J19" t="s">
        <v>255</v>
      </c>
      <c r="L19" t="s">
        <v>214</v>
      </c>
    </row>
    <row r="20" spans="1:12" x14ac:dyDescent="0.25">
      <c r="A20" t="s">
        <v>213</v>
      </c>
      <c r="B20">
        <v>24</v>
      </c>
      <c r="C20" t="s">
        <v>18</v>
      </c>
      <c r="D20">
        <v>1</v>
      </c>
      <c r="E20" t="s">
        <v>156</v>
      </c>
      <c r="F20">
        <v>1</v>
      </c>
      <c r="G20" t="s">
        <v>372</v>
      </c>
      <c r="H20">
        <v>0</v>
      </c>
      <c r="I20" t="s">
        <v>225</v>
      </c>
      <c r="J20" t="s">
        <v>258</v>
      </c>
      <c r="L20" t="s">
        <v>214</v>
      </c>
    </row>
    <row r="21" spans="1:12" x14ac:dyDescent="0.25">
      <c r="A21" t="s">
        <v>213</v>
      </c>
      <c r="B21">
        <v>25</v>
      </c>
      <c r="C21" t="s">
        <v>18</v>
      </c>
      <c r="D21">
        <v>2</v>
      </c>
      <c r="E21" t="s">
        <v>156</v>
      </c>
      <c r="F21">
        <v>1</v>
      </c>
      <c r="G21" t="s">
        <v>372</v>
      </c>
      <c r="H21">
        <v>0</v>
      </c>
      <c r="I21" t="s">
        <v>225</v>
      </c>
      <c r="J21" t="s">
        <v>258</v>
      </c>
      <c r="L21" t="s">
        <v>214</v>
      </c>
    </row>
    <row r="22" spans="1:12" x14ac:dyDescent="0.25">
      <c r="A22" t="s">
        <v>213</v>
      </c>
      <c r="B22">
        <v>26</v>
      </c>
      <c r="C22" t="s">
        <v>18</v>
      </c>
      <c r="D22">
        <v>3</v>
      </c>
      <c r="E22" t="s">
        <v>156</v>
      </c>
      <c r="G22" t="s">
        <v>372</v>
      </c>
      <c r="I22" t="s">
        <v>225</v>
      </c>
      <c r="J22" t="s">
        <v>258</v>
      </c>
      <c r="L22" t="s">
        <v>214</v>
      </c>
    </row>
    <row r="23" spans="1:12" x14ac:dyDescent="0.25">
      <c r="A23" t="s">
        <v>213</v>
      </c>
      <c r="B23">
        <v>27</v>
      </c>
      <c r="C23" t="s">
        <v>21</v>
      </c>
      <c r="D23">
        <v>1</v>
      </c>
      <c r="E23" t="s">
        <v>156</v>
      </c>
      <c r="F23">
        <v>1</v>
      </c>
      <c r="G23" t="s">
        <v>372</v>
      </c>
      <c r="H23">
        <v>0</v>
      </c>
      <c r="I23" t="s">
        <v>225</v>
      </c>
      <c r="J23" t="s">
        <v>261</v>
      </c>
      <c r="L23" t="s">
        <v>214</v>
      </c>
    </row>
    <row r="24" spans="1:12" x14ac:dyDescent="0.25">
      <c r="A24" t="s">
        <v>213</v>
      </c>
      <c r="B24">
        <v>28</v>
      </c>
      <c r="C24" t="s">
        <v>21</v>
      </c>
      <c r="D24">
        <v>2</v>
      </c>
      <c r="E24" t="s">
        <v>156</v>
      </c>
      <c r="F24">
        <v>1</v>
      </c>
      <c r="G24" t="s">
        <v>372</v>
      </c>
      <c r="H24">
        <v>0</v>
      </c>
      <c r="I24" t="s">
        <v>225</v>
      </c>
      <c r="J24" t="s">
        <v>261</v>
      </c>
      <c r="L24" t="s">
        <v>214</v>
      </c>
    </row>
    <row r="25" spans="1:12" x14ac:dyDescent="0.25">
      <c r="A25" t="s">
        <v>213</v>
      </c>
      <c r="B25">
        <v>29</v>
      </c>
      <c r="C25" t="s">
        <v>21</v>
      </c>
      <c r="D25">
        <v>3</v>
      </c>
      <c r="E25" t="s">
        <v>156</v>
      </c>
      <c r="G25" t="s">
        <v>372</v>
      </c>
      <c r="I25" t="s">
        <v>225</v>
      </c>
      <c r="J25" t="s">
        <v>261</v>
      </c>
      <c r="L25" t="s">
        <v>214</v>
      </c>
    </row>
    <row r="26" spans="1:12" x14ac:dyDescent="0.25">
      <c r="A26" t="s">
        <v>213</v>
      </c>
      <c r="B26">
        <v>30</v>
      </c>
      <c r="C26" t="s">
        <v>24</v>
      </c>
      <c r="D26">
        <v>1</v>
      </c>
      <c r="E26" t="s">
        <v>156</v>
      </c>
      <c r="F26">
        <v>1</v>
      </c>
      <c r="G26" t="s">
        <v>372</v>
      </c>
      <c r="H26">
        <v>0</v>
      </c>
      <c r="I26" t="s">
        <v>225</v>
      </c>
      <c r="J26" t="s">
        <v>264</v>
      </c>
      <c r="L26" t="s">
        <v>214</v>
      </c>
    </row>
    <row r="27" spans="1:12" x14ac:dyDescent="0.25">
      <c r="A27" t="s">
        <v>213</v>
      </c>
      <c r="B27">
        <v>31</v>
      </c>
      <c r="C27" t="s">
        <v>24</v>
      </c>
      <c r="D27">
        <v>2</v>
      </c>
      <c r="E27" t="s">
        <v>156</v>
      </c>
      <c r="F27">
        <v>1</v>
      </c>
      <c r="G27" t="s">
        <v>372</v>
      </c>
      <c r="H27">
        <v>0</v>
      </c>
      <c r="I27" t="s">
        <v>225</v>
      </c>
      <c r="J27" t="s">
        <v>264</v>
      </c>
      <c r="L27" t="s">
        <v>214</v>
      </c>
    </row>
    <row r="28" spans="1:12" x14ac:dyDescent="0.25">
      <c r="A28" t="s">
        <v>213</v>
      </c>
      <c r="B28">
        <v>32</v>
      </c>
      <c r="C28" t="s">
        <v>24</v>
      </c>
      <c r="D28">
        <v>3</v>
      </c>
      <c r="E28" t="s">
        <v>156</v>
      </c>
      <c r="G28" t="s">
        <v>372</v>
      </c>
      <c r="I28" t="s">
        <v>225</v>
      </c>
      <c r="J28" t="s">
        <v>264</v>
      </c>
      <c r="L28" t="s">
        <v>214</v>
      </c>
    </row>
    <row r="29" spans="1:12" x14ac:dyDescent="0.25">
      <c r="A29" t="s">
        <v>213</v>
      </c>
      <c r="B29">
        <v>33</v>
      </c>
      <c r="C29" t="s">
        <v>27</v>
      </c>
      <c r="D29">
        <v>1</v>
      </c>
      <c r="E29" t="s">
        <v>156</v>
      </c>
      <c r="F29">
        <v>1</v>
      </c>
      <c r="G29" t="s">
        <v>372</v>
      </c>
      <c r="H29">
        <v>0</v>
      </c>
      <c r="I29" t="s">
        <v>225</v>
      </c>
      <c r="J29" t="s">
        <v>267</v>
      </c>
      <c r="L29" t="s">
        <v>214</v>
      </c>
    </row>
    <row r="30" spans="1:12" x14ac:dyDescent="0.25">
      <c r="A30" t="s">
        <v>213</v>
      </c>
      <c r="B30">
        <v>34</v>
      </c>
      <c r="C30" t="s">
        <v>27</v>
      </c>
      <c r="D30">
        <v>2</v>
      </c>
      <c r="E30" t="s">
        <v>156</v>
      </c>
      <c r="F30">
        <v>1</v>
      </c>
      <c r="G30" t="s">
        <v>372</v>
      </c>
      <c r="H30">
        <v>0</v>
      </c>
      <c r="I30" t="s">
        <v>225</v>
      </c>
      <c r="J30" t="s">
        <v>267</v>
      </c>
      <c r="L30" t="s">
        <v>214</v>
      </c>
    </row>
    <row r="31" spans="1:12" x14ac:dyDescent="0.25">
      <c r="A31" t="s">
        <v>213</v>
      </c>
      <c r="B31">
        <v>35</v>
      </c>
      <c r="C31" t="s">
        <v>27</v>
      </c>
      <c r="D31">
        <v>3</v>
      </c>
      <c r="E31" t="s">
        <v>156</v>
      </c>
      <c r="G31" t="s">
        <v>372</v>
      </c>
      <c r="I31" t="s">
        <v>225</v>
      </c>
      <c r="J31" t="s">
        <v>267</v>
      </c>
      <c r="L31" t="s">
        <v>214</v>
      </c>
    </row>
    <row r="32" spans="1:12" x14ac:dyDescent="0.25">
      <c r="A32" t="s">
        <v>213</v>
      </c>
      <c r="B32">
        <v>39</v>
      </c>
      <c r="C32" t="s">
        <v>12</v>
      </c>
      <c r="D32">
        <v>1</v>
      </c>
      <c r="E32" t="s">
        <v>194</v>
      </c>
      <c r="F32">
        <v>1</v>
      </c>
      <c r="G32" t="s">
        <v>372</v>
      </c>
      <c r="H32">
        <v>0</v>
      </c>
      <c r="I32" t="s">
        <v>225</v>
      </c>
      <c r="J32" t="s">
        <v>270</v>
      </c>
      <c r="L32" t="s">
        <v>214</v>
      </c>
    </row>
    <row r="33" spans="1:12" x14ac:dyDescent="0.25">
      <c r="A33" t="s">
        <v>213</v>
      </c>
      <c r="B33">
        <v>40</v>
      </c>
      <c r="C33" t="s">
        <v>12</v>
      </c>
      <c r="D33">
        <v>2</v>
      </c>
      <c r="E33" t="s">
        <v>194</v>
      </c>
      <c r="F33">
        <v>1</v>
      </c>
      <c r="G33" t="s">
        <v>372</v>
      </c>
      <c r="H33">
        <v>0</v>
      </c>
      <c r="I33" t="s">
        <v>225</v>
      </c>
      <c r="J33" t="s">
        <v>270</v>
      </c>
      <c r="L33" t="s">
        <v>214</v>
      </c>
    </row>
    <row r="34" spans="1:12" x14ac:dyDescent="0.25">
      <c r="A34" t="s">
        <v>213</v>
      </c>
      <c r="B34">
        <v>41</v>
      </c>
      <c r="C34" t="s">
        <v>12</v>
      </c>
      <c r="D34">
        <v>3</v>
      </c>
      <c r="E34" t="s">
        <v>194</v>
      </c>
      <c r="G34" t="s">
        <v>372</v>
      </c>
      <c r="I34" t="s">
        <v>225</v>
      </c>
      <c r="J34" t="s">
        <v>270</v>
      </c>
      <c r="L34" t="s">
        <v>214</v>
      </c>
    </row>
    <row r="35" spans="1:12" x14ac:dyDescent="0.25">
      <c r="A35" t="s">
        <v>213</v>
      </c>
      <c r="B35">
        <v>42</v>
      </c>
      <c r="C35" t="s">
        <v>18</v>
      </c>
      <c r="D35">
        <v>1</v>
      </c>
      <c r="E35" t="s">
        <v>194</v>
      </c>
      <c r="F35">
        <v>1</v>
      </c>
      <c r="G35" t="s">
        <v>372</v>
      </c>
      <c r="H35">
        <v>0</v>
      </c>
      <c r="I35" t="s">
        <v>225</v>
      </c>
      <c r="J35" t="s">
        <v>273</v>
      </c>
      <c r="L35" t="s">
        <v>214</v>
      </c>
    </row>
    <row r="36" spans="1:12" x14ac:dyDescent="0.25">
      <c r="A36" t="s">
        <v>213</v>
      </c>
      <c r="B36">
        <v>43</v>
      </c>
      <c r="C36" t="s">
        <v>18</v>
      </c>
      <c r="D36">
        <v>2</v>
      </c>
      <c r="E36" t="s">
        <v>194</v>
      </c>
      <c r="F36">
        <v>1</v>
      </c>
      <c r="G36" t="s">
        <v>372</v>
      </c>
      <c r="H36">
        <v>0</v>
      </c>
      <c r="I36" t="s">
        <v>225</v>
      </c>
      <c r="J36" t="s">
        <v>273</v>
      </c>
      <c r="L36" t="s">
        <v>214</v>
      </c>
    </row>
    <row r="37" spans="1:12" x14ac:dyDescent="0.25">
      <c r="A37" t="s">
        <v>213</v>
      </c>
      <c r="B37">
        <v>44</v>
      </c>
      <c r="C37" t="s">
        <v>18</v>
      </c>
      <c r="D37">
        <v>3</v>
      </c>
      <c r="E37" t="s">
        <v>194</v>
      </c>
      <c r="G37" t="s">
        <v>372</v>
      </c>
      <c r="I37" t="s">
        <v>225</v>
      </c>
      <c r="J37" t="s">
        <v>273</v>
      </c>
      <c r="L37" t="s">
        <v>214</v>
      </c>
    </row>
    <row r="38" spans="1:12" x14ac:dyDescent="0.25">
      <c r="A38" t="s">
        <v>213</v>
      </c>
      <c r="B38">
        <v>45</v>
      </c>
      <c r="C38" t="s">
        <v>21</v>
      </c>
      <c r="D38">
        <v>1</v>
      </c>
      <c r="E38" t="s">
        <v>194</v>
      </c>
      <c r="F38">
        <v>1</v>
      </c>
      <c r="G38" t="s">
        <v>372</v>
      </c>
      <c r="H38">
        <v>0</v>
      </c>
      <c r="I38" t="s">
        <v>225</v>
      </c>
      <c r="J38" t="s">
        <v>276</v>
      </c>
      <c r="L38" t="s">
        <v>214</v>
      </c>
    </row>
    <row r="39" spans="1:12" x14ac:dyDescent="0.25">
      <c r="A39" t="s">
        <v>213</v>
      </c>
      <c r="B39">
        <v>46</v>
      </c>
      <c r="C39" t="s">
        <v>21</v>
      </c>
      <c r="D39">
        <v>2</v>
      </c>
      <c r="E39" t="s">
        <v>194</v>
      </c>
      <c r="F39">
        <v>1</v>
      </c>
      <c r="G39" t="s">
        <v>372</v>
      </c>
      <c r="H39">
        <v>0</v>
      </c>
      <c r="I39" t="s">
        <v>225</v>
      </c>
      <c r="J39" t="s">
        <v>276</v>
      </c>
      <c r="L39" t="s">
        <v>214</v>
      </c>
    </row>
    <row r="40" spans="1:12" x14ac:dyDescent="0.25">
      <c r="A40" t="s">
        <v>213</v>
      </c>
      <c r="B40">
        <v>47</v>
      </c>
      <c r="C40" t="s">
        <v>21</v>
      </c>
      <c r="D40">
        <v>3</v>
      </c>
      <c r="E40" t="s">
        <v>194</v>
      </c>
      <c r="G40" t="s">
        <v>372</v>
      </c>
      <c r="I40" t="s">
        <v>225</v>
      </c>
      <c r="J40" t="s">
        <v>276</v>
      </c>
      <c r="L40" t="s">
        <v>214</v>
      </c>
    </row>
    <row r="41" spans="1:12" x14ac:dyDescent="0.25">
      <c r="A41" t="s">
        <v>213</v>
      </c>
      <c r="B41">
        <v>48</v>
      </c>
      <c r="C41" t="s">
        <v>24</v>
      </c>
      <c r="D41">
        <v>1</v>
      </c>
      <c r="E41" t="s">
        <v>194</v>
      </c>
      <c r="F41">
        <v>1</v>
      </c>
      <c r="G41" t="s">
        <v>372</v>
      </c>
      <c r="H41">
        <v>0</v>
      </c>
      <c r="I41" t="s">
        <v>225</v>
      </c>
      <c r="J41" t="s">
        <v>279</v>
      </c>
      <c r="L41" t="s">
        <v>214</v>
      </c>
    </row>
    <row r="42" spans="1:12" x14ac:dyDescent="0.25">
      <c r="A42" t="s">
        <v>213</v>
      </c>
      <c r="B42">
        <v>49</v>
      </c>
      <c r="C42" t="s">
        <v>24</v>
      </c>
      <c r="D42">
        <v>2</v>
      </c>
      <c r="E42" t="s">
        <v>194</v>
      </c>
      <c r="F42">
        <v>1</v>
      </c>
      <c r="G42" t="s">
        <v>372</v>
      </c>
      <c r="H42">
        <v>0</v>
      </c>
      <c r="I42" t="s">
        <v>225</v>
      </c>
      <c r="J42" t="s">
        <v>279</v>
      </c>
      <c r="L42" t="s">
        <v>214</v>
      </c>
    </row>
    <row r="43" spans="1:12" x14ac:dyDescent="0.25">
      <c r="A43" t="s">
        <v>213</v>
      </c>
      <c r="B43">
        <v>50</v>
      </c>
      <c r="C43" t="s">
        <v>24</v>
      </c>
      <c r="D43">
        <v>3</v>
      </c>
      <c r="E43" t="s">
        <v>194</v>
      </c>
      <c r="G43" t="s">
        <v>372</v>
      </c>
      <c r="I43" t="s">
        <v>225</v>
      </c>
      <c r="J43" t="s">
        <v>279</v>
      </c>
      <c r="L43" t="s">
        <v>214</v>
      </c>
    </row>
    <row r="44" spans="1:12" x14ac:dyDescent="0.25">
      <c r="A44" t="s">
        <v>213</v>
      </c>
      <c r="B44">
        <v>51</v>
      </c>
      <c r="C44" t="s">
        <v>27</v>
      </c>
      <c r="D44">
        <v>1</v>
      </c>
      <c r="E44" t="s">
        <v>194</v>
      </c>
      <c r="F44">
        <v>1</v>
      </c>
      <c r="G44" t="s">
        <v>372</v>
      </c>
      <c r="H44">
        <v>0</v>
      </c>
      <c r="I44" t="s">
        <v>225</v>
      </c>
      <c r="J44" t="s">
        <v>282</v>
      </c>
      <c r="L44" t="s">
        <v>214</v>
      </c>
    </row>
    <row r="45" spans="1:12" x14ac:dyDescent="0.25">
      <c r="A45" t="s">
        <v>213</v>
      </c>
      <c r="B45">
        <v>52</v>
      </c>
      <c r="C45" t="s">
        <v>27</v>
      </c>
      <c r="D45">
        <v>2</v>
      </c>
      <c r="E45" t="s">
        <v>194</v>
      </c>
      <c r="F45">
        <v>1</v>
      </c>
      <c r="G45" t="s">
        <v>372</v>
      </c>
      <c r="H45">
        <v>0</v>
      </c>
      <c r="I45" t="s">
        <v>225</v>
      </c>
      <c r="J45" t="s">
        <v>282</v>
      </c>
      <c r="L45" t="s">
        <v>214</v>
      </c>
    </row>
    <row r="46" spans="1:12" x14ac:dyDescent="0.25">
      <c r="A46" t="s">
        <v>213</v>
      </c>
      <c r="B46">
        <v>53</v>
      </c>
      <c r="C46" t="s">
        <v>27</v>
      </c>
      <c r="D46">
        <v>3</v>
      </c>
      <c r="E46" t="s">
        <v>194</v>
      </c>
      <c r="G46" t="s">
        <v>372</v>
      </c>
      <c r="I46" t="s">
        <v>225</v>
      </c>
      <c r="J46" t="s">
        <v>282</v>
      </c>
      <c r="L46" t="s">
        <v>214</v>
      </c>
    </row>
    <row r="47" spans="1:12" x14ac:dyDescent="0.25">
      <c r="A47" t="s">
        <v>213</v>
      </c>
      <c r="B47">
        <v>57</v>
      </c>
      <c r="C47" t="s">
        <v>12</v>
      </c>
      <c r="D47">
        <v>1</v>
      </c>
      <c r="E47" t="s">
        <v>147</v>
      </c>
      <c r="F47">
        <v>1</v>
      </c>
      <c r="G47" t="s">
        <v>372</v>
      </c>
      <c r="H47">
        <v>0</v>
      </c>
      <c r="I47" t="s">
        <v>225</v>
      </c>
      <c r="J47" t="s">
        <v>272</v>
      </c>
      <c r="L47" t="s">
        <v>214</v>
      </c>
    </row>
    <row r="48" spans="1:12" x14ac:dyDescent="0.25">
      <c r="A48" t="s">
        <v>213</v>
      </c>
      <c r="B48">
        <v>58</v>
      </c>
      <c r="C48" t="s">
        <v>12</v>
      </c>
      <c r="D48">
        <v>2</v>
      </c>
      <c r="E48" t="s">
        <v>147</v>
      </c>
      <c r="F48">
        <v>1</v>
      </c>
      <c r="G48" t="s">
        <v>372</v>
      </c>
      <c r="H48">
        <v>0</v>
      </c>
      <c r="I48" t="s">
        <v>225</v>
      </c>
      <c r="J48" t="s">
        <v>272</v>
      </c>
      <c r="L48" t="s">
        <v>214</v>
      </c>
    </row>
    <row r="49" spans="1:12" x14ac:dyDescent="0.25">
      <c r="A49" t="s">
        <v>213</v>
      </c>
      <c r="B49">
        <v>59</v>
      </c>
      <c r="C49" t="s">
        <v>12</v>
      </c>
      <c r="D49">
        <v>3</v>
      </c>
      <c r="E49" t="s">
        <v>147</v>
      </c>
      <c r="G49" t="s">
        <v>372</v>
      </c>
      <c r="I49" t="s">
        <v>225</v>
      </c>
      <c r="J49" t="s">
        <v>272</v>
      </c>
      <c r="L49" t="s">
        <v>214</v>
      </c>
    </row>
    <row r="50" spans="1:12" x14ac:dyDescent="0.25">
      <c r="A50" t="s">
        <v>213</v>
      </c>
      <c r="B50">
        <v>60</v>
      </c>
      <c r="C50" t="s">
        <v>18</v>
      </c>
      <c r="D50">
        <v>1</v>
      </c>
      <c r="E50" t="s">
        <v>147</v>
      </c>
      <c r="F50">
        <v>1</v>
      </c>
      <c r="G50" t="s">
        <v>372</v>
      </c>
      <c r="H50">
        <v>0</v>
      </c>
      <c r="I50" t="s">
        <v>225</v>
      </c>
      <c r="J50" t="s">
        <v>275</v>
      </c>
      <c r="L50" t="s">
        <v>214</v>
      </c>
    </row>
    <row r="51" spans="1:12" x14ac:dyDescent="0.25">
      <c r="A51" t="s">
        <v>213</v>
      </c>
      <c r="B51">
        <v>61</v>
      </c>
      <c r="C51" t="s">
        <v>18</v>
      </c>
      <c r="D51">
        <v>2</v>
      </c>
      <c r="E51" t="s">
        <v>147</v>
      </c>
      <c r="F51">
        <v>1</v>
      </c>
      <c r="G51" t="s">
        <v>372</v>
      </c>
      <c r="H51">
        <v>0</v>
      </c>
      <c r="I51" t="s">
        <v>225</v>
      </c>
      <c r="J51" t="s">
        <v>275</v>
      </c>
      <c r="L51" t="s">
        <v>214</v>
      </c>
    </row>
    <row r="52" spans="1:12" x14ac:dyDescent="0.25">
      <c r="A52" t="s">
        <v>213</v>
      </c>
      <c r="B52">
        <v>62</v>
      </c>
      <c r="C52" t="s">
        <v>18</v>
      </c>
      <c r="D52">
        <v>3</v>
      </c>
      <c r="E52" t="s">
        <v>147</v>
      </c>
      <c r="G52" t="s">
        <v>372</v>
      </c>
      <c r="I52" t="s">
        <v>225</v>
      </c>
      <c r="J52" t="s">
        <v>275</v>
      </c>
      <c r="L52" t="s">
        <v>214</v>
      </c>
    </row>
    <row r="53" spans="1:12" x14ac:dyDescent="0.25">
      <c r="A53" t="s">
        <v>213</v>
      </c>
      <c r="B53">
        <v>63</v>
      </c>
      <c r="C53" t="s">
        <v>21</v>
      </c>
      <c r="D53">
        <v>1</v>
      </c>
      <c r="E53" t="s">
        <v>147</v>
      </c>
      <c r="F53">
        <v>1</v>
      </c>
      <c r="G53" t="s">
        <v>372</v>
      </c>
      <c r="H53">
        <v>0</v>
      </c>
      <c r="I53" t="s">
        <v>225</v>
      </c>
      <c r="J53" t="s">
        <v>278</v>
      </c>
      <c r="L53" t="s">
        <v>214</v>
      </c>
    </row>
    <row r="54" spans="1:12" x14ac:dyDescent="0.25">
      <c r="A54" t="s">
        <v>213</v>
      </c>
      <c r="B54">
        <v>64</v>
      </c>
      <c r="C54" t="s">
        <v>21</v>
      </c>
      <c r="D54">
        <v>2</v>
      </c>
      <c r="E54" t="s">
        <v>147</v>
      </c>
      <c r="F54">
        <v>1</v>
      </c>
      <c r="G54" t="s">
        <v>372</v>
      </c>
      <c r="H54">
        <v>0</v>
      </c>
      <c r="I54" t="s">
        <v>225</v>
      </c>
      <c r="J54" t="s">
        <v>278</v>
      </c>
      <c r="L54" t="s">
        <v>214</v>
      </c>
    </row>
    <row r="55" spans="1:12" x14ac:dyDescent="0.25">
      <c r="A55" t="s">
        <v>213</v>
      </c>
      <c r="B55">
        <v>65</v>
      </c>
      <c r="C55" t="s">
        <v>21</v>
      </c>
      <c r="D55">
        <v>3</v>
      </c>
      <c r="E55" t="s">
        <v>147</v>
      </c>
      <c r="G55" t="s">
        <v>372</v>
      </c>
      <c r="I55" t="s">
        <v>225</v>
      </c>
      <c r="J55" t="s">
        <v>278</v>
      </c>
      <c r="L55" t="s">
        <v>214</v>
      </c>
    </row>
    <row r="56" spans="1:12" x14ac:dyDescent="0.25">
      <c r="A56" t="s">
        <v>213</v>
      </c>
      <c r="B56">
        <v>66</v>
      </c>
      <c r="C56" t="s">
        <v>24</v>
      </c>
      <c r="D56">
        <v>1</v>
      </c>
      <c r="E56" t="s">
        <v>147</v>
      </c>
      <c r="F56">
        <v>1</v>
      </c>
      <c r="G56" t="s">
        <v>372</v>
      </c>
      <c r="H56">
        <v>0</v>
      </c>
      <c r="I56" t="s">
        <v>225</v>
      </c>
      <c r="J56" t="s">
        <v>281</v>
      </c>
      <c r="L56" t="s">
        <v>214</v>
      </c>
    </row>
    <row r="57" spans="1:12" x14ac:dyDescent="0.25">
      <c r="A57" t="s">
        <v>213</v>
      </c>
      <c r="B57">
        <v>67</v>
      </c>
      <c r="C57" t="s">
        <v>24</v>
      </c>
      <c r="D57">
        <v>2</v>
      </c>
      <c r="E57" t="s">
        <v>147</v>
      </c>
      <c r="F57">
        <v>1</v>
      </c>
      <c r="G57" t="s">
        <v>372</v>
      </c>
      <c r="H57">
        <v>0</v>
      </c>
      <c r="I57" t="s">
        <v>225</v>
      </c>
      <c r="J57" t="s">
        <v>281</v>
      </c>
      <c r="L57" t="s">
        <v>214</v>
      </c>
    </row>
    <row r="58" spans="1:12" x14ac:dyDescent="0.25">
      <c r="A58" t="s">
        <v>213</v>
      </c>
      <c r="B58">
        <v>68</v>
      </c>
      <c r="C58" t="s">
        <v>24</v>
      </c>
      <c r="D58">
        <v>3</v>
      </c>
      <c r="E58" t="s">
        <v>147</v>
      </c>
      <c r="G58" t="s">
        <v>372</v>
      </c>
      <c r="I58" t="s">
        <v>225</v>
      </c>
      <c r="J58" t="s">
        <v>281</v>
      </c>
      <c r="L58" t="s">
        <v>214</v>
      </c>
    </row>
    <row r="59" spans="1:12" x14ac:dyDescent="0.25">
      <c r="A59" t="s">
        <v>213</v>
      </c>
      <c r="B59">
        <v>69</v>
      </c>
      <c r="C59" t="s">
        <v>27</v>
      </c>
      <c r="D59">
        <v>1</v>
      </c>
      <c r="E59" t="s">
        <v>147</v>
      </c>
      <c r="F59">
        <v>1</v>
      </c>
      <c r="G59" t="s">
        <v>372</v>
      </c>
      <c r="H59">
        <v>0</v>
      </c>
      <c r="I59" t="s">
        <v>225</v>
      </c>
      <c r="J59" t="s">
        <v>284</v>
      </c>
      <c r="L59" t="s">
        <v>214</v>
      </c>
    </row>
    <row r="60" spans="1:12" x14ac:dyDescent="0.25">
      <c r="A60" t="s">
        <v>213</v>
      </c>
      <c r="B60">
        <v>70</v>
      </c>
      <c r="C60" t="s">
        <v>27</v>
      </c>
      <c r="D60">
        <v>2</v>
      </c>
      <c r="E60" t="s">
        <v>147</v>
      </c>
      <c r="F60">
        <v>1</v>
      </c>
      <c r="G60" t="s">
        <v>372</v>
      </c>
      <c r="H60">
        <v>0</v>
      </c>
      <c r="I60" t="s">
        <v>225</v>
      </c>
      <c r="J60" t="s">
        <v>284</v>
      </c>
      <c r="L60" t="s">
        <v>214</v>
      </c>
    </row>
    <row r="61" spans="1:12" x14ac:dyDescent="0.25">
      <c r="A61" t="s">
        <v>213</v>
      </c>
      <c r="B61">
        <v>71</v>
      </c>
      <c r="C61" t="s">
        <v>27</v>
      </c>
      <c r="D61">
        <v>3</v>
      </c>
      <c r="E61" t="s">
        <v>147</v>
      </c>
      <c r="G61" t="s">
        <v>372</v>
      </c>
      <c r="I61" t="s">
        <v>225</v>
      </c>
      <c r="J61" t="s">
        <v>284</v>
      </c>
      <c r="L61" t="s">
        <v>214</v>
      </c>
    </row>
    <row r="62" spans="1:12" x14ac:dyDescent="0.25">
      <c r="A62" t="s">
        <v>213</v>
      </c>
      <c r="B62">
        <v>75</v>
      </c>
      <c r="C62" t="s">
        <v>12</v>
      </c>
      <c r="D62">
        <v>1</v>
      </c>
      <c r="E62" t="s">
        <v>168</v>
      </c>
      <c r="F62">
        <v>1</v>
      </c>
      <c r="G62" t="s">
        <v>372</v>
      </c>
      <c r="H62">
        <v>0</v>
      </c>
      <c r="I62" t="s">
        <v>225</v>
      </c>
      <c r="J62" t="s">
        <v>232</v>
      </c>
      <c r="L62" t="s">
        <v>214</v>
      </c>
    </row>
    <row r="63" spans="1:12" x14ac:dyDescent="0.25">
      <c r="A63" t="s">
        <v>213</v>
      </c>
      <c r="B63">
        <v>76</v>
      </c>
      <c r="C63" t="s">
        <v>12</v>
      </c>
      <c r="D63">
        <v>2</v>
      </c>
      <c r="E63" t="s">
        <v>168</v>
      </c>
      <c r="F63">
        <v>1</v>
      </c>
      <c r="G63" t="s">
        <v>372</v>
      </c>
      <c r="H63">
        <v>0</v>
      </c>
      <c r="I63" t="s">
        <v>225</v>
      </c>
      <c r="J63" t="s">
        <v>232</v>
      </c>
      <c r="L63" t="s">
        <v>214</v>
      </c>
    </row>
    <row r="64" spans="1:12" x14ac:dyDescent="0.25">
      <c r="A64" t="s">
        <v>213</v>
      </c>
      <c r="B64">
        <v>77</v>
      </c>
      <c r="C64" t="s">
        <v>12</v>
      </c>
      <c r="D64">
        <v>3</v>
      </c>
      <c r="E64" t="s">
        <v>168</v>
      </c>
      <c r="G64" t="s">
        <v>372</v>
      </c>
      <c r="I64" t="s">
        <v>225</v>
      </c>
      <c r="J64" t="s">
        <v>232</v>
      </c>
      <c r="L64" t="s">
        <v>214</v>
      </c>
    </row>
    <row r="65" spans="1:12" x14ac:dyDescent="0.25">
      <c r="A65" t="s">
        <v>213</v>
      </c>
      <c r="B65">
        <v>78</v>
      </c>
      <c r="C65" t="s">
        <v>18</v>
      </c>
      <c r="D65">
        <v>1</v>
      </c>
      <c r="E65" t="s">
        <v>168</v>
      </c>
      <c r="F65">
        <v>1</v>
      </c>
      <c r="G65" t="s">
        <v>372</v>
      </c>
      <c r="H65">
        <v>0</v>
      </c>
      <c r="I65" t="s">
        <v>225</v>
      </c>
      <c r="J65" t="s">
        <v>237</v>
      </c>
      <c r="L65" t="s">
        <v>214</v>
      </c>
    </row>
    <row r="66" spans="1:12" x14ac:dyDescent="0.25">
      <c r="A66" t="s">
        <v>213</v>
      </c>
      <c r="B66">
        <v>79</v>
      </c>
      <c r="C66" t="s">
        <v>18</v>
      </c>
      <c r="D66">
        <v>2</v>
      </c>
      <c r="E66" t="s">
        <v>168</v>
      </c>
      <c r="F66">
        <v>1</v>
      </c>
      <c r="G66" t="s">
        <v>372</v>
      </c>
      <c r="H66">
        <v>0</v>
      </c>
      <c r="I66" t="s">
        <v>225</v>
      </c>
      <c r="J66" t="s">
        <v>237</v>
      </c>
      <c r="L66" t="s">
        <v>214</v>
      </c>
    </row>
    <row r="67" spans="1:12" x14ac:dyDescent="0.25">
      <c r="A67" t="s">
        <v>213</v>
      </c>
      <c r="B67">
        <v>80</v>
      </c>
      <c r="C67" t="s">
        <v>18</v>
      </c>
      <c r="D67">
        <v>3</v>
      </c>
      <c r="E67" t="s">
        <v>168</v>
      </c>
      <c r="G67" t="s">
        <v>372</v>
      </c>
      <c r="I67" t="s">
        <v>225</v>
      </c>
      <c r="J67" t="s">
        <v>237</v>
      </c>
      <c r="L67" t="s">
        <v>214</v>
      </c>
    </row>
    <row r="68" spans="1:12" x14ac:dyDescent="0.25">
      <c r="A68" t="s">
        <v>213</v>
      </c>
      <c r="B68">
        <v>81</v>
      </c>
      <c r="C68" t="s">
        <v>21</v>
      </c>
      <c r="D68">
        <v>1</v>
      </c>
      <c r="E68" t="s">
        <v>168</v>
      </c>
      <c r="F68">
        <v>1</v>
      </c>
      <c r="G68" t="s">
        <v>372</v>
      </c>
      <c r="H68">
        <v>0</v>
      </c>
      <c r="I68" t="s">
        <v>225</v>
      </c>
      <c r="J68" t="s">
        <v>242</v>
      </c>
      <c r="L68" t="s">
        <v>214</v>
      </c>
    </row>
    <row r="69" spans="1:12" x14ac:dyDescent="0.25">
      <c r="A69" t="s">
        <v>213</v>
      </c>
      <c r="B69">
        <v>82</v>
      </c>
      <c r="C69" t="s">
        <v>21</v>
      </c>
      <c r="D69">
        <v>2</v>
      </c>
      <c r="E69" t="s">
        <v>168</v>
      </c>
      <c r="F69">
        <v>1</v>
      </c>
      <c r="G69" t="s">
        <v>372</v>
      </c>
      <c r="H69">
        <v>0</v>
      </c>
      <c r="I69" t="s">
        <v>225</v>
      </c>
      <c r="J69" t="s">
        <v>242</v>
      </c>
      <c r="L69" t="s">
        <v>214</v>
      </c>
    </row>
    <row r="70" spans="1:12" x14ac:dyDescent="0.25">
      <c r="A70" t="s">
        <v>213</v>
      </c>
      <c r="B70">
        <v>83</v>
      </c>
      <c r="C70" t="s">
        <v>21</v>
      </c>
      <c r="D70">
        <v>3</v>
      </c>
      <c r="E70" t="s">
        <v>168</v>
      </c>
      <c r="G70" t="s">
        <v>372</v>
      </c>
      <c r="I70" t="s">
        <v>225</v>
      </c>
      <c r="J70" t="s">
        <v>242</v>
      </c>
      <c r="L70" t="s">
        <v>214</v>
      </c>
    </row>
    <row r="71" spans="1:12" x14ac:dyDescent="0.25">
      <c r="A71" t="s">
        <v>213</v>
      </c>
      <c r="B71">
        <v>84</v>
      </c>
      <c r="C71" t="s">
        <v>24</v>
      </c>
      <c r="D71">
        <v>1</v>
      </c>
      <c r="E71" t="s">
        <v>168</v>
      </c>
      <c r="F71">
        <v>1</v>
      </c>
      <c r="G71" t="s">
        <v>372</v>
      </c>
      <c r="H71">
        <v>0</v>
      </c>
      <c r="I71" t="s">
        <v>225</v>
      </c>
      <c r="J71" t="s">
        <v>247</v>
      </c>
      <c r="L71" t="s">
        <v>214</v>
      </c>
    </row>
    <row r="72" spans="1:12" x14ac:dyDescent="0.25">
      <c r="A72" t="s">
        <v>213</v>
      </c>
      <c r="B72">
        <v>85</v>
      </c>
      <c r="C72" t="s">
        <v>24</v>
      </c>
      <c r="D72">
        <v>2</v>
      </c>
      <c r="E72" t="s">
        <v>168</v>
      </c>
      <c r="F72">
        <v>1</v>
      </c>
      <c r="G72" t="s">
        <v>372</v>
      </c>
      <c r="H72">
        <v>0</v>
      </c>
      <c r="I72" t="s">
        <v>225</v>
      </c>
      <c r="J72" t="s">
        <v>247</v>
      </c>
      <c r="L72" t="s">
        <v>214</v>
      </c>
    </row>
    <row r="73" spans="1:12" x14ac:dyDescent="0.25">
      <c r="A73" t="s">
        <v>213</v>
      </c>
      <c r="B73">
        <v>86</v>
      </c>
      <c r="C73" t="s">
        <v>24</v>
      </c>
      <c r="D73">
        <v>3</v>
      </c>
      <c r="E73" t="s">
        <v>168</v>
      </c>
      <c r="G73" t="s">
        <v>372</v>
      </c>
      <c r="I73" t="s">
        <v>225</v>
      </c>
      <c r="J73" t="s">
        <v>247</v>
      </c>
      <c r="L73" t="s">
        <v>214</v>
      </c>
    </row>
    <row r="74" spans="1:12" x14ac:dyDescent="0.25">
      <c r="A74" t="s">
        <v>213</v>
      </c>
      <c r="B74">
        <v>87</v>
      </c>
      <c r="C74" t="s">
        <v>27</v>
      </c>
      <c r="D74">
        <v>1</v>
      </c>
      <c r="E74" t="s">
        <v>168</v>
      </c>
      <c r="F74">
        <v>1</v>
      </c>
      <c r="G74" t="s">
        <v>372</v>
      </c>
      <c r="H74">
        <v>0</v>
      </c>
      <c r="I74" t="s">
        <v>225</v>
      </c>
      <c r="J74" t="s">
        <v>252</v>
      </c>
      <c r="L74" t="s">
        <v>214</v>
      </c>
    </row>
    <row r="75" spans="1:12" x14ac:dyDescent="0.25">
      <c r="A75" t="s">
        <v>213</v>
      </c>
      <c r="B75">
        <v>88</v>
      </c>
      <c r="C75" t="s">
        <v>27</v>
      </c>
      <c r="D75">
        <v>2</v>
      </c>
      <c r="E75" t="s">
        <v>168</v>
      </c>
      <c r="F75">
        <v>1</v>
      </c>
      <c r="G75" t="s">
        <v>372</v>
      </c>
      <c r="H75">
        <v>0</v>
      </c>
      <c r="I75" t="s">
        <v>225</v>
      </c>
      <c r="J75" t="s">
        <v>252</v>
      </c>
      <c r="L75" t="s">
        <v>214</v>
      </c>
    </row>
    <row r="76" spans="1:12" x14ac:dyDescent="0.25">
      <c r="A76" t="s">
        <v>213</v>
      </c>
      <c r="B76">
        <v>89</v>
      </c>
      <c r="C76" t="s">
        <v>27</v>
      </c>
      <c r="D76">
        <v>3</v>
      </c>
      <c r="E76" t="s">
        <v>168</v>
      </c>
      <c r="G76" t="s">
        <v>372</v>
      </c>
      <c r="I76" t="s">
        <v>225</v>
      </c>
      <c r="J76" t="s">
        <v>252</v>
      </c>
      <c r="L76" t="s">
        <v>214</v>
      </c>
    </row>
    <row r="77" spans="1:12" x14ac:dyDescent="0.25">
      <c r="A77" t="s">
        <v>213</v>
      </c>
      <c r="B77">
        <v>93</v>
      </c>
      <c r="C77" t="s">
        <v>12</v>
      </c>
      <c r="D77">
        <v>1</v>
      </c>
      <c r="E77" t="s">
        <v>146</v>
      </c>
      <c r="F77">
        <v>1</v>
      </c>
      <c r="G77" t="s">
        <v>372</v>
      </c>
      <c r="H77">
        <v>0</v>
      </c>
      <c r="I77" t="s">
        <v>225</v>
      </c>
      <c r="J77" t="s">
        <v>234</v>
      </c>
      <c r="L77" t="s">
        <v>214</v>
      </c>
    </row>
    <row r="78" spans="1:12" x14ac:dyDescent="0.25">
      <c r="A78" t="s">
        <v>213</v>
      </c>
      <c r="B78">
        <v>94</v>
      </c>
      <c r="C78" t="s">
        <v>12</v>
      </c>
      <c r="D78">
        <v>2</v>
      </c>
      <c r="E78" t="s">
        <v>146</v>
      </c>
      <c r="F78">
        <v>1</v>
      </c>
      <c r="G78" t="s">
        <v>372</v>
      </c>
      <c r="H78">
        <v>0</v>
      </c>
      <c r="I78" t="s">
        <v>225</v>
      </c>
      <c r="J78" t="s">
        <v>234</v>
      </c>
      <c r="L78" t="s">
        <v>214</v>
      </c>
    </row>
    <row r="79" spans="1:12" x14ac:dyDescent="0.25">
      <c r="A79" t="s">
        <v>213</v>
      </c>
      <c r="B79">
        <v>95</v>
      </c>
      <c r="C79" t="s">
        <v>12</v>
      </c>
      <c r="D79">
        <v>3</v>
      </c>
      <c r="E79" t="s">
        <v>146</v>
      </c>
      <c r="G79" t="s">
        <v>372</v>
      </c>
      <c r="I79" t="s">
        <v>225</v>
      </c>
      <c r="J79" t="s">
        <v>234</v>
      </c>
      <c r="L79" t="s">
        <v>214</v>
      </c>
    </row>
    <row r="80" spans="1:12" x14ac:dyDescent="0.25">
      <c r="A80" t="s">
        <v>213</v>
      </c>
      <c r="B80">
        <v>96</v>
      </c>
      <c r="C80" t="s">
        <v>18</v>
      </c>
      <c r="D80">
        <v>1</v>
      </c>
      <c r="E80" t="s">
        <v>146</v>
      </c>
      <c r="F80">
        <v>1</v>
      </c>
      <c r="G80" t="s">
        <v>372</v>
      </c>
      <c r="H80">
        <v>0</v>
      </c>
      <c r="I80" t="s">
        <v>225</v>
      </c>
      <c r="J80" t="s">
        <v>239</v>
      </c>
      <c r="L80" t="s">
        <v>214</v>
      </c>
    </row>
    <row r="81" spans="1:12" x14ac:dyDescent="0.25">
      <c r="A81" t="s">
        <v>213</v>
      </c>
      <c r="B81">
        <v>97</v>
      </c>
      <c r="C81" t="s">
        <v>18</v>
      </c>
      <c r="D81">
        <v>2</v>
      </c>
      <c r="E81" t="s">
        <v>146</v>
      </c>
      <c r="F81">
        <v>1</v>
      </c>
      <c r="G81" t="s">
        <v>372</v>
      </c>
      <c r="H81">
        <v>0</v>
      </c>
      <c r="I81" t="s">
        <v>225</v>
      </c>
      <c r="J81" t="s">
        <v>239</v>
      </c>
      <c r="L81" t="s">
        <v>214</v>
      </c>
    </row>
    <row r="82" spans="1:12" x14ac:dyDescent="0.25">
      <c r="A82" t="s">
        <v>213</v>
      </c>
      <c r="B82">
        <v>98</v>
      </c>
      <c r="C82" t="s">
        <v>18</v>
      </c>
      <c r="D82">
        <v>3</v>
      </c>
      <c r="E82" t="s">
        <v>146</v>
      </c>
      <c r="G82" t="s">
        <v>372</v>
      </c>
      <c r="I82" t="s">
        <v>225</v>
      </c>
      <c r="J82" t="s">
        <v>239</v>
      </c>
      <c r="L82" t="s">
        <v>214</v>
      </c>
    </row>
    <row r="83" spans="1:12" x14ac:dyDescent="0.25">
      <c r="A83" t="s">
        <v>213</v>
      </c>
      <c r="B83">
        <v>99</v>
      </c>
      <c r="C83" t="s">
        <v>21</v>
      </c>
      <c r="D83">
        <v>1</v>
      </c>
      <c r="E83" t="s">
        <v>146</v>
      </c>
      <c r="F83">
        <v>1</v>
      </c>
      <c r="G83" t="s">
        <v>372</v>
      </c>
      <c r="H83">
        <v>0</v>
      </c>
      <c r="I83" t="s">
        <v>225</v>
      </c>
      <c r="J83" t="s">
        <v>244</v>
      </c>
      <c r="L83" t="s">
        <v>214</v>
      </c>
    </row>
    <row r="84" spans="1:12" x14ac:dyDescent="0.25">
      <c r="A84" t="s">
        <v>213</v>
      </c>
      <c r="B84">
        <v>100</v>
      </c>
      <c r="C84" t="s">
        <v>21</v>
      </c>
      <c r="D84">
        <v>2</v>
      </c>
      <c r="E84" t="s">
        <v>146</v>
      </c>
      <c r="F84">
        <v>1</v>
      </c>
      <c r="G84" t="s">
        <v>372</v>
      </c>
      <c r="H84">
        <v>0</v>
      </c>
      <c r="I84" t="s">
        <v>225</v>
      </c>
      <c r="J84" t="s">
        <v>244</v>
      </c>
      <c r="L84" t="s">
        <v>214</v>
      </c>
    </row>
    <row r="85" spans="1:12" x14ac:dyDescent="0.25">
      <c r="A85" t="s">
        <v>213</v>
      </c>
      <c r="B85">
        <v>101</v>
      </c>
      <c r="C85" t="s">
        <v>21</v>
      </c>
      <c r="D85">
        <v>3</v>
      </c>
      <c r="E85" t="s">
        <v>146</v>
      </c>
      <c r="G85" t="s">
        <v>372</v>
      </c>
      <c r="I85" t="s">
        <v>225</v>
      </c>
      <c r="J85" t="s">
        <v>244</v>
      </c>
      <c r="L85" t="s">
        <v>214</v>
      </c>
    </row>
    <row r="86" spans="1:12" x14ac:dyDescent="0.25">
      <c r="A86" t="s">
        <v>213</v>
      </c>
      <c r="B86">
        <v>102</v>
      </c>
      <c r="C86" t="s">
        <v>24</v>
      </c>
      <c r="D86">
        <v>1</v>
      </c>
      <c r="E86" t="s">
        <v>146</v>
      </c>
      <c r="F86">
        <v>1</v>
      </c>
      <c r="G86" t="s">
        <v>372</v>
      </c>
      <c r="H86">
        <v>0</v>
      </c>
      <c r="I86" t="s">
        <v>225</v>
      </c>
      <c r="J86" t="s">
        <v>249</v>
      </c>
      <c r="L86" t="s">
        <v>214</v>
      </c>
    </row>
    <row r="87" spans="1:12" x14ac:dyDescent="0.25">
      <c r="A87" t="s">
        <v>213</v>
      </c>
      <c r="B87">
        <v>103</v>
      </c>
      <c r="C87" t="s">
        <v>24</v>
      </c>
      <c r="D87">
        <v>2</v>
      </c>
      <c r="E87" t="s">
        <v>146</v>
      </c>
      <c r="F87">
        <v>1</v>
      </c>
      <c r="G87" t="s">
        <v>372</v>
      </c>
      <c r="H87">
        <v>0</v>
      </c>
      <c r="I87" t="s">
        <v>225</v>
      </c>
      <c r="J87" t="s">
        <v>249</v>
      </c>
      <c r="L87" t="s">
        <v>214</v>
      </c>
    </row>
    <row r="88" spans="1:12" x14ac:dyDescent="0.25">
      <c r="A88" t="s">
        <v>213</v>
      </c>
      <c r="B88">
        <v>104</v>
      </c>
      <c r="C88" t="s">
        <v>24</v>
      </c>
      <c r="D88">
        <v>3</v>
      </c>
      <c r="E88" t="s">
        <v>146</v>
      </c>
      <c r="G88" t="s">
        <v>372</v>
      </c>
      <c r="I88" t="s">
        <v>225</v>
      </c>
      <c r="J88" t="s">
        <v>249</v>
      </c>
      <c r="L88" t="s">
        <v>214</v>
      </c>
    </row>
    <row r="89" spans="1:12" x14ac:dyDescent="0.25">
      <c r="A89" t="s">
        <v>213</v>
      </c>
      <c r="B89">
        <v>105</v>
      </c>
      <c r="C89" t="s">
        <v>27</v>
      </c>
      <c r="D89">
        <v>1</v>
      </c>
      <c r="E89" t="s">
        <v>146</v>
      </c>
      <c r="F89">
        <v>1</v>
      </c>
      <c r="G89" t="s">
        <v>372</v>
      </c>
      <c r="H89">
        <v>0</v>
      </c>
      <c r="I89" t="s">
        <v>225</v>
      </c>
      <c r="J89" t="s">
        <v>254</v>
      </c>
      <c r="L89" t="s">
        <v>214</v>
      </c>
    </row>
    <row r="90" spans="1:12" x14ac:dyDescent="0.25">
      <c r="A90" t="s">
        <v>213</v>
      </c>
      <c r="B90">
        <v>106</v>
      </c>
      <c r="C90" t="s">
        <v>27</v>
      </c>
      <c r="D90">
        <v>2</v>
      </c>
      <c r="E90" t="s">
        <v>146</v>
      </c>
      <c r="F90">
        <v>1</v>
      </c>
      <c r="G90" t="s">
        <v>372</v>
      </c>
      <c r="H90">
        <v>0</v>
      </c>
      <c r="I90" t="s">
        <v>225</v>
      </c>
      <c r="J90" t="s">
        <v>254</v>
      </c>
      <c r="L90" t="s">
        <v>214</v>
      </c>
    </row>
    <row r="91" spans="1:12" x14ac:dyDescent="0.25">
      <c r="A91" t="s">
        <v>213</v>
      </c>
      <c r="B91">
        <v>107</v>
      </c>
      <c r="C91" t="s">
        <v>27</v>
      </c>
      <c r="D91">
        <v>3</v>
      </c>
      <c r="E91" t="s">
        <v>146</v>
      </c>
      <c r="G91" t="s">
        <v>372</v>
      </c>
      <c r="I91" t="s">
        <v>225</v>
      </c>
      <c r="J91" t="s">
        <v>254</v>
      </c>
      <c r="L91" t="s">
        <v>214</v>
      </c>
    </row>
    <row r="92" spans="1:12" x14ac:dyDescent="0.25">
      <c r="A92" t="s">
        <v>213</v>
      </c>
      <c r="B92">
        <v>111</v>
      </c>
      <c r="C92" t="s">
        <v>12</v>
      </c>
      <c r="D92">
        <v>1</v>
      </c>
      <c r="E92" t="s">
        <v>155</v>
      </c>
      <c r="F92">
        <v>1</v>
      </c>
      <c r="G92" t="s">
        <v>372</v>
      </c>
      <c r="H92">
        <v>0</v>
      </c>
      <c r="I92" t="s">
        <v>69</v>
      </c>
      <c r="J92" t="s">
        <v>257</v>
      </c>
      <c r="K92" t="s">
        <v>310</v>
      </c>
      <c r="L92" t="s">
        <v>214</v>
      </c>
    </row>
    <row r="93" spans="1:12" x14ac:dyDescent="0.25">
      <c r="A93" t="s">
        <v>213</v>
      </c>
      <c r="B93">
        <v>112</v>
      </c>
      <c r="C93" t="s">
        <v>12</v>
      </c>
      <c r="D93">
        <v>2</v>
      </c>
      <c r="E93" t="s">
        <v>155</v>
      </c>
      <c r="F93">
        <v>1</v>
      </c>
      <c r="G93" t="s">
        <v>372</v>
      </c>
      <c r="H93">
        <v>0</v>
      </c>
      <c r="I93" t="s">
        <v>69</v>
      </c>
      <c r="J93" t="s">
        <v>257</v>
      </c>
      <c r="K93" t="s">
        <v>310</v>
      </c>
      <c r="L93" t="s">
        <v>214</v>
      </c>
    </row>
    <row r="94" spans="1:12" x14ac:dyDescent="0.25">
      <c r="A94" t="s">
        <v>213</v>
      </c>
      <c r="B94">
        <v>113</v>
      </c>
      <c r="C94" t="s">
        <v>12</v>
      </c>
      <c r="D94">
        <v>3</v>
      </c>
      <c r="E94" t="s">
        <v>155</v>
      </c>
      <c r="G94" t="s">
        <v>372</v>
      </c>
      <c r="I94" t="s">
        <v>69</v>
      </c>
      <c r="J94" t="s">
        <v>257</v>
      </c>
      <c r="K94" t="s">
        <v>310</v>
      </c>
      <c r="L94" t="s">
        <v>214</v>
      </c>
    </row>
    <row r="95" spans="1:12" x14ac:dyDescent="0.25">
      <c r="A95" t="s">
        <v>213</v>
      </c>
      <c r="B95">
        <v>114</v>
      </c>
      <c r="C95" t="s">
        <v>18</v>
      </c>
      <c r="D95">
        <v>1</v>
      </c>
      <c r="E95" t="s">
        <v>155</v>
      </c>
      <c r="F95">
        <v>15</v>
      </c>
      <c r="G95" t="s">
        <v>372</v>
      </c>
      <c r="H95">
        <v>6</v>
      </c>
      <c r="I95" t="s">
        <v>69</v>
      </c>
      <c r="J95" t="s">
        <v>260</v>
      </c>
      <c r="K95" t="s">
        <v>311</v>
      </c>
      <c r="L95" t="s">
        <v>214</v>
      </c>
    </row>
    <row r="96" spans="1:12" x14ac:dyDescent="0.25">
      <c r="A96" t="s">
        <v>213</v>
      </c>
      <c r="B96">
        <v>115</v>
      </c>
      <c r="C96" t="s">
        <v>18</v>
      </c>
      <c r="D96">
        <v>2</v>
      </c>
      <c r="E96" t="s">
        <v>155</v>
      </c>
      <c r="F96">
        <v>15</v>
      </c>
      <c r="G96" t="s">
        <v>372</v>
      </c>
      <c r="H96">
        <v>10</v>
      </c>
      <c r="I96" t="s">
        <v>69</v>
      </c>
      <c r="J96" t="s">
        <v>260</v>
      </c>
      <c r="K96" t="s">
        <v>311</v>
      </c>
      <c r="L96" t="s">
        <v>214</v>
      </c>
    </row>
    <row r="97" spans="1:12" x14ac:dyDescent="0.25">
      <c r="A97" t="s">
        <v>213</v>
      </c>
      <c r="B97">
        <v>116</v>
      </c>
      <c r="C97" t="s">
        <v>18</v>
      </c>
      <c r="D97">
        <v>3</v>
      </c>
      <c r="E97" t="s">
        <v>155</v>
      </c>
      <c r="G97" t="s">
        <v>372</v>
      </c>
      <c r="I97" t="s">
        <v>69</v>
      </c>
      <c r="J97" t="s">
        <v>260</v>
      </c>
      <c r="K97" t="s">
        <v>311</v>
      </c>
      <c r="L97" t="s">
        <v>214</v>
      </c>
    </row>
    <row r="98" spans="1:12" x14ac:dyDescent="0.25">
      <c r="A98" t="s">
        <v>213</v>
      </c>
      <c r="B98">
        <v>117</v>
      </c>
      <c r="C98" t="s">
        <v>21</v>
      </c>
      <c r="D98">
        <v>1</v>
      </c>
      <c r="E98" t="s">
        <v>155</v>
      </c>
      <c r="F98">
        <v>1</v>
      </c>
      <c r="G98" t="s">
        <v>372</v>
      </c>
      <c r="H98">
        <v>0</v>
      </c>
      <c r="I98" t="s">
        <v>69</v>
      </c>
      <c r="J98" t="s">
        <v>263</v>
      </c>
      <c r="K98" t="s">
        <v>312</v>
      </c>
      <c r="L98" t="s">
        <v>214</v>
      </c>
    </row>
    <row r="99" spans="1:12" x14ac:dyDescent="0.25">
      <c r="A99" t="s">
        <v>213</v>
      </c>
      <c r="B99">
        <v>118</v>
      </c>
      <c r="C99" t="s">
        <v>21</v>
      </c>
      <c r="D99">
        <v>2</v>
      </c>
      <c r="E99" t="s">
        <v>155</v>
      </c>
      <c r="F99">
        <v>1</v>
      </c>
      <c r="G99" t="s">
        <v>372</v>
      </c>
      <c r="H99">
        <v>0</v>
      </c>
      <c r="I99" t="s">
        <v>69</v>
      </c>
      <c r="J99" t="s">
        <v>263</v>
      </c>
      <c r="K99" t="s">
        <v>312</v>
      </c>
      <c r="L99" t="s">
        <v>214</v>
      </c>
    </row>
    <row r="100" spans="1:12" x14ac:dyDescent="0.25">
      <c r="A100" t="s">
        <v>213</v>
      </c>
      <c r="B100">
        <v>119</v>
      </c>
      <c r="C100" t="s">
        <v>21</v>
      </c>
      <c r="D100">
        <v>3</v>
      </c>
      <c r="E100" t="s">
        <v>155</v>
      </c>
      <c r="G100" t="s">
        <v>372</v>
      </c>
      <c r="I100" t="s">
        <v>69</v>
      </c>
      <c r="J100" t="s">
        <v>263</v>
      </c>
      <c r="K100" t="s">
        <v>312</v>
      </c>
      <c r="L100" t="s">
        <v>214</v>
      </c>
    </row>
    <row r="101" spans="1:12" x14ac:dyDescent="0.25">
      <c r="A101" t="s">
        <v>213</v>
      </c>
      <c r="B101">
        <v>120</v>
      </c>
      <c r="C101" t="s">
        <v>24</v>
      </c>
      <c r="D101">
        <v>1</v>
      </c>
      <c r="E101" t="s">
        <v>155</v>
      </c>
      <c r="F101">
        <v>1</v>
      </c>
      <c r="G101" t="s">
        <v>372</v>
      </c>
      <c r="H101">
        <v>0</v>
      </c>
      <c r="I101" t="s">
        <v>69</v>
      </c>
      <c r="J101" t="s">
        <v>266</v>
      </c>
      <c r="L101" t="s">
        <v>214</v>
      </c>
    </row>
    <row r="102" spans="1:12" x14ac:dyDescent="0.25">
      <c r="A102" t="s">
        <v>213</v>
      </c>
      <c r="B102">
        <v>121</v>
      </c>
      <c r="C102" t="s">
        <v>24</v>
      </c>
      <c r="D102">
        <v>2</v>
      </c>
      <c r="E102" t="s">
        <v>155</v>
      </c>
      <c r="F102">
        <v>1</v>
      </c>
      <c r="G102" t="s">
        <v>372</v>
      </c>
      <c r="H102">
        <v>0</v>
      </c>
      <c r="I102" t="s">
        <v>69</v>
      </c>
      <c r="J102" t="s">
        <v>266</v>
      </c>
      <c r="L102" t="s">
        <v>214</v>
      </c>
    </row>
    <row r="103" spans="1:12" x14ac:dyDescent="0.25">
      <c r="A103" t="s">
        <v>213</v>
      </c>
      <c r="B103">
        <v>122</v>
      </c>
      <c r="C103" t="s">
        <v>24</v>
      </c>
      <c r="D103">
        <v>3</v>
      </c>
      <c r="E103" t="s">
        <v>155</v>
      </c>
      <c r="G103" t="s">
        <v>372</v>
      </c>
      <c r="I103" t="s">
        <v>69</v>
      </c>
      <c r="J103" t="s">
        <v>266</v>
      </c>
      <c r="L103" t="s">
        <v>214</v>
      </c>
    </row>
    <row r="104" spans="1:12" x14ac:dyDescent="0.25">
      <c r="A104" t="s">
        <v>213</v>
      </c>
      <c r="B104">
        <v>123</v>
      </c>
      <c r="C104" t="s">
        <v>27</v>
      </c>
      <c r="D104">
        <v>1</v>
      </c>
      <c r="E104" t="s">
        <v>155</v>
      </c>
      <c r="F104">
        <v>1</v>
      </c>
      <c r="G104" t="s">
        <v>372</v>
      </c>
      <c r="H104">
        <v>0</v>
      </c>
      <c r="I104" t="s">
        <v>69</v>
      </c>
      <c r="J104" t="s">
        <v>268</v>
      </c>
      <c r="L104" t="s">
        <v>214</v>
      </c>
    </row>
    <row r="105" spans="1:12" x14ac:dyDescent="0.25">
      <c r="A105" t="s">
        <v>213</v>
      </c>
      <c r="B105">
        <v>124</v>
      </c>
      <c r="C105" t="s">
        <v>27</v>
      </c>
      <c r="D105">
        <v>2</v>
      </c>
      <c r="E105" t="s">
        <v>155</v>
      </c>
      <c r="F105">
        <v>1</v>
      </c>
      <c r="G105" t="s">
        <v>372</v>
      </c>
      <c r="H105">
        <v>0</v>
      </c>
      <c r="I105" t="s">
        <v>69</v>
      </c>
      <c r="J105" t="s">
        <v>268</v>
      </c>
      <c r="L105" t="s">
        <v>214</v>
      </c>
    </row>
    <row r="106" spans="1:12" x14ac:dyDescent="0.25">
      <c r="A106" t="s">
        <v>213</v>
      </c>
      <c r="B106">
        <v>125</v>
      </c>
      <c r="C106" t="s">
        <v>27</v>
      </c>
      <c r="D106">
        <v>3</v>
      </c>
      <c r="E106" t="s">
        <v>155</v>
      </c>
      <c r="G106" t="s">
        <v>372</v>
      </c>
      <c r="I106" t="s">
        <v>69</v>
      </c>
      <c r="J106" t="s">
        <v>268</v>
      </c>
      <c r="L106" t="s">
        <v>214</v>
      </c>
    </row>
    <row r="107" spans="1:12" x14ac:dyDescent="0.25">
      <c r="A107" t="s">
        <v>213</v>
      </c>
      <c r="B107">
        <v>129</v>
      </c>
      <c r="C107" t="s">
        <v>12</v>
      </c>
      <c r="D107">
        <v>1</v>
      </c>
      <c r="E107" t="s">
        <v>30</v>
      </c>
      <c r="F107">
        <v>15</v>
      </c>
      <c r="G107" t="s">
        <v>372</v>
      </c>
      <c r="H107">
        <v>4</v>
      </c>
      <c r="I107" t="s">
        <v>108</v>
      </c>
      <c r="J107" t="s">
        <v>233</v>
      </c>
      <c r="K107" t="s">
        <v>313</v>
      </c>
      <c r="L107" t="s">
        <v>214</v>
      </c>
    </row>
    <row r="108" spans="1:12" x14ac:dyDescent="0.25">
      <c r="A108" t="s">
        <v>213</v>
      </c>
      <c r="B108">
        <v>130</v>
      </c>
      <c r="C108" t="s">
        <v>12</v>
      </c>
      <c r="D108">
        <v>2</v>
      </c>
      <c r="E108" t="s">
        <v>30</v>
      </c>
      <c r="F108">
        <v>15</v>
      </c>
      <c r="G108" t="s">
        <v>372</v>
      </c>
      <c r="H108">
        <v>3</v>
      </c>
      <c r="I108" t="s">
        <v>108</v>
      </c>
      <c r="J108" t="s">
        <v>233</v>
      </c>
      <c r="K108" t="s">
        <v>313</v>
      </c>
      <c r="L108" t="s">
        <v>214</v>
      </c>
    </row>
    <row r="109" spans="1:12" x14ac:dyDescent="0.25">
      <c r="A109" t="s">
        <v>213</v>
      </c>
      <c r="B109">
        <v>131</v>
      </c>
      <c r="C109" t="s">
        <v>12</v>
      </c>
      <c r="D109">
        <v>3</v>
      </c>
      <c r="E109" t="s">
        <v>30</v>
      </c>
      <c r="G109" t="s">
        <v>372</v>
      </c>
      <c r="I109" t="s">
        <v>108</v>
      </c>
      <c r="J109" t="s">
        <v>233</v>
      </c>
      <c r="K109" t="s">
        <v>313</v>
      </c>
      <c r="L109" t="s">
        <v>214</v>
      </c>
    </row>
    <row r="110" spans="1:12" x14ac:dyDescent="0.25">
      <c r="A110" t="s">
        <v>213</v>
      </c>
      <c r="B110">
        <v>132</v>
      </c>
      <c r="C110" t="s">
        <v>18</v>
      </c>
      <c r="D110">
        <v>1</v>
      </c>
      <c r="E110" t="s">
        <v>30</v>
      </c>
      <c r="F110">
        <v>15</v>
      </c>
      <c r="G110" t="s">
        <v>372</v>
      </c>
      <c r="H110">
        <v>5</v>
      </c>
      <c r="I110" t="s">
        <v>108</v>
      </c>
      <c r="J110" t="s">
        <v>238</v>
      </c>
      <c r="K110" t="s">
        <v>314</v>
      </c>
      <c r="L110" t="s">
        <v>214</v>
      </c>
    </row>
    <row r="111" spans="1:12" x14ac:dyDescent="0.25">
      <c r="A111" t="s">
        <v>213</v>
      </c>
      <c r="B111">
        <v>133</v>
      </c>
      <c r="C111" t="s">
        <v>18</v>
      </c>
      <c r="D111">
        <v>2</v>
      </c>
      <c r="E111" t="s">
        <v>30</v>
      </c>
      <c r="F111">
        <v>15</v>
      </c>
      <c r="G111" t="s">
        <v>372</v>
      </c>
      <c r="H111">
        <v>13</v>
      </c>
      <c r="I111" t="s">
        <v>108</v>
      </c>
      <c r="J111" t="s">
        <v>238</v>
      </c>
      <c r="K111" t="s">
        <v>314</v>
      </c>
      <c r="L111" t="s">
        <v>214</v>
      </c>
    </row>
    <row r="112" spans="1:12" x14ac:dyDescent="0.25">
      <c r="A112" t="s">
        <v>213</v>
      </c>
      <c r="B112">
        <v>134</v>
      </c>
      <c r="C112" t="s">
        <v>18</v>
      </c>
      <c r="D112">
        <v>3</v>
      </c>
      <c r="E112" t="s">
        <v>30</v>
      </c>
      <c r="G112" t="s">
        <v>372</v>
      </c>
      <c r="I112" t="s">
        <v>108</v>
      </c>
      <c r="J112" t="s">
        <v>238</v>
      </c>
      <c r="K112" t="s">
        <v>314</v>
      </c>
      <c r="L112" t="s">
        <v>214</v>
      </c>
    </row>
    <row r="113" spans="1:12" x14ac:dyDescent="0.25">
      <c r="A113" t="s">
        <v>213</v>
      </c>
      <c r="B113">
        <v>135</v>
      </c>
      <c r="C113" t="s">
        <v>21</v>
      </c>
      <c r="D113">
        <v>1</v>
      </c>
      <c r="E113" t="s">
        <v>30</v>
      </c>
      <c r="F113">
        <v>15</v>
      </c>
      <c r="G113" t="s">
        <v>372</v>
      </c>
      <c r="H113">
        <v>4</v>
      </c>
      <c r="I113" t="s">
        <v>108</v>
      </c>
      <c r="J113" t="s">
        <v>243</v>
      </c>
      <c r="K113" t="s">
        <v>315</v>
      </c>
      <c r="L113" t="s">
        <v>214</v>
      </c>
    </row>
    <row r="114" spans="1:12" x14ac:dyDescent="0.25">
      <c r="A114" t="s">
        <v>213</v>
      </c>
      <c r="B114">
        <v>136</v>
      </c>
      <c r="C114" t="s">
        <v>21</v>
      </c>
      <c r="D114">
        <v>2</v>
      </c>
      <c r="E114" t="s">
        <v>30</v>
      </c>
      <c r="F114">
        <v>15</v>
      </c>
      <c r="G114" t="s">
        <v>372</v>
      </c>
      <c r="H114">
        <v>4</v>
      </c>
      <c r="I114" t="s">
        <v>108</v>
      </c>
      <c r="J114" t="s">
        <v>243</v>
      </c>
      <c r="K114" t="s">
        <v>315</v>
      </c>
      <c r="L114" t="s">
        <v>214</v>
      </c>
    </row>
    <row r="115" spans="1:12" x14ac:dyDescent="0.25">
      <c r="A115" t="s">
        <v>213</v>
      </c>
      <c r="B115">
        <v>137</v>
      </c>
      <c r="C115" t="s">
        <v>21</v>
      </c>
      <c r="D115">
        <v>3</v>
      </c>
      <c r="E115" t="s">
        <v>30</v>
      </c>
      <c r="G115" t="s">
        <v>372</v>
      </c>
      <c r="I115" t="s">
        <v>108</v>
      </c>
      <c r="J115" t="s">
        <v>243</v>
      </c>
      <c r="K115" t="s">
        <v>315</v>
      </c>
      <c r="L115" t="s">
        <v>214</v>
      </c>
    </row>
    <row r="116" spans="1:12" x14ac:dyDescent="0.25">
      <c r="A116" t="s">
        <v>213</v>
      </c>
      <c r="B116">
        <v>138</v>
      </c>
      <c r="C116" t="s">
        <v>24</v>
      </c>
      <c r="D116">
        <v>1</v>
      </c>
      <c r="E116" t="s">
        <v>30</v>
      </c>
      <c r="G116" t="s">
        <v>372</v>
      </c>
      <c r="I116" t="s">
        <v>108</v>
      </c>
      <c r="J116" t="s">
        <v>248</v>
      </c>
      <c r="L116" t="s">
        <v>214</v>
      </c>
    </row>
    <row r="117" spans="1:12" x14ac:dyDescent="0.25">
      <c r="A117" t="s">
        <v>213</v>
      </c>
      <c r="B117">
        <v>139</v>
      </c>
      <c r="C117" t="s">
        <v>24</v>
      </c>
      <c r="D117">
        <v>2</v>
      </c>
      <c r="E117" t="s">
        <v>30</v>
      </c>
      <c r="G117" t="s">
        <v>372</v>
      </c>
      <c r="I117" t="s">
        <v>108</v>
      </c>
      <c r="J117" t="s">
        <v>248</v>
      </c>
      <c r="L117" t="s">
        <v>214</v>
      </c>
    </row>
    <row r="118" spans="1:12" x14ac:dyDescent="0.25">
      <c r="A118" t="s">
        <v>213</v>
      </c>
      <c r="B118">
        <v>140</v>
      </c>
      <c r="C118" t="s">
        <v>24</v>
      </c>
      <c r="D118">
        <v>3</v>
      </c>
      <c r="E118" t="s">
        <v>30</v>
      </c>
      <c r="G118" t="s">
        <v>372</v>
      </c>
      <c r="I118" t="s">
        <v>108</v>
      </c>
      <c r="J118" t="s">
        <v>248</v>
      </c>
      <c r="L118" t="s">
        <v>214</v>
      </c>
    </row>
    <row r="119" spans="1:12" x14ac:dyDescent="0.25">
      <c r="A119" t="s">
        <v>213</v>
      </c>
      <c r="B119">
        <v>141</v>
      </c>
      <c r="C119" t="s">
        <v>27</v>
      </c>
      <c r="D119">
        <v>1</v>
      </c>
      <c r="E119" t="s">
        <v>30</v>
      </c>
      <c r="G119" t="s">
        <v>372</v>
      </c>
      <c r="I119" t="s">
        <v>108</v>
      </c>
      <c r="J119" t="s">
        <v>253</v>
      </c>
      <c r="L119" t="s">
        <v>214</v>
      </c>
    </row>
    <row r="120" spans="1:12" x14ac:dyDescent="0.25">
      <c r="A120" t="s">
        <v>213</v>
      </c>
      <c r="B120">
        <v>142</v>
      </c>
      <c r="C120" t="s">
        <v>27</v>
      </c>
      <c r="D120">
        <v>2</v>
      </c>
      <c r="E120" t="s">
        <v>30</v>
      </c>
      <c r="G120" t="s">
        <v>372</v>
      </c>
      <c r="I120" t="s">
        <v>108</v>
      </c>
      <c r="J120" t="s">
        <v>253</v>
      </c>
      <c r="L120" t="s">
        <v>214</v>
      </c>
    </row>
    <row r="121" spans="1:12" x14ac:dyDescent="0.25">
      <c r="A121" t="s">
        <v>213</v>
      </c>
      <c r="B121">
        <v>143</v>
      </c>
      <c r="C121" t="s">
        <v>27</v>
      </c>
      <c r="D121">
        <v>3</v>
      </c>
      <c r="E121" t="s">
        <v>30</v>
      </c>
      <c r="G121" t="s">
        <v>372</v>
      </c>
      <c r="I121" t="s">
        <v>108</v>
      </c>
      <c r="J121" t="s">
        <v>253</v>
      </c>
      <c r="L121" t="s">
        <v>214</v>
      </c>
    </row>
    <row r="122" spans="1:12" x14ac:dyDescent="0.25">
      <c r="A122" t="s">
        <v>213</v>
      </c>
      <c r="B122">
        <v>147</v>
      </c>
      <c r="C122" t="s">
        <v>12</v>
      </c>
      <c r="D122">
        <v>1</v>
      </c>
      <c r="E122" t="s">
        <v>31</v>
      </c>
      <c r="F122">
        <v>15</v>
      </c>
      <c r="G122" t="s">
        <v>372</v>
      </c>
      <c r="H122">
        <v>8</v>
      </c>
      <c r="I122" t="s">
        <v>134</v>
      </c>
      <c r="J122" t="s">
        <v>290</v>
      </c>
      <c r="K122" t="s">
        <v>318</v>
      </c>
      <c r="L122" t="s">
        <v>214</v>
      </c>
    </row>
    <row r="123" spans="1:12" x14ac:dyDescent="0.25">
      <c r="A123" t="s">
        <v>213</v>
      </c>
      <c r="B123">
        <v>148</v>
      </c>
      <c r="C123" t="s">
        <v>12</v>
      </c>
      <c r="D123">
        <v>2</v>
      </c>
      <c r="E123" t="s">
        <v>31</v>
      </c>
      <c r="F123">
        <v>15</v>
      </c>
      <c r="G123" t="s">
        <v>372</v>
      </c>
      <c r="H123">
        <v>7</v>
      </c>
      <c r="I123" t="s">
        <v>134</v>
      </c>
      <c r="J123" t="s">
        <v>290</v>
      </c>
      <c r="K123" t="s">
        <v>318</v>
      </c>
      <c r="L123" t="s">
        <v>214</v>
      </c>
    </row>
    <row r="124" spans="1:12" x14ac:dyDescent="0.25">
      <c r="A124" t="s">
        <v>213</v>
      </c>
      <c r="B124">
        <v>149</v>
      </c>
      <c r="C124" t="s">
        <v>12</v>
      </c>
      <c r="D124">
        <v>3</v>
      </c>
      <c r="E124" t="s">
        <v>31</v>
      </c>
      <c r="G124" t="s">
        <v>372</v>
      </c>
      <c r="I124" t="s">
        <v>134</v>
      </c>
      <c r="J124" t="s">
        <v>290</v>
      </c>
      <c r="K124" t="s">
        <v>318</v>
      </c>
      <c r="L124" t="s">
        <v>214</v>
      </c>
    </row>
    <row r="125" spans="1:12" x14ac:dyDescent="0.25">
      <c r="A125" t="s">
        <v>213</v>
      </c>
      <c r="B125">
        <v>150</v>
      </c>
      <c r="C125" t="s">
        <v>18</v>
      </c>
      <c r="D125">
        <v>1</v>
      </c>
      <c r="E125" t="s">
        <v>31</v>
      </c>
      <c r="F125">
        <v>15</v>
      </c>
      <c r="G125" t="s">
        <v>372</v>
      </c>
      <c r="H125">
        <v>4</v>
      </c>
      <c r="I125" t="s">
        <v>134</v>
      </c>
      <c r="J125" t="s">
        <v>292</v>
      </c>
      <c r="K125" t="s">
        <v>320</v>
      </c>
      <c r="L125" t="s">
        <v>214</v>
      </c>
    </row>
    <row r="126" spans="1:12" x14ac:dyDescent="0.25">
      <c r="A126" t="s">
        <v>213</v>
      </c>
      <c r="B126">
        <v>151</v>
      </c>
      <c r="C126" t="s">
        <v>18</v>
      </c>
      <c r="D126">
        <v>2</v>
      </c>
      <c r="E126" t="s">
        <v>31</v>
      </c>
      <c r="F126">
        <v>15</v>
      </c>
      <c r="G126" t="s">
        <v>372</v>
      </c>
      <c r="H126">
        <v>7</v>
      </c>
      <c r="I126" t="s">
        <v>134</v>
      </c>
      <c r="J126" t="s">
        <v>292</v>
      </c>
      <c r="K126" t="s">
        <v>320</v>
      </c>
      <c r="L126" t="s">
        <v>214</v>
      </c>
    </row>
    <row r="127" spans="1:12" x14ac:dyDescent="0.25">
      <c r="A127" t="s">
        <v>213</v>
      </c>
      <c r="B127">
        <v>152</v>
      </c>
      <c r="C127" t="s">
        <v>18</v>
      </c>
      <c r="D127">
        <v>3</v>
      </c>
      <c r="E127" t="s">
        <v>31</v>
      </c>
      <c r="G127" t="s">
        <v>372</v>
      </c>
      <c r="I127" t="s">
        <v>134</v>
      </c>
      <c r="J127" t="s">
        <v>292</v>
      </c>
      <c r="K127" t="s">
        <v>320</v>
      </c>
      <c r="L127" t="s">
        <v>214</v>
      </c>
    </row>
    <row r="128" spans="1:12" x14ac:dyDescent="0.25">
      <c r="A128" t="s">
        <v>213</v>
      </c>
      <c r="B128">
        <v>153</v>
      </c>
      <c r="C128" t="s">
        <v>21</v>
      </c>
      <c r="D128">
        <v>1</v>
      </c>
      <c r="E128" t="s">
        <v>31</v>
      </c>
      <c r="F128">
        <v>15</v>
      </c>
      <c r="G128" t="s">
        <v>372</v>
      </c>
      <c r="H128">
        <v>13</v>
      </c>
      <c r="I128" t="s">
        <v>134</v>
      </c>
      <c r="J128" t="s">
        <v>294</v>
      </c>
      <c r="K128" t="s">
        <v>326</v>
      </c>
      <c r="L128" t="s">
        <v>214</v>
      </c>
    </row>
    <row r="129" spans="1:12" x14ac:dyDescent="0.25">
      <c r="A129" t="s">
        <v>213</v>
      </c>
      <c r="B129">
        <v>154</v>
      </c>
      <c r="C129" t="s">
        <v>21</v>
      </c>
      <c r="D129">
        <v>2</v>
      </c>
      <c r="E129" t="s">
        <v>31</v>
      </c>
      <c r="F129">
        <v>15</v>
      </c>
      <c r="G129" t="s">
        <v>372</v>
      </c>
      <c r="H129">
        <v>7</v>
      </c>
      <c r="I129" t="s">
        <v>134</v>
      </c>
      <c r="J129" t="s">
        <v>294</v>
      </c>
      <c r="K129" t="s">
        <v>326</v>
      </c>
      <c r="L129" t="s">
        <v>214</v>
      </c>
    </row>
    <row r="130" spans="1:12" x14ac:dyDescent="0.25">
      <c r="A130" t="s">
        <v>213</v>
      </c>
      <c r="B130">
        <v>155</v>
      </c>
      <c r="C130" t="s">
        <v>21</v>
      </c>
      <c r="D130">
        <v>3</v>
      </c>
      <c r="E130" t="s">
        <v>31</v>
      </c>
      <c r="G130" t="s">
        <v>372</v>
      </c>
      <c r="I130" t="s">
        <v>134</v>
      </c>
      <c r="J130" t="s">
        <v>294</v>
      </c>
      <c r="K130" t="s">
        <v>326</v>
      </c>
      <c r="L130" t="s">
        <v>214</v>
      </c>
    </row>
    <row r="131" spans="1:12" x14ac:dyDescent="0.25">
      <c r="A131" t="s">
        <v>213</v>
      </c>
      <c r="B131">
        <v>156</v>
      </c>
      <c r="C131" t="s">
        <v>24</v>
      </c>
      <c r="D131">
        <v>1</v>
      </c>
      <c r="E131" t="s">
        <v>31</v>
      </c>
      <c r="F131">
        <v>15</v>
      </c>
      <c r="G131" t="s">
        <v>372</v>
      </c>
      <c r="H131">
        <v>2</v>
      </c>
      <c r="I131" t="s">
        <v>134</v>
      </c>
      <c r="J131" t="s">
        <v>296</v>
      </c>
      <c r="K131" t="s">
        <v>328</v>
      </c>
      <c r="L131" t="s">
        <v>214</v>
      </c>
    </row>
    <row r="132" spans="1:12" x14ac:dyDescent="0.25">
      <c r="A132" t="s">
        <v>213</v>
      </c>
      <c r="B132">
        <v>157</v>
      </c>
      <c r="C132" t="s">
        <v>24</v>
      </c>
      <c r="D132">
        <v>2</v>
      </c>
      <c r="E132" t="s">
        <v>31</v>
      </c>
      <c r="F132">
        <v>15</v>
      </c>
      <c r="G132" t="s">
        <v>372</v>
      </c>
      <c r="H132">
        <v>1</v>
      </c>
      <c r="I132" t="s">
        <v>134</v>
      </c>
      <c r="J132" t="s">
        <v>296</v>
      </c>
      <c r="K132" t="s">
        <v>328</v>
      </c>
      <c r="L132" t="s">
        <v>214</v>
      </c>
    </row>
    <row r="133" spans="1:12" x14ac:dyDescent="0.25">
      <c r="A133" t="s">
        <v>213</v>
      </c>
      <c r="B133">
        <v>158</v>
      </c>
      <c r="C133" t="s">
        <v>24</v>
      </c>
      <c r="D133">
        <v>3</v>
      </c>
      <c r="E133" t="s">
        <v>31</v>
      </c>
      <c r="G133" t="s">
        <v>372</v>
      </c>
      <c r="I133" t="s">
        <v>134</v>
      </c>
      <c r="J133" t="s">
        <v>296</v>
      </c>
      <c r="K133" t="s">
        <v>328</v>
      </c>
      <c r="L133" t="s">
        <v>214</v>
      </c>
    </row>
    <row r="134" spans="1:12" x14ac:dyDescent="0.25">
      <c r="A134" t="s">
        <v>213</v>
      </c>
      <c r="B134">
        <v>159</v>
      </c>
      <c r="C134" t="s">
        <v>27</v>
      </c>
      <c r="D134">
        <v>1</v>
      </c>
      <c r="E134" t="s">
        <v>31</v>
      </c>
      <c r="G134" t="s">
        <v>372</v>
      </c>
      <c r="I134" t="s">
        <v>134</v>
      </c>
      <c r="J134" t="s">
        <v>298</v>
      </c>
      <c r="L134" t="s">
        <v>214</v>
      </c>
    </row>
    <row r="135" spans="1:12" x14ac:dyDescent="0.25">
      <c r="A135" t="s">
        <v>213</v>
      </c>
      <c r="B135">
        <v>160</v>
      </c>
      <c r="C135" t="s">
        <v>27</v>
      </c>
      <c r="D135">
        <v>2</v>
      </c>
      <c r="E135" t="s">
        <v>31</v>
      </c>
      <c r="G135" t="s">
        <v>372</v>
      </c>
      <c r="I135" t="s">
        <v>134</v>
      </c>
      <c r="J135" t="s">
        <v>298</v>
      </c>
      <c r="L135" t="s">
        <v>214</v>
      </c>
    </row>
    <row r="136" spans="1:12" x14ac:dyDescent="0.25">
      <c r="A136" t="s">
        <v>213</v>
      </c>
      <c r="B136">
        <v>161</v>
      </c>
      <c r="C136" t="s">
        <v>27</v>
      </c>
      <c r="D136">
        <v>3</v>
      </c>
      <c r="E136" t="s">
        <v>31</v>
      </c>
      <c r="G136" t="s">
        <v>372</v>
      </c>
      <c r="I136" t="s">
        <v>134</v>
      </c>
      <c r="J136" t="s">
        <v>298</v>
      </c>
      <c r="L136" t="s">
        <v>214</v>
      </c>
    </row>
    <row r="137" spans="1:12" x14ac:dyDescent="0.25">
      <c r="A137" t="s">
        <v>213</v>
      </c>
      <c r="B137">
        <v>165</v>
      </c>
      <c r="C137" t="s">
        <v>12</v>
      </c>
      <c r="D137">
        <v>1</v>
      </c>
      <c r="E137" t="s">
        <v>57</v>
      </c>
      <c r="F137">
        <v>15</v>
      </c>
      <c r="G137" t="s">
        <v>372</v>
      </c>
      <c r="H137">
        <v>11</v>
      </c>
      <c r="I137" t="s">
        <v>83</v>
      </c>
      <c r="J137" t="s">
        <v>301</v>
      </c>
      <c r="K137" t="s">
        <v>336</v>
      </c>
      <c r="L137" t="s">
        <v>214</v>
      </c>
    </row>
    <row r="138" spans="1:12" x14ac:dyDescent="0.25">
      <c r="A138" t="s">
        <v>213</v>
      </c>
      <c r="B138">
        <v>166</v>
      </c>
      <c r="C138" t="s">
        <v>12</v>
      </c>
      <c r="D138">
        <v>2</v>
      </c>
      <c r="E138" t="s">
        <v>57</v>
      </c>
      <c r="F138">
        <v>12</v>
      </c>
      <c r="G138" t="s">
        <v>372</v>
      </c>
      <c r="H138">
        <v>7</v>
      </c>
      <c r="I138" t="s">
        <v>83</v>
      </c>
      <c r="J138" t="s">
        <v>301</v>
      </c>
      <c r="K138" t="s">
        <v>336</v>
      </c>
      <c r="L138" t="s">
        <v>214</v>
      </c>
    </row>
    <row r="139" spans="1:12" x14ac:dyDescent="0.25">
      <c r="A139" t="s">
        <v>213</v>
      </c>
      <c r="B139">
        <v>167</v>
      </c>
      <c r="C139" t="s">
        <v>12</v>
      </c>
      <c r="D139">
        <v>3</v>
      </c>
      <c r="E139" t="s">
        <v>57</v>
      </c>
      <c r="G139" t="s">
        <v>372</v>
      </c>
      <c r="I139" t="s">
        <v>83</v>
      </c>
      <c r="J139" t="s">
        <v>301</v>
      </c>
      <c r="K139" t="s">
        <v>336</v>
      </c>
      <c r="L139" t="s">
        <v>214</v>
      </c>
    </row>
    <row r="140" spans="1:12" x14ac:dyDescent="0.25">
      <c r="A140" t="s">
        <v>213</v>
      </c>
      <c r="B140">
        <v>168</v>
      </c>
      <c r="C140" t="s">
        <v>18</v>
      </c>
      <c r="D140">
        <v>1</v>
      </c>
      <c r="E140" t="s">
        <v>57</v>
      </c>
      <c r="F140">
        <v>15</v>
      </c>
      <c r="G140" t="s">
        <v>372</v>
      </c>
      <c r="H140">
        <v>8</v>
      </c>
      <c r="I140" t="s">
        <v>83</v>
      </c>
      <c r="J140" t="s">
        <v>303</v>
      </c>
      <c r="K140" t="s">
        <v>338</v>
      </c>
      <c r="L140" t="s">
        <v>214</v>
      </c>
    </row>
    <row r="141" spans="1:12" x14ac:dyDescent="0.25">
      <c r="A141" t="s">
        <v>213</v>
      </c>
      <c r="B141">
        <v>169</v>
      </c>
      <c r="C141" t="s">
        <v>18</v>
      </c>
      <c r="D141">
        <v>2</v>
      </c>
      <c r="E141" t="s">
        <v>57</v>
      </c>
      <c r="F141">
        <v>15</v>
      </c>
      <c r="G141" t="s">
        <v>372</v>
      </c>
      <c r="H141">
        <v>6</v>
      </c>
      <c r="I141" t="s">
        <v>83</v>
      </c>
      <c r="J141" t="s">
        <v>303</v>
      </c>
      <c r="K141" t="s">
        <v>338</v>
      </c>
      <c r="L141" t="s">
        <v>214</v>
      </c>
    </row>
    <row r="142" spans="1:12" x14ac:dyDescent="0.25">
      <c r="A142" t="s">
        <v>213</v>
      </c>
      <c r="B142">
        <v>170</v>
      </c>
      <c r="C142" t="s">
        <v>18</v>
      </c>
      <c r="D142">
        <v>3</v>
      </c>
      <c r="E142" t="s">
        <v>57</v>
      </c>
      <c r="G142" t="s">
        <v>372</v>
      </c>
      <c r="I142" t="s">
        <v>83</v>
      </c>
      <c r="J142" t="s">
        <v>303</v>
      </c>
      <c r="K142" t="s">
        <v>338</v>
      </c>
      <c r="L142" t="s">
        <v>214</v>
      </c>
    </row>
    <row r="143" spans="1:12" x14ac:dyDescent="0.25">
      <c r="A143" t="s">
        <v>213</v>
      </c>
      <c r="B143">
        <v>171</v>
      </c>
      <c r="C143" t="s">
        <v>21</v>
      </c>
      <c r="D143">
        <v>1</v>
      </c>
      <c r="E143" t="s">
        <v>57</v>
      </c>
      <c r="F143">
        <v>15</v>
      </c>
      <c r="G143" t="s">
        <v>372</v>
      </c>
      <c r="H143">
        <v>6</v>
      </c>
      <c r="I143" t="s">
        <v>83</v>
      </c>
      <c r="J143" t="s">
        <v>305</v>
      </c>
      <c r="K143" t="s">
        <v>340</v>
      </c>
      <c r="L143" t="s">
        <v>214</v>
      </c>
    </row>
    <row r="144" spans="1:12" x14ac:dyDescent="0.25">
      <c r="A144" t="s">
        <v>213</v>
      </c>
      <c r="B144">
        <v>172</v>
      </c>
      <c r="C144" t="s">
        <v>21</v>
      </c>
      <c r="D144">
        <v>2</v>
      </c>
      <c r="E144" t="s">
        <v>57</v>
      </c>
      <c r="F144">
        <v>15</v>
      </c>
      <c r="G144" t="s">
        <v>372</v>
      </c>
      <c r="H144">
        <v>7</v>
      </c>
      <c r="I144" t="s">
        <v>83</v>
      </c>
      <c r="J144" t="s">
        <v>305</v>
      </c>
      <c r="K144" t="s">
        <v>340</v>
      </c>
      <c r="L144" t="s">
        <v>214</v>
      </c>
    </row>
    <row r="145" spans="1:12" x14ac:dyDescent="0.25">
      <c r="A145" t="s">
        <v>213</v>
      </c>
      <c r="B145">
        <v>173</v>
      </c>
      <c r="C145" t="s">
        <v>21</v>
      </c>
      <c r="D145">
        <v>3</v>
      </c>
      <c r="E145" t="s">
        <v>57</v>
      </c>
      <c r="G145" t="s">
        <v>372</v>
      </c>
      <c r="I145" t="s">
        <v>83</v>
      </c>
      <c r="J145" t="s">
        <v>305</v>
      </c>
      <c r="K145" t="s">
        <v>340</v>
      </c>
      <c r="L145" t="s">
        <v>214</v>
      </c>
    </row>
    <row r="146" spans="1:12" x14ac:dyDescent="0.25">
      <c r="A146" t="s">
        <v>213</v>
      </c>
      <c r="B146">
        <v>174</v>
      </c>
      <c r="C146" t="s">
        <v>24</v>
      </c>
      <c r="D146">
        <v>1</v>
      </c>
      <c r="E146" t="s">
        <v>57</v>
      </c>
      <c r="F146">
        <v>15</v>
      </c>
      <c r="G146" t="s">
        <v>372</v>
      </c>
      <c r="H146">
        <v>2</v>
      </c>
      <c r="I146" t="s">
        <v>83</v>
      </c>
      <c r="J146" t="s">
        <v>307</v>
      </c>
      <c r="K146" t="s">
        <v>342</v>
      </c>
      <c r="L146" t="s">
        <v>214</v>
      </c>
    </row>
    <row r="147" spans="1:12" x14ac:dyDescent="0.25">
      <c r="A147" t="s">
        <v>213</v>
      </c>
      <c r="B147">
        <v>175</v>
      </c>
      <c r="C147" t="s">
        <v>24</v>
      </c>
      <c r="D147">
        <v>2</v>
      </c>
      <c r="E147" t="s">
        <v>57</v>
      </c>
      <c r="F147">
        <v>15</v>
      </c>
      <c r="G147" t="s">
        <v>372</v>
      </c>
      <c r="H147">
        <v>6</v>
      </c>
      <c r="I147" t="s">
        <v>83</v>
      </c>
      <c r="J147" t="s">
        <v>307</v>
      </c>
      <c r="K147" t="s">
        <v>342</v>
      </c>
      <c r="L147" t="s">
        <v>214</v>
      </c>
    </row>
    <row r="148" spans="1:12" x14ac:dyDescent="0.25">
      <c r="A148" t="s">
        <v>213</v>
      </c>
      <c r="B148">
        <v>176</v>
      </c>
      <c r="C148" t="s">
        <v>24</v>
      </c>
      <c r="D148">
        <v>3</v>
      </c>
      <c r="E148" t="s">
        <v>57</v>
      </c>
      <c r="G148" t="s">
        <v>372</v>
      </c>
      <c r="I148" t="s">
        <v>83</v>
      </c>
      <c r="J148" t="s">
        <v>307</v>
      </c>
      <c r="K148" t="s">
        <v>342</v>
      </c>
      <c r="L148" t="s">
        <v>214</v>
      </c>
    </row>
    <row r="149" spans="1:12" x14ac:dyDescent="0.25">
      <c r="A149" t="s">
        <v>213</v>
      </c>
      <c r="B149">
        <v>177</v>
      </c>
      <c r="C149" t="s">
        <v>27</v>
      </c>
      <c r="D149">
        <v>1</v>
      </c>
      <c r="E149" t="s">
        <v>57</v>
      </c>
      <c r="F149">
        <v>8</v>
      </c>
      <c r="G149" t="s">
        <v>372</v>
      </c>
      <c r="H149">
        <v>15</v>
      </c>
      <c r="I149" t="s">
        <v>83</v>
      </c>
      <c r="J149" t="s">
        <v>309</v>
      </c>
      <c r="K149" t="s">
        <v>344</v>
      </c>
      <c r="L149" t="s">
        <v>214</v>
      </c>
    </row>
    <row r="150" spans="1:12" x14ac:dyDescent="0.25">
      <c r="A150" t="s">
        <v>213</v>
      </c>
      <c r="B150">
        <v>178</v>
      </c>
      <c r="C150" t="s">
        <v>27</v>
      </c>
      <c r="D150">
        <v>2</v>
      </c>
      <c r="E150" t="s">
        <v>57</v>
      </c>
      <c r="F150">
        <v>12</v>
      </c>
      <c r="G150" t="s">
        <v>372</v>
      </c>
      <c r="H150">
        <v>15</v>
      </c>
      <c r="I150" t="s">
        <v>83</v>
      </c>
      <c r="J150" t="s">
        <v>309</v>
      </c>
      <c r="K150" t="s">
        <v>344</v>
      </c>
      <c r="L150" t="s">
        <v>214</v>
      </c>
    </row>
    <row r="151" spans="1:12" x14ac:dyDescent="0.25">
      <c r="A151" t="s">
        <v>213</v>
      </c>
      <c r="B151">
        <v>179</v>
      </c>
      <c r="C151" t="s">
        <v>27</v>
      </c>
      <c r="D151">
        <v>3</v>
      </c>
      <c r="E151" t="s">
        <v>57</v>
      </c>
      <c r="G151" t="s">
        <v>372</v>
      </c>
      <c r="I151" t="s">
        <v>83</v>
      </c>
      <c r="J151" t="s">
        <v>309</v>
      </c>
      <c r="K151" t="s">
        <v>344</v>
      </c>
      <c r="L151" t="s">
        <v>214</v>
      </c>
    </row>
    <row r="152" spans="1:12" x14ac:dyDescent="0.25">
      <c r="A152" t="s">
        <v>213</v>
      </c>
      <c r="B152">
        <v>183</v>
      </c>
      <c r="C152" t="s">
        <v>12</v>
      </c>
      <c r="D152">
        <v>1</v>
      </c>
      <c r="E152" t="s">
        <v>14</v>
      </c>
      <c r="F152">
        <v>15</v>
      </c>
      <c r="G152" t="s">
        <v>372</v>
      </c>
      <c r="H152">
        <v>8</v>
      </c>
      <c r="I152" t="s">
        <v>43</v>
      </c>
      <c r="J152" t="s">
        <v>300</v>
      </c>
      <c r="K152" t="s">
        <v>345</v>
      </c>
      <c r="L152" t="s">
        <v>214</v>
      </c>
    </row>
    <row r="153" spans="1:12" x14ac:dyDescent="0.25">
      <c r="A153" t="s">
        <v>213</v>
      </c>
      <c r="B153">
        <v>184</v>
      </c>
      <c r="C153" t="s">
        <v>12</v>
      </c>
      <c r="D153">
        <v>2</v>
      </c>
      <c r="E153" t="s">
        <v>14</v>
      </c>
      <c r="F153">
        <v>15</v>
      </c>
      <c r="G153" t="s">
        <v>372</v>
      </c>
      <c r="H153">
        <v>12</v>
      </c>
      <c r="I153" t="s">
        <v>43</v>
      </c>
      <c r="J153" t="s">
        <v>300</v>
      </c>
      <c r="K153" t="s">
        <v>345</v>
      </c>
      <c r="L153" t="s">
        <v>214</v>
      </c>
    </row>
    <row r="154" spans="1:12" x14ac:dyDescent="0.25">
      <c r="A154" t="s">
        <v>213</v>
      </c>
      <c r="B154">
        <v>185</v>
      </c>
      <c r="C154" t="s">
        <v>12</v>
      </c>
      <c r="D154">
        <v>3</v>
      </c>
      <c r="E154" t="s">
        <v>14</v>
      </c>
      <c r="G154" t="s">
        <v>372</v>
      </c>
      <c r="I154" t="s">
        <v>43</v>
      </c>
      <c r="J154" t="s">
        <v>300</v>
      </c>
      <c r="K154" t="s">
        <v>345</v>
      </c>
      <c r="L154" t="s">
        <v>214</v>
      </c>
    </row>
    <row r="155" spans="1:12" x14ac:dyDescent="0.25">
      <c r="A155" t="s">
        <v>213</v>
      </c>
      <c r="B155">
        <v>186</v>
      </c>
      <c r="C155" t="s">
        <v>18</v>
      </c>
      <c r="D155">
        <v>1</v>
      </c>
      <c r="E155" t="s">
        <v>14</v>
      </c>
      <c r="F155">
        <v>15</v>
      </c>
      <c r="G155" t="s">
        <v>372</v>
      </c>
      <c r="H155">
        <v>11</v>
      </c>
      <c r="I155" t="s">
        <v>43</v>
      </c>
      <c r="J155" t="s">
        <v>302</v>
      </c>
      <c r="K155" t="s">
        <v>347</v>
      </c>
      <c r="L155" t="s">
        <v>214</v>
      </c>
    </row>
    <row r="156" spans="1:12" x14ac:dyDescent="0.25">
      <c r="A156" t="s">
        <v>213</v>
      </c>
      <c r="B156">
        <v>187</v>
      </c>
      <c r="C156" t="s">
        <v>18</v>
      </c>
      <c r="D156">
        <v>2</v>
      </c>
      <c r="E156" t="s">
        <v>14</v>
      </c>
      <c r="F156">
        <v>15</v>
      </c>
      <c r="G156" t="s">
        <v>372</v>
      </c>
      <c r="H156">
        <v>12</v>
      </c>
      <c r="I156" t="s">
        <v>43</v>
      </c>
      <c r="J156" t="s">
        <v>302</v>
      </c>
      <c r="K156" t="s">
        <v>347</v>
      </c>
      <c r="L156" t="s">
        <v>214</v>
      </c>
    </row>
    <row r="157" spans="1:12" x14ac:dyDescent="0.25">
      <c r="A157" t="s">
        <v>213</v>
      </c>
      <c r="B157">
        <v>188</v>
      </c>
      <c r="C157" t="s">
        <v>18</v>
      </c>
      <c r="D157">
        <v>3</v>
      </c>
      <c r="E157" t="s">
        <v>14</v>
      </c>
      <c r="G157" t="s">
        <v>372</v>
      </c>
      <c r="I157" t="s">
        <v>43</v>
      </c>
      <c r="J157" t="s">
        <v>302</v>
      </c>
      <c r="K157" t="s">
        <v>347</v>
      </c>
      <c r="L157" t="s">
        <v>214</v>
      </c>
    </row>
    <row r="158" spans="1:12" x14ac:dyDescent="0.25">
      <c r="A158" t="s">
        <v>213</v>
      </c>
      <c r="B158">
        <v>189</v>
      </c>
      <c r="C158" t="s">
        <v>21</v>
      </c>
      <c r="D158">
        <v>1</v>
      </c>
      <c r="E158" t="s">
        <v>14</v>
      </c>
      <c r="F158">
        <v>15</v>
      </c>
      <c r="G158" t="s">
        <v>372</v>
      </c>
      <c r="H158">
        <v>10</v>
      </c>
      <c r="I158" t="s">
        <v>43</v>
      </c>
      <c r="J158" t="s">
        <v>304</v>
      </c>
      <c r="K158" t="s">
        <v>349</v>
      </c>
      <c r="L158" t="s">
        <v>214</v>
      </c>
    </row>
    <row r="159" spans="1:12" x14ac:dyDescent="0.25">
      <c r="A159" t="s">
        <v>213</v>
      </c>
      <c r="B159">
        <v>190</v>
      </c>
      <c r="C159" t="s">
        <v>21</v>
      </c>
      <c r="D159">
        <v>2</v>
      </c>
      <c r="E159" t="s">
        <v>14</v>
      </c>
      <c r="F159">
        <v>15</v>
      </c>
      <c r="G159" t="s">
        <v>372</v>
      </c>
      <c r="H159">
        <v>13</v>
      </c>
      <c r="I159" t="s">
        <v>43</v>
      </c>
      <c r="J159" t="s">
        <v>304</v>
      </c>
      <c r="K159" t="s">
        <v>349</v>
      </c>
      <c r="L159" t="s">
        <v>214</v>
      </c>
    </row>
    <row r="160" spans="1:12" x14ac:dyDescent="0.25">
      <c r="A160" t="s">
        <v>213</v>
      </c>
      <c r="B160">
        <v>191</v>
      </c>
      <c r="C160" t="s">
        <v>21</v>
      </c>
      <c r="D160">
        <v>3</v>
      </c>
      <c r="E160" t="s">
        <v>14</v>
      </c>
      <c r="G160" t="s">
        <v>372</v>
      </c>
      <c r="I160" t="s">
        <v>43</v>
      </c>
      <c r="J160" t="s">
        <v>304</v>
      </c>
      <c r="K160" t="s">
        <v>349</v>
      </c>
      <c r="L160" t="s">
        <v>214</v>
      </c>
    </row>
    <row r="161" spans="1:12" x14ac:dyDescent="0.25">
      <c r="A161" t="s">
        <v>213</v>
      </c>
      <c r="B161">
        <v>192</v>
      </c>
      <c r="C161" t="s">
        <v>24</v>
      </c>
      <c r="D161">
        <v>1</v>
      </c>
      <c r="E161" t="s">
        <v>14</v>
      </c>
      <c r="F161">
        <v>15</v>
      </c>
      <c r="G161" t="s">
        <v>372</v>
      </c>
      <c r="H161">
        <v>12</v>
      </c>
      <c r="I161" t="s">
        <v>43</v>
      </c>
      <c r="J161" t="s">
        <v>306</v>
      </c>
      <c r="K161" t="s">
        <v>351</v>
      </c>
      <c r="L161" t="s">
        <v>214</v>
      </c>
    </row>
    <row r="162" spans="1:12" x14ac:dyDescent="0.25">
      <c r="A162" t="s">
        <v>213</v>
      </c>
      <c r="B162">
        <v>193</v>
      </c>
      <c r="C162" t="s">
        <v>24</v>
      </c>
      <c r="D162">
        <v>2</v>
      </c>
      <c r="E162" t="s">
        <v>14</v>
      </c>
      <c r="F162">
        <v>16</v>
      </c>
      <c r="G162" t="s">
        <v>372</v>
      </c>
      <c r="H162">
        <v>14</v>
      </c>
      <c r="I162" t="s">
        <v>43</v>
      </c>
      <c r="J162" t="s">
        <v>306</v>
      </c>
      <c r="K162" t="s">
        <v>351</v>
      </c>
      <c r="L162" t="s">
        <v>214</v>
      </c>
    </row>
    <row r="163" spans="1:12" x14ac:dyDescent="0.25">
      <c r="A163" t="s">
        <v>213</v>
      </c>
      <c r="B163">
        <v>194</v>
      </c>
      <c r="C163" t="s">
        <v>24</v>
      </c>
      <c r="D163">
        <v>3</v>
      </c>
      <c r="E163" t="s">
        <v>14</v>
      </c>
      <c r="G163" t="s">
        <v>372</v>
      </c>
      <c r="I163" t="s">
        <v>43</v>
      </c>
      <c r="J163" t="s">
        <v>306</v>
      </c>
      <c r="K163" t="s">
        <v>351</v>
      </c>
      <c r="L163" t="s">
        <v>214</v>
      </c>
    </row>
    <row r="164" spans="1:12" x14ac:dyDescent="0.25">
      <c r="A164" t="s">
        <v>213</v>
      </c>
      <c r="B164">
        <v>195</v>
      </c>
      <c r="C164" t="s">
        <v>27</v>
      </c>
      <c r="D164">
        <v>1</v>
      </c>
      <c r="E164" t="s">
        <v>14</v>
      </c>
      <c r="G164" t="s">
        <v>372</v>
      </c>
      <c r="I164" t="s">
        <v>43</v>
      </c>
      <c r="J164" t="s">
        <v>308</v>
      </c>
      <c r="L164" t="s">
        <v>214</v>
      </c>
    </row>
    <row r="165" spans="1:12" x14ac:dyDescent="0.25">
      <c r="A165" t="s">
        <v>213</v>
      </c>
      <c r="B165">
        <v>196</v>
      </c>
      <c r="C165" t="s">
        <v>27</v>
      </c>
      <c r="D165">
        <v>2</v>
      </c>
      <c r="E165" t="s">
        <v>14</v>
      </c>
      <c r="G165" t="s">
        <v>372</v>
      </c>
      <c r="I165" t="s">
        <v>43</v>
      </c>
      <c r="J165" t="s">
        <v>308</v>
      </c>
      <c r="L165" t="s">
        <v>214</v>
      </c>
    </row>
    <row r="166" spans="1:12" x14ac:dyDescent="0.25">
      <c r="A166" t="s">
        <v>213</v>
      </c>
      <c r="B166">
        <v>197</v>
      </c>
      <c r="C166" t="s">
        <v>27</v>
      </c>
      <c r="D166">
        <v>3</v>
      </c>
      <c r="E166" t="s">
        <v>14</v>
      </c>
      <c r="G166" t="s">
        <v>372</v>
      </c>
      <c r="I166" t="s">
        <v>43</v>
      </c>
      <c r="J166" t="s">
        <v>308</v>
      </c>
      <c r="L166" t="s">
        <v>214</v>
      </c>
    </row>
    <row r="167" spans="1:12" x14ac:dyDescent="0.25">
      <c r="A167" t="s">
        <v>213</v>
      </c>
      <c r="B167">
        <v>201</v>
      </c>
      <c r="C167" t="s">
        <v>12</v>
      </c>
      <c r="D167">
        <v>1</v>
      </c>
      <c r="E167" t="s">
        <v>181</v>
      </c>
      <c r="F167">
        <v>15</v>
      </c>
      <c r="G167" t="s">
        <v>372</v>
      </c>
      <c r="H167">
        <v>11</v>
      </c>
      <c r="I167" t="s">
        <v>56</v>
      </c>
      <c r="J167" t="s">
        <v>291</v>
      </c>
      <c r="K167" t="s">
        <v>319</v>
      </c>
      <c r="L167" t="s">
        <v>214</v>
      </c>
    </row>
    <row r="168" spans="1:12" x14ac:dyDescent="0.25">
      <c r="A168" t="s">
        <v>213</v>
      </c>
      <c r="B168">
        <v>202</v>
      </c>
      <c r="C168" t="s">
        <v>12</v>
      </c>
      <c r="D168">
        <v>2</v>
      </c>
      <c r="E168" t="s">
        <v>181</v>
      </c>
      <c r="F168">
        <v>15</v>
      </c>
      <c r="G168" t="s">
        <v>372</v>
      </c>
      <c r="H168">
        <v>11</v>
      </c>
      <c r="I168" t="s">
        <v>56</v>
      </c>
      <c r="J168" t="s">
        <v>291</v>
      </c>
      <c r="K168" t="s">
        <v>319</v>
      </c>
      <c r="L168" t="s">
        <v>214</v>
      </c>
    </row>
    <row r="169" spans="1:12" x14ac:dyDescent="0.25">
      <c r="A169" t="s">
        <v>213</v>
      </c>
      <c r="B169">
        <v>203</v>
      </c>
      <c r="C169" t="s">
        <v>12</v>
      </c>
      <c r="D169">
        <v>3</v>
      </c>
      <c r="E169" t="s">
        <v>181</v>
      </c>
      <c r="G169" t="s">
        <v>372</v>
      </c>
      <c r="I169" t="s">
        <v>56</v>
      </c>
      <c r="J169" t="s">
        <v>291</v>
      </c>
      <c r="K169" t="s">
        <v>319</v>
      </c>
      <c r="L169" t="s">
        <v>214</v>
      </c>
    </row>
    <row r="170" spans="1:12" x14ac:dyDescent="0.25">
      <c r="A170" t="s">
        <v>213</v>
      </c>
      <c r="B170">
        <v>204</v>
      </c>
      <c r="C170" t="s">
        <v>18</v>
      </c>
      <c r="D170">
        <v>1</v>
      </c>
      <c r="E170" t="s">
        <v>181</v>
      </c>
      <c r="F170">
        <v>15</v>
      </c>
      <c r="G170" t="s">
        <v>372</v>
      </c>
      <c r="H170">
        <v>8</v>
      </c>
      <c r="I170" t="s">
        <v>56</v>
      </c>
      <c r="J170" t="s">
        <v>293</v>
      </c>
      <c r="K170" t="s">
        <v>323</v>
      </c>
      <c r="L170" t="s">
        <v>214</v>
      </c>
    </row>
    <row r="171" spans="1:12" x14ac:dyDescent="0.25">
      <c r="A171" t="s">
        <v>213</v>
      </c>
      <c r="B171">
        <v>205</v>
      </c>
      <c r="C171" t="s">
        <v>18</v>
      </c>
      <c r="D171">
        <v>2</v>
      </c>
      <c r="E171" t="s">
        <v>181</v>
      </c>
      <c r="F171">
        <v>15</v>
      </c>
      <c r="G171" t="s">
        <v>372</v>
      </c>
      <c r="H171">
        <v>9</v>
      </c>
      <c r="I171" t="s">
        <v>56</v>
      </c>
      <c r="J171" t="s">
        <v>293</v>
      </c>
      <c r="K171" t="s">
        <v>323</v>
      </c>
      <c r="L171" t="s">
        <v>214</v>
      </c>
    </row>
    <row r="172" spans="1:12" x14ac:dyDescent="0.25">
      <c r="A172" t="s">
        <v>213</v>
      </c>
      <c r="B172">
        <v>206</v>
      </c>
      <c r="C172" t="s">
        <v>18</v>
      </c>
      <c r="D172">
        <v>3</v>
      </c>
      <c r="E172" t="s">
        <v>181</v>
      </c>
      <c r="G172" t="s">
        <v>372</v>
      </c>
      <c r="I172" t="s">
        <v>56</v>
      </c>
      <c r="J172" t="s">
        <v>293</v>
      </c>
      <c r="K172" t="s">
        <v>323</v>
      </c>
      <c r="L172" t="s">
        <v>214</v>
      </c>
    </row>
    <row r="173" spans="1:12" x14ac:dyDescent="0.25">
      <c r="A173" t="s">
        <v>213</v>
      </c>
      <c r="B173">
        <v>207</v>
      </c>
      <c r="C173" t="s">
        <v>21</v>
      </c>
      <c r="D173">
        <v>1</v>
      </c>
      <c r="E173" t="s">
        <v>181</v>
      </c>
      <c r="F173">
        <v>11</v>
      </c>
      <c r="G173" t="s">
        <v>372</v>
      </c>
      <c r="H173">
        <v>15</v>
      </c>
      <c r="I173" t="s">
        <v>56</v>
      </c>
      <c r="J173" t="s">
        <v>295</v>
      </c>
      <c r="K173" t="s">
        <v>325</v>
      </c>
      <c r="L173" t="s">
        <v>214</v>
      </c>
    </row>
    <row r="174" spans="1:12" x14ac:dyDescent="0.25">
      <c r="A174" t="s">
        <v>213</v>
      </c>
      <c r="B174">
        <v>208</v>
      </c>
      <c r="C174" t="s">
        <v>21</v>
      </c>
      <c r="D174">
        <v>2</v>
      </c>
      <c r="E174" t="s">
        <v>181</v>
      </c>
      <c r="F174">
        <v>15</v>
      </c>
      <c r="G174" t="s">
        <v>372</v>
      </c>
      <c r="H174">
        <v>13</v>
      </c>
      <c r="I174" t="s">
        <v>56</v>
      </c>
      <c r="J174" t="s">
        <v>295</v>
      </c>
      <c r="K174" t="s">
        <v>325</v>
      </c>
      <c r="L174" t="s">
        <v>214</v>
      </c>
    </row>
    <row r="175" spans="1:12" x14ac:dyDescent="0.25">
      <c r="A175" t="s">
        <v>213</v>
      </c>
      <c r="B175">
        <v>209</v>
      </c>
      <c r="C175" t="s">
        <v>21</v>
      </c>
      <c r="D175">
        <v>3</v>
      </c>
      <c r="E175" t="s">
        <v>181</v>
      </c>
      <c r="G175" t="s">
        <v>372</v>
      </c>
      <c r="I175" t="s">
        <v>56</v>
      </c>
      <c r="J175" t="s">
        <v>295</v>
      </c>
      <c r="K175" t="s">
        <v>325</v>
      </c>
      <c r="L175" t="s">
        <v>214</v>
      </c>
    </row>
    <row r="176" spans="1:12" x14ac:dyDescent="0.25">
      <c r="A176" t="s">
        <v>213</v>
      </c>
      <c r="B176">
        <v>210</v>
      </c>
      <c r="C176" t="s">
        <v>24</v>
      </c>
      <c r="D176">
        <v>1</v>
      </c>
      <c r="E176" t="s">
        <v>181</v>
      </c>
      <c r="F176">
        <v>15</v>
      </c>
      <c r="G176" t="s">
        <v>372</v>
      </c>
      <c r="H176">
        <v>10</v>
      </c>
      <c r="I176" t="s">
        <v>56</v>
      </c>
      <c r="J176" t="s">
        <v>297</v>
      </c>
      <c r="K176" t="s">
        <v>330</v>
      </c>
      <c r="L176" t="s">
        <v>214</v>
      </c>
    </row>
    <row r="177" spans="1:12" x14ac:dyDescent="0.25">
      <c r="A177" t="s">
        <v>213</v>
      </c>
      <c r="B177">
        <v>211</v>
      </c>
      <c r="C177" t="s">
        <v>24</v>
      </c>
      <c r="D177">
        <v>2</v>
      </c>
      <c r="E177" t="s">
        <v>181</v>
      </c>
      <c r="F177">
        <v>15</v>
      </c>
      <c r="G177" t="s">
        <v>372</v>
      </c>
      <c r="H177">
        <v>12</v>
      </c>
      <c r="I177" t="s">
        <v>56</v>
      </c>
      <c r="J177" t="s">
        <v>297</v>
      </c>
      <c r="K177" t="s">
        <v>330</v>
      </c>
      <c r="L177" t="s">
        <v>214</v>
      </c>
    </row>
    <row r="178" spans="1:12" x14ac:dyDescent="0.25">
      <c r="A178" t="s">
        <v>213</v>
      </c>
      <c r="B178">
        <v>212</v>
      </c>
      <c r="C178" t="s">
        <v>24</v>
      </c>
      <c r="D178">
        <v>3</v>
      </c>
      <c r="E178" t="s">
        <v>181</v>
      </c>
      <c r="G178" t="s">
        <v>372</v>
      </c>
      <c r="I178" t="s">
        <v>56</v>
      </c>
      <c r="J178" t="s">
        <v>297</v>
      </c>
      <c r="K178" t="s">
        <v>330</v>
      </c>
      <c r="L178" t="s">
        <v>214</v>
      </c>
    </row>
    <row r="179" spans="1:12" x14ac:dyDescent="0.25">
      <c r="A179" t="s">
        <v>213</v>
      </c>
      <c r="B179">
        <v>213</v>
      </c>
      <c r="C179" t="s">
        <v>27</v>
      </c>
      <c r="D179">
        <v>1</v>
      </c>
      <c r="E179" t="s">
        <v>181</v>
      </c>
      <c r="F179">
        <v>15</v>
      </c>
      <c r="G179" t="s">
        <v>372</v>
      </c>
      <c r="H179">
        <v>5</v>
      </c>
      <c r="I179" t="s">
        <v>56</v>
      </c>
      <c r="J179" t="s">
        <v>299</v>
      </c>
      <c r="K179" t="s">
        <v>333</v>
      </c>
      <c r="L179" t="s">
        <v>214</v>
      </c>
    </row>
    <row r="180" spans="1:12" x14ac:dyDescent="0.25">
      <c r="A180" t="s">
        <v>213</v>
      </c>
      <c r="B180">
        <v>214</v>
      </c>
      <c r="C180" t="s">
        <v>27</v>
      </c>
      <c r="D180">
        <v>2</v>
      </c>
      <c r="E180" t="s">
        <v>181</v>
      </c>
      <c r="F180">
        <v>15</v>
      </c>
      <c r="G180" t="s">
        <v>372</v>
      </c>
      <c r="H180">
        <v>6</v>
      </c>
      <c r="I180" t="s">
        <v>56</v>
      </c>
      <c r="J180" t="s">
        <v>299</v>
      </c>
      <c r="K180" t="s">
        <v>333</v>
      </c>
      <c r="L180" t="s">
        <v>214</v>
      </c>
    </row>
    <row r="181" spans="1:12" x14ac:dyDescent="0.25">
      <c r="A181" t="s">
        <v>213</v>
      </c>
      <c r="B181">
        <v>215</v>
      </c>
      <c r="C181" t="s">
        <v>27</v>
      </c>
      <c r="D181">
        <v>3</v>
      </c>
      <c r="E181" t="s">
        <v>181</v>
      </c>
      <c r="G181" t="s">
        <v>372</v>
      </c>
      <c r="I181" t="s">
        <v>56</v>
      </c>
      <c r="J181" t="s">
        <v>299</v>
      </c>
      <c r="K181" t="s">
        <v>333</v>
      </c>
      <c r="L181" t="s">
        <v>214</v>
      </c>
    </row>
    <row r="182" spans="1:12" x14ac:dyDescent="0.25">
      <c r="A182" t="s">
        <v>213</v>
      </c>
      <c r="B182">
        <v>219</v>
      </c>
      <c r="C182" t="s">
        <v>12</v>
      </c>
      <c r="D182">
        <v>1</v>
      </c>
      <c r="E182" t="s">
        <v>95</v>
      </c>
      <c r="F182">
        <v>15</v>
      </c>
      <c r="G182" t="s">
        <v>372</v>
      </c>
      <c r="H182">
        <v>12</v>
      </c>
      <c r="I182" t="s">
        <v>109</v>
      </c>
      <c r="J182" t="s">
        <v>285</v>
      </c>
      <c r="K182" t="s">
        <v>346</v>
      </c>
      <c r="L182" t="s">
        <v>214</v>
      </c>
    </row>
    <row r="183" spans="1:12" x14ac:dyDescent="0.25">
      <c r="A183" t="s">
        <v>213</v>
      </c>
      <c r="B183">
        <v>220</v>
      </c>
      <c r="C183" t="s">
        <v>12</v>
      </c>
      <c r="D183">
        <v>2</v>
      </c>
      <c r="E183" t="s">
        <v>95</v>
      </c>
      <c r="F183">
        <v>14</v>
      </c>
      <c r="G183" t="s">
        <v>372</v>
      </c>
      <c r="H183">
        <v>13</v>
      </c>
      <c r="I183" t="s">
        <v>109</v>
      </c>
      <c r="J183" t="s">
        <v>285</v>
      </c>
      <c r="K183" t="s">
        <v>346</v>
      </c>
      <c r="L183" t="s">
        <v>214</v>
      </c>
    </row>
    <row r="184" spans="1:12" x14ac:dyDescent="0.25">
      <c r="A184" t="s">
        <v>213</v>
      </c>
      <c r="B184">
        <v>221</v>
      </c>
      <c r="C184" t="s">
        <v>12</v>
      </c>
      <c r="D184">
        <v>3</v>
      </c>
      <c r="E184" t="s">
        <v>95</v>
      </c>
      <c r="G184" t="s">
        <v>372</v>
      </c>
      <c r="I184" t="s">
        <v>109</v>
      </c>
      <c r="J184" t="s">
        <v>285</v>
      </c>
      <c r="K184" t="s">
        <v>346</v>
      </c>
      <c r="L184" t="s">
        <v>214</v>
      </c>
    </row>
    <row r="185" spans="1:12" x14ac:dyDescent="0.25">
      <c r="A185" t="s">
        <v>213</v>
      </c>
      <c r="B185">
        <v>222</v>
      </c>
      <c r="C185" t="s">
        <v>18</v>
      </c>
      <c r="D185">
        <v>1</v>
      </c>
      <c r="E185" t="s">
        <v>95</v>
      </c>
      <c r="F185">
        <v>15</v>
      </c>
      <c r="G185" t="s">
        <v>372</v>
      </c>
      <c r="H185">
        <v>11</v>
      </c>
      <c r="I185" t="s">
        <v>109</v>
      </c>
      <c r="J185" t="s">
        <v>286</v>
      </c>
      <c r="K185" t="s">
        <v>348</v>
      </c>
      <c r="L185" t="s">
        <v>214</v>
      </c>
    </row>
    <row r="186" spans="1:12" x14ac:dyDescent="0.25">
      <c r="A186" t="s">
        <v>213</v>
      </c>
      <c r="B186">
        <v>223</v>
      </c>
      <c r="C186" t="s">
        <v>18</v>
      </c>
      <c r="D186">
        <v>2</v>
      </c>
      <c r="E186" t="s">
        <v>95</v>
      </c>
      <c r="F186">
        <v>15</v>
      </c>
      <c r="G186" t="s">
        <v>372</v>
      </c>
      <c r="H186">
        <v>9</v>
      </c>
      <c r="I186" t="s">
        <v>109</v>
      </c>
      <c r="J186" t="s">
        <v>286</v>
      </c>
      <c r="K186" t="s">
        <v>348</v>
      </c>
      <c r="L186" t="s">
        <v>214</v>
      </c>
    </row>
    <row r="187" spans="1:12" x14ac:dyDescent="0.25">
      <c r="A187" t="s">
        <v>213</v>
      </c>
      <c r="B187">
        <v>224</v>
      </c>
      <c r="C187" t="s">
        <v>18</v>
      </c>
      <c r="D187">
        <v>3</v>
      </c>
      <c r="E187" t="s">
        <v>95</v>
      </c>
      <c r="G187" t="s">
        <v>372</v>
      </c>
      <c r="I187" t="s">
        <v>109</v>
      </c>
      <c r="J187" t="s">
        <v>286</v>
      </c>
      <c r="K187" t="s">
        <v>348</v>
      </c>
      <c r="L187" t="s">
        <v>214</v>
      </c>
    </row>
    <row r="188" spans="1:12" x14ac:dyDescent="0.25">
      <c r="A188" t="s">
        <v>213</v>
      </c>
      <c r="B188">
        <v>225</v>
      </c>
      <c r="C188" t="s">
        <v>21</v>
      </c>
      <c r="D188">
        <v>1</v>
      </c>
      <c r="E188" t="s">
        <v>95</v>
      </c>
      <c r="F188">
        <v>15</v>
      </c>
      <c r="G188" t="s">
        <v>372</v>
      </c>
      <c r="H188">
        <v>10</v>
      </c>
      <c r="I188" t="s">
        <v>109</v>
      </c>
      <c r="J188" t="s">
        <v>287</v>
      </c>
      <c r="K188" t="s">
        <v>350</v>
      </c>
      <c r="L188" t="s">
        <v>214</v>
      </c>
    </row>
    <row r="189" spans="1:12" x14ac:dyDescent="0.25">
      <c r="A189" t="s">
        <v>213</v>
      </c>
      <c r="B189">
        <v>226</v>
      </c>
      <c r="C189" t="s">
        <v>21</v>
      </c>
      <c r="D189">
        <v>2</v>
      </c>
      <c r="E189" t="s">
        <v>95</v>
      </c>
      <c r="F189">
        <v>15</v>
      </c>
      <c r="G189" t="s">
        <v>372</v>
      </c>
      <c r="H189">
        <v>13</v>
      </c>
      <c r="I189" t="s">
        <v>109</v>
      </c>
      <c r="J189" t="s">
        <v>287</v>
      </c>
      <c r="K189" t="s">
        <v>350</v>
      </c>
      <c r="L189" t="s">
        <v>214</v>
      </c>
    </row>
    <row r="190" spans="1:12" x14ac:dyDescent="0.25">
      <c r="A190" t="s">
        <v>213</v>
      </c>
      <c r="B190">
        <v>227</v>
      </c>
      <c r="C190" t="s">
        <v>21</v>
      </c>
      <c r="D190">
        <v>3</v>
      </c>
      <c r="E190" t="s">
        <v>95</v>
      </c>
      <c r="G190" t="s">
        <v>372</v>
      </c>
      <c r="I190" t="s">
        <v>109</v>
      </c>
      <c r="J190" t="s">
        <v>287</v>
      </c>
      <c r="K190" t="s">
        <v>350</v>
      </c>
      <c r="L190" t="s">
        <v>214</v>
      </c>
    </row>
    <row r="191" spans="1:12" x14ac:dyDescent="0.25">
      <c r="A191" t="s">
        <v>213</v>
      </c>
      <c r="B191">
        <v>228</v>
      </c>
      <c r="C191" t="s">
        <v>24</v>
      </c>
      <c r="D191">
        <v>1</v>
      </c>
      <c r="E191" t="s">
        <v>95</v>
      </c>
      <c r="F191">
        <v>15</v>
      </c>
      <c r="G191" t="s">
        <v>372</v>
      </c>
      <c r="H191">
        <v>11</v>
      </c>
      <c r="I191" t="s">
        <v>109</v>
      </c>
      <c r="J191" t="s">
        <v>288</v>
      </c>
      <c r="K191" t="s">
        <v>352</v>
      </c>
      <c r="L191" t="s">
        <v>214</v>
      </c>
    </row>
    <row r="192" spans="1:12" x14ac:dyDescent="0.25">
      <c r="A192" t="s">
        <v>213</v>
      </c>
      <c r="B192">
        <v>229</v>
      </c>
      <c r="C192" t="s">
        <v>24</v>
      </c>
      <c r="D192">
        <v>2</v>
      </c>
      <c r="E192" t="s">
        <v>95</v>
      </c>
      <c r="F192">
        <v>15</v>
      </c>
      <c r="G192" t="s">
        <v>372</v>
      </c>
      <c r="H192">
        <v>7</v>
      </c>
      <c r="I192" t="s">
        <v>109</v>
      </c>
      <c r="J192" t="s">
        <v>288</v>
      </c>
      <c r="K192" t="s">
        <v>352</v>
      </c>
      <c r="L192" t="s">
        <v>214</v>
      </c>
    </row>
    <row r="193" spans="1:12" x14ac:dyDescent="0.25">
      <c r="A193" t="s">
        <v>213</v>
      </c>
      <c r="B193">
        <v>230</v>
      </c>
      <c r="C193" t="s">
        <v>24</v>
      </c>
      <c r="D193">
        <v>3</v>
      </c>
      <c r="E193" t="s">
        <v>95</v>
      </c>
      <c r="G193" t="s">
        <v>372</v>
      </c>
      <c r="I193" t="s">
        <v>109</v>
      </c>
      <c r="J193" t="s">
        <v>288</v>
      </c>
      <c r="K193" t="s">
        <v>352</v>
      </c>
      <c r="L193" t="s">
        <v>214</v>
      </c>
    </row>
    <row r="194" spans="1:12" x14ac:dyDescent="0.25">
      <c r="A194" t="s">
        <v>213</v>
      </c>
      <c r="B194">
        <v>231</v>
      </c>
      <c r="C194" t="s">
        <v>27</v>
      </c>
      <c r="D194">
        <v>1</v>
      </c>
      <c r="E194" t="s">
        <v>95</v>
      </c>
      <c r="F194">
        <v>15</v>
      </c>
      <c r="G194" t="s">
        <v>372</v>
      </c>
      <c r="H194">
        <v>9</v>
      </c>
      <c r="I194" t="s">
        <v>109</v>
      </c>
      <c r="J194" t="s">
        <v>289</v>
      </c>
      <c r="K194" t="s">
        <v>353</v>
      </c>
      <c r="L194" t="s">
        <v>214</v>
      </c>
    </row>
    <row r="195" spans="1:12" x14ac:dyDescent="0.25">
      <c r="A195" t="s">
        <v>213</v>
      </c>
      <c r="B195">
        <v>232</v>
      </c>
      <c r="C195" t="s">
        <v>27</v>
      </c>
      <c r="D195">
        <v>2</v>
      </c>
      <c r="E195" t="s">
        <v>95</v>
      </c>
      <c r="F195">
        <v>15</v>
      </c>
      <c r="G195" t="s">
        <v>372</v>
      </c>
      <c r="H195">
        <v>12</v>
      </c>
      <c r="I195" t="s">
        <v>109</v>
      </c>
      <c r="J195" t="s">
        <v>289</v>
      </c>
      <c r="K195" t="s">
        <v>353</v>
      </c>
      <c r="L195" t="s">
        <v>214</v>
      </c>
    </row>
    <row r="196" spans="1:12" x14ac:dyDescent="0.25">
      <c r="A196" t="s">
        <v>213</v>
      </c>
      <c r="B196">
        <v>233</v>
      </c>
      <c r="C196" t="s">
        <v>27</v>
      </c>
      <c r="D196">
        <v>3</v>
      </c>
      <c r="E196" t="s">
        <v>95</v>
      </c>
      <c r="G196" t="s">
        <v>372</v>
      </c>
      <c r="I196" t="s">
        <v>109</v>
      </c>
      <c r="J196" t="s">
        <v>289</v>
      </c>
      <c r="K196" t="s">
        <v>353</v>
      </c>
      <c r="L196" t="s">
        <v>214</v>
      </c>
    </row>
    <row r="197" spans="1:12" x14ac:dyDescent="0.25">
      <c r="A197" t="s">
        <v>213</v>
      </c>
      <c r="B197">
        <v>237</v>
      </c>
      <c r="C197" t="s">
        <v>12</v>
      </c>
      <c r="D197">
        <v>1</v>
      </c>
      <c r="E197" t="s">
        <v>182</v>
      </c>
      <c r="F197">
        <v>9</v>
      </c>
      <c r="G197" t="s">
        <v>372</v>
      </c>
      <c r="H197">
        <v>15</v>
      </c>
      <c r="I197" t="s">
        <v>44</v>
      </c>
      <c r="J197" t="s">
        <v>271</v>
      </c>
      <c r="K197" t="s">
        <v>317</v>
      </c>
      <c r="L197" t="s">
        <v>214</v>
      </c>
    </row>
    <row r="198" spans="1:12" x14ac:dyDescent="0.25">
      <c r="A198" t="s">
        <v>213</v>
      </c>
      <c r="B198">
        <v>238</v>
      </c>
      <c r="C198" t="s">
        <v>12</v>
      </c>
      <c r="D198">
        <v>2</v>
      </c>
      <c r="E198" t="s">
        <v>182</v>
      </c>
      <c r="F198">
        <v>15</v>
      </c>
      <c r="G198" t="s">
        <v>372</v>
      </c>
      <c r="H198">
        <v>11</v>
      </c>
      <c r="I198" t="s">
        <v>44</v>
      </c>
      <c r="J198" t="s">
        <v>271</v>
      </c>
      <c r="K198" t="s">
        <v>317</v>
      </c>
      <c r="L198" t="s">
        <v>214</v>
      </c>
    </row>
    <row r="199" spans="1:12" x14ac:dyDescent="0.25">
      <c r="A199" t="s">
        <v>213</v>
      </c>
      <c r="B199">
        <v>239</v>
      </c>
      <c r="C199" t="s">
        <v>12</v>
      </c>
      <c r="D199">
        <v>3</v>
      </c>
      <c r="E199" t="s">
        <v>182</v>
      </c>
      <c r="G199" t="s">
        <v>372</v>
      </c>
      <c r="I199" t="s">
        <v>44</v>
      </c>
      <c r="J199" t="s">
        <v>271</v>
      </c>
      <c r="K199" t="s">
        <v>317</v>
      </c>
      <c r="L199" t="s">
        <v>214</v>
      </c>
    </row>
    <row r="200" spans="1:12" x14ac:dyDescent="0.25">
      <c r="A200" t="s">
        <v>213</v>
      </c>
      <c r="B200">
        <v>240</v>
      </c>
      <c r="C200" t="s">
        <v>18</v>
      </c>
      <c r="D200">
        <v>1</v>
      </c>
      <c r="E200" t="s">
        <v>182</v>
      </c>
      <c r="F200">
        <v>15</v>
      </c>
      <c r="G200" t="s">
        <v>372</v>
      </c>
      <c r="H200">
        <v>12</v>
      </c>
      <c r="I200" t="s">
        <v>44</v>
      </c>
      <c r="J200" t="s">
        <v>274</v>
      </c>
      <c r="K200" t="s">
        <v>322</v>
      </c>
      <c r="L200" t="s">
        <v>214</v>
      </c>
    </row>
    <row r="201" spans="1:12" x14ac:dyDescent="0.25">
      <c r="A201" t="s">
        <v>213</v>
      </c>
      <c r="B201">
        <v>241</v>
      </c>
      <c r="C201" t="s">
        <v>18</v>
      </c>
      <c r="D201">
        <v>2</v>
      </c>
      <c r="E201" t="s">
        <v>182</v>
      </c>
      <c r="F201">
        <v>15</v>
      </c>
      <c r="G201" t="s">
        <v>372</v>
      </c>
      <c r="H201">
        <v>10</v>
      </c>
      <c r="I201" t="s">
        <v>44</v>
      </c>
      <c r="J201" t="s">
        <v>274</v>
      </c>
      <c r="K201" t="s">
        <v>322</v>
      </c>
      <c r="L201" t="s">
        <v>214</v>
      </c>
    </row>
    <row r="202" spans="1:12" x14ac:dyDescent="0.25">
      <c r="A202" t="s">
        <v>213</v>
      </c>
      <c r="B202">
        <v>242</v>
      </c>
      <c r="C202" t="s">
        <v>18</v>
      </c>
      <c r="D202">
        <v>3</v>
      </c>
      <c r="E202" t="s">
        <v>182</v>
      </c>
      <c r="G202" t="s">
        <v>372</v>
      </c>
      <c r="I202" t="s">
        <v>44</v>
      </c>
      <c r="J202" t="s">
        <v>274</v>
      </c>
      <c r="K202" t="s">
        <v>322</v>
      </c>
      <c r="L202" t="s">
        <v>214</v>
      </c>
    </row>
    <row r="203" spans="1:12" x14ac:dyDescent="0.25">
      <c r="A203" t="s">
        <v>213</v>
      </c>
      <c r="B203">
        <v>243</v>
      </c>
      <c r="C203" t="s">
        <v>21</v>
      </c>
      <c r="D203">
        <v>1</v>
      </c>
      <c r="E203" t="s">
        <v>182</v>
      </c>
      <c r="F203">
        <v>15</v>
      </c>
      <c r="G203" t="s">
        <v>372</v>
      </c>
      <c r="H203">
        <v>7</v>
      </c>
      <c r="I203" t="s">
        <v>44</v>
      </c>
      <c r="J203" t="s">
        <v>277</v>
      </c>
      <c r="K203" t="s">
        <v>327</v>
      </c>
      <c r="L203" t="s">
        <v>214</v>
      </c>
    </row>
    <row r="204" spans="1:12" x14ac:dyDescent="0.25">
      <c r="A204" t="s">
        <v>213</v>
      </c>
      <c r="B204">
        <v>244</v>
      </c>
      <c r="C204" t="s">
        <v>21</v>
      </c>
      <c r="D204">
        <v>2</v>
      </c>
      <c r="E204" t="s">
        <v>182</v>
      </c>
      <c r="F204">
        <v>15</v>
      </c>
      <c r="G204" t="s">
        <v>372</v>
      </c>
      <c r="H204">
        <v>11</v>
      </c>
      <c r="I204" t="s">
        <v>44</v>
      </c>
      <c r="J204" t="s">
        <v>277</v>
      </c>
      <c r="K204" t="s">
        <v>327</v>
      </c>
      <c r="L204" t="s">
        <v>214</v>
      </c>
    </row>
    <row r="205" spans="1:12" x14ac:dyDescent="0.25">
      <c r="A205" t="s">
        <v>213</v>
      </c>
      <c r="B205">
        <v>245</v>
      </c>
      <c r="C205" t="s">
        <v>21</v>
      </c>
      <c r="D205">
        <v>3</v>
      </c>
      <c r="E205" t="s">
        <v>182</v>
      </c>
      <c r="G205" t="s">
        <v>372</v>
      </c>
      <c r="I205" t="s">
        <v>44</v>
      </c>
      <c r="J205" t="s">
        <v>277</v>
      </c>
      <c r="K205" t="s">
        <v>327</v>
      </c>
      <c r="L205" t="s">
        <v>214</v>
      </c>
    </row>
    <row r="206" spans="1:12" x14ac:dyDescent="0.25">
      <c r="A206" t="s">
        <v>213</v>
      </c>
      <c r="B206">
        <v>246</v>
      </c>
      <c r="C206" t="s">
        <v>24</v>
      </c>
      <c r="D206">
        <v>1</v>
      </c>
      <c r="E206" t="s">
        <v>182</v>
      </c>
      <c r="F206">
        <v>15</v>
      </c>
      <c r="G206" t="s">
        <v>372</v>
      </c>
      <c r="H206">
        <v>5</v>
      </c>
      <c r="I206" t="s">
        <v>44</v>
      </c>
      <c r="J206" t="s">
        <v>280</v>
      </c>
      <c r="K206" t="s">
        <v>331</v>
      </c>
      <c r="L206" t="s">
        <v>214</v>
      </c>
    </row>
    <row r="207" spans="1:12" x14ac:dyDescent="0.25">
      <c r="A207" t="s">
        <v>213</v>
      </c>
      <c r="B207">
        <v>247</v>
      </c>
      <c r="C207" t="s">
        <v>24</v>
      </c>
      <c r="D207">
        <v>2</v>
      </c>
      <c r="E207" t="s">
        <v>182</v>
      </c>
      <c r="F207">
        <v>11</v>
      </c>
      <c r="G207" t="s">
        <v>372</v>
      </c>
      <c r="H207">
        <v>10</v>
      </c>
      <c r="I207" t="s">
        <v>44</v>
      </c>
      <c r="J207" t="s">
        <v>280</v>
      </c>
      <c r="K207" t="s">
        <v>331</v>
      </c>
      <c r="L207" t="s">
        <v>214</v>
      </c>
    </row>
    <row r="208" spans="1:12" x14ac:dyDescent="0.25">
      <c r="A208" t="s">
        <v>213</v>
      </c>
      <c r="B208">
        <v>248</v>
      </c>
      <c r="C208" t="s">
        <v>24</v>
      </c>
      <c r="D208">
        <v>3</v>
      </c>
      <c r="E208" t="s">
        <v>182</v>
      </c>
      <c r="G208" t="s">
        <v>372</v>
      </c>
      <c r="I208" t="s">
        <v>44</v>
      </c>
      <c r="J208" t="s">
        <v>280</v>
      </c>
      <c r="K208" t="s">
        <v>331</v>
      </c>
      <c r="L208" t="s">
        <v>214</v>
      </c>
    </row>
    <row r="209" spans="1:12" x14ac:dyDescent="0.25">
      <c r="A209" t="s">
        <v>213</v>
      </c>
      <c r="B209">
        <v>249</v>
      </c>
      <c r="C209" t="s">
        <v>27</v>
      </c>
      <c r="D209">
        <v>1</v>
      </c>
      <c r="E209" t="s">
        <v>182</v>
      </c>
      <c r="F209">
        <v>15</v>
      </c>
      <c r="G209" t="s">
        <v>372</v>
      </c>
      <c r="H209">
        <v>3</v>
      </c>
      <c r="I209" t="s">
        <v>44</v>
      </c>
      <c r="J209" t="s">
        <v>283</v>
      </c>
      <c r="K209" t="s">
        <v>334</v>
      </c>
      <c r="L209" t="s">
        <v>214</v>
      </c>
    </row>
    <row r="210" spans="1:12" x14ac:dyDescent="0.25">
      <c r="A210" t="s">
        <v>213</v>
      </c>
      <c r="B210">
        <v>250</v>
      </c>
      <c r="C210" t="s">
        <v>27</v>
      </c>
      <c r="D210">
        <v>2</v>
      </c>
      <c r="E210" t="s">
        <v>182</v>
      </c>
      <c r="F210">
        <v>15</v>
      </c>
      <c r="G210" t="s">
        <v>372</v>
      </c>
      <c r="H210">
        <v>2</v>
      </c>
      <c r="I210" t="s">
        <v>44</v>
      </c>
      <c r="J210" t="s">
        <v>283</v>
      </c>
      <c r="K210" t="s">
        <v>334</v>
      </c>
      <c r="L210" t="s">
        <v>214</v>
      </c>
    </row>
    <row r="211" spans="1:12" x14ac:dyDescent="0.25">
      <c r="A211" t="s">
        <v>213</v>
      </c>
      <c r="B211">
        <v>251</v>
      </c>
      <c r="C211" t="s">
        <v>27</v>
      </c>
      <c r="D211">
        <v>3</v>
      </c>
      <c r="E211" t="s">
        <v>182</v>
      </c>
      <c r="G211" t="s">
        <v>372</v>
      </c>
      <c r="I211" t="s">
        <v>44</v>
      </c>
      <c r="J211" t="s">
        <v>283</v>
      </c>
      <c r="K211" t="s">
        <v>334</v>
      </c>
      <c r="L211" t="s">
        <v>214</v>
      </c>
    </row>
    <row r="212" spans="1:12" x14ac:dyDescent="0.25">
      <c r="A212" t="s">
        <v>213</v>
      </c>
      <c r="B212">
        <v>255</v>
      </c>
      <c r="C212" t="s">
        <v>12</v>
      </c>
      <c r="D212">
        <v>1</v>
      </c>
      <c r="E212" t="s">
        <v>169</v>
      </c>
      <c r="F212">
        <v>15</v>
      </c>
      <c r="G212" t="s">
        <v>372</v>
      </c>
      <c r="H212">
        <v>7</v>
      </c>
      <c r="I212" t="s">
        <v>13</v>
      </c>
      <c r="J212" t="s">
        <v>256</v>
      </c>
      <c r="K212" t="s">
        <v>335</v>
      </c>
      <c r="L212" t="s">
        <v>214</v>
      </c>
    </row>
    <row r="213" spans="1:12" x14ac:dyDescent="0.25">
      <c r="A213" t="s">
        <v>213</v>
      </c>
      <c r="B213">
        <v>256</v>
      </c>
      <c r="C213" t="s">
        <v>12</v>
      </c>
      <c r="D213">
        <v>2</v>
      </c>
      <c r="E213" t="s">
        <v>169</v>
      </c>
      <c r="F213">
        <v>15</v>
      </c>
      <c r="G213" t="s">
        <v>372</v>
      </c>
      <c r="H213">
        <v>8</v>
      </c>
      <c r="I213" t="s">
        <v>13</v>
      </c>
      <c r="J213" t="s">
        <v>256</v>
      </c>
      <c r="K213" t="s">
        <v>335</v>
      </c>
      <c r="L213" t="s">
        <v>214</v>
      </c>
    </row>
    <row r="214" spans="1:12" x14ac:dyDescent="0.25">
      <c r="A214" t="s">
        <v>213</v>
      </c>
      <c r="B214">
        <v>257</v>
      </c>
      <c r="C214" t="s">
        <v>12</v>
      </c>
      <c r="D214">
        <v>3</v>
      </c>
      <c r="E214" t="s">
        <v>169</v>
      </c>
      <c r="G214" t="s">
        <v>372</v>
      </c>
      <c r="I214" t="s">
        <v>13</v>
      </c>
      <c r="J214" t="s">
        <v>256</v>
      </c>
      <c r="K214" t="s">
        <v>335</v>
      </c>
      <c r="L214" t="s">
        <v>214</v>
      </c>
    </row>
    <row r="215" spans="1:12" x14ac:dyDescent="0.25">
      <c r="A215" t="s">
        <v>213</v>
      </c>
      <c r="B215">
        <v>258</v>
      </c>
      <c r="C215" t="s">
        <v>18</v>
      </c>
      <c r="D215">
        <v>1</v>
      </c>
      <c r="E215" t="s">
        <v>169</v>
      </c>
      <c r="F215">
        <v>15</v>
      </c>
      <c r="G215" t="s">
        <v>372</v>
      </c>
      <c r="H215">
        <v>8</v>
      </c>
      <c r="I215" t="s">
        <v>13</v>
      </c>
      <c r="J215" t="s">
        <v>259</v>
      </c>
      <c r="K215" t="s">
        <v>337</v>
      </c>
      <c r="L215" t="s">
        <v>214</v>
      </c>
    </row>
    <row r="216" spans="1:12" x14ac:dyDescent="0.25">
      <c r="A216" t="s">
        <v>213</v>
      </c>
      <c r="B216">
        <v>259</v>
      </c>
      <c r="C216" t="s">
        <v>18</v>
      </c>
      <c r="D216">
        <v>2</v>
      </c>
      <c r="E216" t="s">
        <v>169</v>
      </c>
      <c r="G216" t="s">
        <v>372</v>
      </c>
      <c r="I216" t="s">
        <v>13</v>
      </c>
      <c r="J216" t="s">
        <v>259</v>
      </c>
      <c r="K216" t="s">
        <v>337</v>
      </c>
      <c r="L216" t="s">
        <v>214</v>
      </c>
    </row>
    <row r="217" spans="1:12" x14ac:dyDescent="0.25">
      <c r="A217" t="s">
        <v>213</v>
      </c>
      <c r="B217">
        <v>260</v>
      </c>
      <c r="C217" t="s">
        <v>18</v>
      </c>
      <c r="D217">
        <v>3</v>
      </c>
      <c r="E217" t="s">
        <v>169</v>
      </c>
      <c r="G217" t="s">
        <v>372</v>
      </c>
      <c r="I217" t="s">
        <v>13</v>
      </c>
      <c r="J217" t="s">
        <v>259</v>
      </c>
      <c r="K217" t="s">
        <v>337</v>
      </c>
      <c r="L217" t="s">
        <v>214</v>
      </c>
    </row>
    <row r="218" spans="1:12" x14ac:dyDescent="0.25">
      <c r="A218" t="s">
        <v>213</v>
      </c>
      <c r="B218">
        <v>261</v>
      </c>
      <c r="C218" t="s">
        <v>21</v>
      </c>
      <c r="D218">
        <v>1</v>
      </c>
      <c r="E218" t="s">
        <v>169</v>
      </c>
      <c r="F218">
        <v>15</v>
      </c>
      <c r="G218" t="s">
        <v>372</v>
      </c>
      <c r="H218">
        <v>13</v>
      </c>
      <c r="I218" t="s">
        <v>13</v>
      </c>
      <c r="J218" t="s">
        <v>262</v>
      </c>
      <c r="K218" t="s">
        <v>339</v>
      </c>
      <c r="L218" t="s">
        <v>214</v>
      </c>
    </row>
    <row r="219" spans="1:12" x14ac:dyDescent="0.25">
      <c r="A219" t="s">
        <v>213</v>
      </c>
      <c r="B219">
        <v>262</v>
      </c>
      <c r="C219" t="s">
        <v>21</v>
      </c>
      <c r="D219">
        <v>2</v>
      </c>
      <c r="E219" t="s">
        <v>169</v>
      </c>
      <c r="F219">
        <v>11</v>
      </c>
      <c r="G219" t="s">
        <v>372</v>
      </c>
      <c r="H219">
        <v>15</v>
      </c>
      <c r="I219" t="s">
        <v>13</v>
      </c>
      <c r="J219" t="s">
        <v>262</v>
      </c>
      <c r="K219" t="s">
        <v>339</v>
      </c>
      <c r="L219" t="s">
        <v>214</v>
      </c>
    </row>
    <row r="220" spans="1:12" x14ac:dyDescent="0.25">
      <c r="A220" t="s">
        <v>213</v>
      </c>
      <c r="B220">
        <v>263</v>
      </c>
      <c r="C220" t="s">
        <v>21</v>
      </c>
      <c r="D220">
        <v>3</v>
      </c>
      <c r="E220" t="s">
        <v>169</v>
      </c>
      <c r="G220" t="s">
        <v>372</v>
      </c>
      <c r="I220" t="s">
        <v>13</v>
      </c>
      <c r="J220" t="s">
        <v>262</v>
      </c>
      <c r="K220" t="s">
        <v>339</v>
      </c>
      <c r="L220" t="s">
        <v>214</v>
      </c>
    </row>
    <row r="221" spans="1:12" x14ac:dyDescent="0.25">
      <c r="A221" t="s">
        <v>213</v>
      </c>
      <c r="B221">
        <v>264</v>
      </c>
      <c r="C221" t="s">
        <v>24</v>
      </c>
      <c r="D221">
        <v>1</v>
      </c>
      <c r="E221" t="s">
        <v>169</v>
      </c>
      <c r="F221">
        <v>15</v>
      </c>
      <c r="G221" t="s">
        <v>372</v>
      </c>
      <c r="H221">
        <v>11</v>
      </c>
      <c r="I221" t="s">
        <v>13</v>
      </c>
      <c r="J221" t="s">
        <v>265</v>
      </c>
      <c r="K221" t="s">
        <v>341</v>
      </c>
      <c r="L221" t="s">
        <v>214</v>
      </c>
    </row>
    <row r="222" spans="1:12" x14ac:dyDescent="0.25">
      <c r="A222" t="s">
        <v>213</v>
      </c>
      <c r="B222">
        <v>265</v>
      </c>
      <c r="C222" t="s">
        <v>24</v>
      </c>
      <c r="D222">
        <v>2</v>
      </c>
      <c r="E222" t="s">
        <v>169</v>
      </c>
      <c r="F222">
        <v>15</v>
      </c>
      <c r="G222" t="s">
        <v>372</v>
      </c>
      <c r="H222">
        <v>8</v>
      </c>
      <c r="I222" t="s">
        <v>13</v>
      </c>
      <c r="J222" t="s">
        <v>265</v>
      </c>
      <c r="K222" t="s">
        <v>341</v>
      </c>
      <c r="L222" t="s">
        <v>214</v>
      </c>
    </row>
    <row r="223" spans="1:12" x14ac:dyDescent="0.25">
      <c r="A223" t="s">
        <v>213</v>
      </c>
      <c r="B223">
        <v>266</v>
      </c>
      <c r="C223" t="s">
        <v>24</v>
      </c>
      <c r="D223">
        <v>3</v>
      </c>
      <c r="E223" t="s">
        <v>169</v>
      </c>
      <c r="G223" t="s">
        <v>372</v>
      </c>
      <c r="I223" t="s">
        <v>13</v>
      </c>
      <c r="J223" t="s">
        <v>265</v>
      </c>
      <c r="K223" t="s">
        <v>341</v>
      </c>
      <c r="L223" t="s">
        <v>214</v>
      </c>
    </row>
    <row r="224" spans="1:12" x14ac:dyDescent="0.25">
      <c r="A224" t="s">
        <v>213</v>
      </c>
      <c r="B224">
        <v>267</v>
      </c>
      <c r="C224" t="s">
        <v>27</v>
      </c>
      <c r="D224">
        <v>1</v>
      </c>
      <c r="E224" t="s">
        <v>169</v>
      </c>
      <c r="F224">
        <v>15</v>
      </c>
      <c r="G224" t="s">
        <v>372</v>
      </c>
      <c r="H224">
        <v>6</v>
      </c>
      <c r="I224" t="s">
        <v>13</v>
      </c>
      <c r="J224" t="s">
        <v>269</v>
      </c>
      <c r="K224" t="s">
        <v>343</v>
      </c>
      <c r="L224" t="s">
        <v>214</v>
      </c>
    </row>
    <row r="225" spans="1:12" x14ac:dyDescent="0.25">
      <c r="A225" t="s">
        <v>213</v>
      </c>
      <c r="B225">
        <v>268</v>
      </c>
      <c r="C225" t="s">
        <v>27</v>
      </c>
      <c r="D225">
        <v>2</v>
      </c>
      <c r="E225" t="s">
        <v>169</v>
      </c>
      <c r="F225">
        <v>15</v>
      </c>
      <c r="G225" t="s">
        <v>372</v>
      </c>
      <c r="H225">
        <v>6</v>
      </c>
      <c r="I225" t="s">
        <v>13</v>
      </c>
      <c r="J225" t="s">
        <v>269</v>
      </c>
      <c r="K225" t="s">
        <v>343</v>
      </c>
      <c r="L225" t="s">
        <v>214</v>
      </c>
    </row>
    <row r="226" spans="1:12" x14ac:dyDescent="0.25">
      <c r="A226" t="s">
        <v>213</v>
      </c>
      <c r="B226">
        <v>269</v>
      </c>
      <c r="C226" t="s">
        <v>27</v>
      </c>
      <c r="D226">
        <v>3</v>
      </c>
      <c r="E226" t="s">
        <v>169</v>
      </c>
      <c r="G226" t="s">
        <v>372</v>
      </c>
      <c r="I226" t="s">
        <v>13</v>
      </c>
      <c r="J226" t="s">
        <v>269</v>
      </c>
      <c r="K226" t="s">
        <v>343</v>
      </c>
      <c r="L226" t="s">
        <v>214</v>
      </c>
    </row>
    <row r="227" spans="1:12" x14ac:dyDescent="0.25">
      <c r="A227" t="s">
        <v>213</v>
      </c>
      <c r="B227">
        <v>273</v>
      </c>
      <c r="C227" t="s">
        <v>12</v>
      </c>
      <c r="D227">
        <v>1</v>
      </c>
      <c r="E227" t="s">
        <v>96</v>
      </c>
      <c r="F227">
        <v>15</v>
      </c>
      <c r="G227" t="s">
        <v>372</v>
      </c>
      <c r="H227">
        <v>13</v>
      </c>
      <c r="I227" t="s">
        <v>82</v>
      </c>
      <c r="J227" t="s">
        <v>231</v>
      </c>
      <c r="K227" t="s">
        <v>316</v>
      </c>
      <c r="L227" t="s">
        <v>214</v>
      </c>
    </row>
    <row r="228" spans="1:12" x14ac:dyDescent="0.25">
      <c r="A228" t="s">
        <v>213</v>
      </c>
      <c r="B228">
        <v>274</v>
      </c>
      <c r="C228" t="s">
        <v>12</v>
      </c>
      <c r="D228">
        <v>2</v>
      </c>
      <c r="E228" t="s">
        <v>96</v>
      </c>
      <c r="F228">
        <v>9</v>
      </c>
      <c r="G228" t="s">
        <v>372</v>
      </c>
      <c r="H228">
        <v>15</v>
      </c>
      <c r="I228" t="s">
        <v>82</v>
      </c>
      <c r="J228" t="s">
        <v>231</v>
      </c>
      <c r="K228" t="s">
        <v>316</v>
      </c>
      <c r="L228" t="s">
        <v>214</v>
      </c>
    </row>
    <row r="229" spans="1:12" x14ac:dyDescent="0.25">
      <c r="A229" t="s">
        <v>213</v>
      </c>
      <c r="B229">
        <v>275</v>
      </c>
      <c r="C229" t="s">
        <v>12</v>
      </c>
      <c r="D229">
        <v>3</v>
      </c>
      <c r="E229" t="s">
        <v>96</v>
      </c>
      <c r="F229">
        <v>7</v>
      </c>
      <c r="G229" t="s">
        <v>372</v>
      </c>
      <c r="H229">
        <v>10</v>
      </c>
      <c r="I229" t="s">
        <v>82</v>
      </c>
      <c r="J229" t="s">
        <v>231</v>
      </c>
      <c r="K229" t="s">
        <v>316</v>
      </c>
      <c r="L229" t="s">
        <v>214</v>
      </c>
    </row>
    <row r="230" spans="1:12" x14ac:dyDescent="0.25">
      <c r="A230" t="s">
        <v>213</v>
      </c>
      <c r="B230">
        <v>276</v>
      </c>
      <c r="C230" t="s">
        <v>18</v>
      </c>
      <c r="D230">
        <v>1</v>
      </c>
      <c r="E230" t="s">
        <v>96</v>
      </c>
      <c r="F230">
        <v>15</v>
      </c>
      <c r="G230" t="s">
        <v>372</v>
      </c>
      <c r="H230">
        <v>9</v>
      </c>
      <c r="I230" t="s">
        <v>82</v>
      </c>
      <c r="J230" t="s">
        <v>236</v>
      </c>
      <c r="K230" t="s">
        <v>321</v>
      </c>
      <c r="L230" t="s">
        <v>214</v>
      </c>
    </row>
    <row r="231" spans="1:12" x14ac:dyDescent="0.25">
      <c r="A231" t="s">
        <v>213</v>
      </c>
      <c r="B231">
        <v>277</v>
      </c>
      <c r="C231" t="s">
        <v>18</v>
      </c>
      <c r="D231">
        <v>2</v>
      </c>
      <c r="E231" t="s">
        <v>96</v>
      </c>
      <c r="F231">
        <v>15</v>
      </c>
      <c r="G231" t="s">
        <v>372</v>
      </c>
      <c r="H231">
        <v>9</v>
      </c>
      <c r="I231" t="s">
        <v>82</v>
      </c>
      <c r="J231" t="s">
        <v>236</v>
      </c>
      <c r="K231" t="s">
        <v>321</v>
      </c>
      <c r="L231" t="s">
        <v>214</v>
      </c>
    </row>
    <row r="232" spans="1:12" x14ac:dyDescent="0.25">
      <c r="A232" t="s">
        <v>213</v>
      </c>
      <c r="B232">
        <v>278</v>
      </c>
      <c r="C232" t="s">
        <v>18</v>
      </c>
      <c r="D232">
        <v>3</v>
      </c>
      <c r="E232" t="s">
        <v>96</v>
      </c>
      <c r="G232" t="s">
        <v>372</v>
      </c>
      <c r="I232" t="s">
        <v>82</v>
      </c>
      <c r="J232" t="s">
        <v>236</v>
      </c>
      <c r="K232" t="s">
        <v>321</v>
      </c>
      <c r="L232" t="s">
        <v>214</v>
      </c>
    </row>
    <row r="233" spans="1:12" x14ac:dyDescent="0.25">
      <c r="A233" t="s">
        <v>213</v>
      </c>
      <c r="B233">
        <v>279</v>
      </c>
      <c r="C233" t="s">
        <v>21</v>
      </c>
      <c r="D233">
        <v>1</v>
      </c>
      <c r="E233" t="s">
        <v>96</v>
      </c>
      <c r="F233">
        <v>21</v>
      </c>
      <c r="G233" t="s">
        <v>372</v>
      </c>
      <c r="H233">
        <v>19</v>
      </c>
      <c r="I233" t="s">
        <v>82</v>
      </c>
      <c r="J233" t="s">
        <v>241</v>
      </c>
      <c r="K233" t="s">
        <v>324</v>
      </c>
      <c r="L233" t="s">
        <v>214</v>
      </c>
    </row>
    <row r="234" spans="1:12" x14ac:dyDescent="0.25">
      <c r="A234" t="s">
        <v>213</v>
      </c>
      <c r="B234">
        <v>280</v>
      </c>
      <c r="C234" t="s">
        <v>21</v>
      </c>
      <c r="D234">
        <v>2</v>
      </c>
      <c r="E234" t="s">
        <v>96</v>
      </c>
      <c r="F234">
        <v>17</v>
      </c>
      <c r="G234" t="s">
        <v>372</v>
      </c>
      <c r="H234">
        <v>15</v>
      </c>
      <c r="I234" t="s">
        <v>82</v>
      </c>
      <c r="J234" t="s">
        <v>241</v>
      </c>
      <c r="K234" t="s">
        <v>324</v>
      </c>
      <c r="L234" t="s">
        <v>214</v>
      </c>
    </row>
    <row r="235" spans="1:12" x14ac:dyDescent="0.25">
      <c r="A235" t="s">
        <v>213</v>
      </c>
      <c r="B235">
        <v>281</v>
      </c>
      <c r="C235" t="s">
        <v>21</v>
      </c>
      <c r="D235">
        <v>3</v>
      </c>
      <c r="E235" t="s">
        <v>96</v>
      </c>
      <c r="G235" t="s">
        <v>372</v>
      </c>
      <c r="I235" t="s">
        <v>82</v>
      </c>
      <c r="J235" t="s">
        <v>241</v>
      </c>
      <c r="K235" t="s">
        <v>324</v>
      </c>
      <c r="L235" t="s">
        <v>214</v>
      </c>
    </row>
    <row r="236" spans="1:12" x14ac:dyDescent="0.25">
      <c r="A236" t="s">
        <v>213</v>
      </c>
      <c r="B236">
        <v>282</v>
      </c>
      <c r="C236" t="s">
        <v>24</v>
      </c>
      <c r="D236">
        <v>1</v>
      </c>
      <c r="E236" t="s">
        <v>96</v>
      </c>
      <c r="F236">
        <v>10</v>
      </c>
      <c r="G236" t="s">
        <v>372</v>
      </c>
      <c r="H236">
        <v>15</v>
      </c>
      <c r="I236" t="s">
        <v>82</v>
      </c>
      <c r="J236" t="s">
        <v>246</v>
      </c>
      <c r="K236" t="s">
        <v>329</v>
      </c>
      <c r="L236" t="s">
        <v>214</v>
      </c>
    </row>
    <row r="237" spans="1:12" x14ac:dyDescent="0.25">
      <c r="A237" t="s">
        <v>213</v>
      </c>
      <c r="B237">
        <v>283</v>
      </c>
      <c r="C237" t="s">
        <v>24</v>
      </c>
      <c r="D237">
        <v>2</v>
      </c>
      <c r="E237" t="s">
        <v>96</v>
      </c>
      <c r="F237">
        <v>15</v>
      </c>
      <c r="G237" t="s">
        <v>372</v>
      </c>
      <c r="H237">
        <v>13</v>
      </c>
      <c r="I237" t="s">
        <v>82</v>
      </c>
      <c r="J237" t="s">
        <v>246</v>
      </c>
      <c r="K237" t="s">
        <v>329</v>
      </c>
      <c r="L237" t="s">
        <v>214</v>
      </c>
    </row>
    <row r="238" spans="1:12" x14ac:dyDescent="0.25">
      <c r="A238" t="s">
        <v>213</v>
      </c>
      <c r="B238">
        <v>284</v>
      </c>
      <c r="C238" t="s">
        <v>24</v>
      </c>
      <c r="D238">
        <v>3</v>
      </c>
      <c r="E238" t="s">
        <v>96</v>
      </c>
      <c r="F238">
        <v>15</v>
      </c>
      <c r="G238" t="s">
        <v>372</v>
      </c>
      <c r="H238">
        <v>12</v>
      </c>
      <c r="I238" t="s">
        <v>82</v>
      </c>
      <c r="J238" t="s">
        <v>246</v>
      </c>
      <c r="K238" t="s">
        <v>329</v>
      </c>
      <c r="L238" t="s">
        <v>214</v>
      </c>
    </row>
    <row r="239" spans="1:12" x14ac:dyDescent="0.25">
      <c r="A239" t="s">
        <v>213</v>
      </c>
      <c r="B239">
        <v>285</v>
      </c>
      <c r="C239" t="s">
        <v>27</v>
      </c>
      <c r="D239">
        <v>1</v>
      </c>
      <c r="E239" t="s">
        <v>96</v>
      </c>
      <c r="F239">
        <v>12</v>
      </c>
      <c r="G239" t="s">
        <v>372</v>
      </c>
      <c r="H239">
        <v>15</v>
      </c>
      <c r="I239" t="s">
        <v>82</v>
      </c>
      <c r="J239" t="s">
        <v>251</v>
      </c>
      <c r="K239" t="s">
        <v>377</v>
      </c>
      <c r="L239" t="s">
        <v>214</v>
      </c>
    </row>
    <row r="240" spans="1:12" x14ac:dyDescent="0.25">
      <c r="A240" t="s">
        <v>213</v>
      </c>
      <c r="B240">
        <v>286</v>
      </c>
      <c r="C240" t="s">
        <v>27</v>
      </c>
      <c r="D240">
        <v>2</v>
      </c>
      <c r="E240" t="s">
        <v>96</v>
      </c>
      <c r="F240">
        <v>13</v>
      </c>
      <c r="G240" t="s">
        <v>372</v>
      </c>
      <c r="H240">
        <v>15</v>
      </c>
      <c r="I240" t="s">
        <v>82</v>
      </c>
      <c r="J240" t="s">
        <v>251</v>
      </c>
      <c r="K240" t="s">
        <v>377</v>
      </c>
      <c r="L240" t="s">
        <v>214</v>
      </c>
    </row>
    <row r="241" spans="1:12" x14ac:dyDescent="0.25">
      <c r="A241" t="s">
        <v>213</v>
      </c>
      <c r="B241">
        <v>287</v>
      </c>
      <c r="C241" t="s">
        <v>27</v>
      </c>
      <c r="D241">
        <v>3</v>
      </c>
      <c r="E241" t="s">
        <v>96</v>
      </c>
      <c r="G241" t="s">
        <v>372</v>
      </c>
      <c r="I241" t="s">
        <v>82</v>
      </c>
      <c r="J241" t="s">
        <v>251</v>
      </c>
      <c r="K241" t="s">
        <v>377</v>
      </c>
      <c r="L241" t="s">
        <v>214</v>
      </c>
    </row>
    <row r="242" spans="1:12" x14ac:dyDescent="0.25">
      <c r="A242" t="s">
        <v>207</v>
      </c>
      <c r="B242">
        <v>3</v>
      </c>
      <c r="C242" t="s">
        <v>12</v>
      </c>
      <c r="D242">
        <v>1</v>
      </c>
      <c r="E242" t="s">
        <v>195</v>
      </c>
      <c r="F242">
        <v>1</v>
      </c>
      <c r="G242" t="s">
        <v>372</v>
      </c>
      <c r="H242">
        <v>0</v>
      </c>
      <c r="I242" t="s">
        <v>96</v>
      </c>
      <c r="J242" t="s">
        <v>230</v>
      </c>
      <c r="K242" t="s">
        <v>231</v>
      </c>
      <c r="L242" t="s">
        <v>208</v>
      </c>
    </row>
    <row r="243" spans="1:12" x14ac:dyDescent="0.25">
      <c r="A243" t="s">
        <v>207</v>
      </c>
      <c r="B243">
        <v>4</v>
      </c>
      <c r="C243" t="s">
        <v>12</v>
      </c>
      <c r="D243">
        <v>2</v>
      </c>
      <c r="E243" t="s">
        <v>195</v>
      </c>
      <c r="F243">
        <v>1</v>
      </c>
      <c r="G243" t="s">
        <v>372</v>
      </c>
      <c r="H243">
        <v>0</v>
      </c>
      <c r="I243" t="s">
        <v>96</v>
      </c>
      <c r="J243" t="s">
        <v>230</v>
      </c>
      <c r="K243" t="s">
        <v>231</v>
      </c>
      <c r="L243" t="s">
        <v>208</v>
      </c>
    </row>
    <row r="244" spans="1:12" x14ac:dyDescent="0.25">
      <c r="A244" t="s">
        <v>207</v>
      </c>
      <c r="B244">
        <v>5</v>
      </c>
      <c r="C244" t="s">
        <v>12</v>
      </c>
      <c r="D244">
        <v>3</v>
      </c>
      <c r="E244" t="s">
        <v>195</v>
      </c>
      <c r="G244" t="s">
        <v>372</v>
      </c>
      <c r="I244" t="s">
        <v>96</v>
      </c>
      <c r="J244" t="s">
        <v>230</v>
      </c>
      <c r="K244" t="s">
        <v>231</v>
      </c>
      <c r="L244" t="s">
        <v>208</v>
      </c>
    </row>
    <row r="245" spans="1:12" x14ac:dyDescent="0.25">
      <c r="A245" t="s">
        <v>207</v>
      </c>
      <c r="B245">
        <v>6</v>
      </c>
      <c r="C245" t="s">
        <v>18</v>
      </c>
      <c r="D245">
        <v>1</v>
      </c>
      <c r="E245" t="s">
        <v>195</v>
      </c>
      <c r="F245">
        <v>1</v>
      </c>
      <c r="G245" t="s">
        <v>372</v>
      </c>
      <c r="H245">
        <v>0</v>
      </c>
      <c r="I245" t="s">
        <v>96</v>
      </c>
      <c r="J245" t="s">
        <v>235</v>
      </c>
      <c r="K245" t="s">
        <v>236</v>
      </c>
      <c r="L245" t="s">
        <v>208</v>
      </c>
    </row>
    <row r="246" spans="1:12" x14ac:dyDescent="0.25">
      <c r="A246" t="s">
        <v>207</v>
      </c>
      <c r="B246">
        <v>7</v>
      </c>
      <c r="C246" t="s">
        <v>18</v>
      </c>
      <c r="D246">
        <v>2</v>
      </c>
      <c r="E246" t="s">
        <v>195</v>
      </c>
      <c r="F246">
        <v>1</v>
      </c>
      <c r="G246" t="s">
        <v>372</v>
      </c>
      <c r="H246">
        <v>0</v>
      </c>
      <c r="I246" t="s">
        <v>96</v>
      </c>
      <c r="J246" t="s">
        <v>235</v>
      </c>
      <c r="K246" t="s">
        <v>236</v>
      </c>
      <c r="L246" t="s">
        <v>208</v>
      </c>
    </row>
    <row r="247" spans="1:12" x14ac:dyDescent="0.25">
      <c r="A247" t="s">
        <v>207</v>
      </c>
      <c r="B247">
        <v>8</v>
      </c>
      <c r="C247" t="s">
        <v>18</v>
      </c>
      <c r="D247">
        <v>3</v>
      </c>
      <c r="E247" t="s">
        <v>195</v>
      </c>
      <c r="G247" t="s">
        <v>372</v>
      </c>
      <c r="I247" t="s">
        <v>96</v>
      </c>
      <c r="J247" t="s">
        <v>235</v>
      </c>
      <c r="K247" t="s">
        <v>236</v>
      </c>
      <c r="L247" t="s">
        <v>208</v>
      </c>
    </row>
    <row r="248" spans="1:12" x14ac:dyDescent="0.25">
      <c r="A248" t="s">
        <v>207</v>
      </c>
      <c r="B248">
        <v>9</v>
      </c>
      <c r="C248" t="s">
        <v>21</v>
      </c>
      <c r="D248">
        <v>1</v>
      </c>
      <c r="E248" t="s">
        <v>195</v>
      </c>
      <c r="F248">
        <v>1</v>
      </c>
      <c r="G248" t="s">
        <v>372</v>
      </c>
      <c r="H248">
        <v>0</v>
      </c>
      <c r="I248" t="s">
        <v>96</v>
      </c>
      <c r="J248" t="s">
        <v>240</v>
      </c>
      <c r="K248" t="s">
        <v>241</v>
      </c>
      <c r="L248" t="s">
        <v>208</v>
      </c>
    </row>
    <row r="249" spans="1:12" x14ac:dyDescent="0.25">
      <c r="A249" t="s">
        <v>207</v>
      </c>
      <c r="B249">
        <v>10</v>
      </c>
      <c r="C249" t="s">
        <v>21</v>
      </c>
      <c r="D249">
        <v>2</v>
      </c>
      <c r="E249" t="s">
        <v>195</v>
      </c>
      <c r="F249">
        <v>1</v>
      </c>
      <c r="G249" t="s">
        <v>372</v>
      </c>
      <c r="H249">
        <v>0</v>
      </c>
      <c r="I249" t="s">
        <v>96</v>
      </c>
      <c r="J249" t="s">
        <v>240</v>
      </c>
      <c r="K249" t="s">
        <v>241</v>
      </c>
      <c r="L249" t="s">
        <v>208</v>
      </c>
    </row>
    <row r="250" spans="1:12" x14ac:dyDescent="0.25">
      <c r="A250" t="s">
        <v>207</v>
      </c>
      <c r="B250">
        <v>11</v>
      </c>
      <c r="C250" t="s">
        <v>21</v>
      </c>
      <c r="D250">
        <v>3</v>
      </c>
      <c r="E250" t="s">
        <v>195</v>
      </c>
      <c r="G250" t="s">
        <v>372</v>
      </c>
      <c r="I250" t="s">
        <v>96</v>
      </c>
      <c r="J250" t="s">
        <v>240</v>
      </c>
      <c r="K250" t="s">
        <v>241</v>
      </c>
      <c r="L250" t="s">
        <v>208</v>
      </c>
    </row>
    <row r="251" spans="1:12" x14ac:dyDescent="0.25">
      <c r="A251" t="s">
        <v>207</v>
      </c>
      <c r="B251">
        <v>12</v>
      </c>
      <c r="C251" t="s">
        <v>24</v>
      </c>
      <c r="D251">
        <v>1</v>
      </c>
      <c r="E251" t="s">
        <v>195</v>
      </c>
      <c r="F251">
        <v>1</v>
      </c>
      <c r="G251" t="s">
        <v>372</v>
      </c>
      <c r="H251">
        <v>0</v>
      </c>
      <c r="I251" t="s">
        <v>96</v>
      </c>
      <c r="J251" t="s">
        <v>245</v>
      </c>
      <c r="K251" t="s">
        <v>246</v>
      </c>
      <c r="L251" t="s">
        <v>208</v>
      </c>
    </row>
    <row r="252" spans="1:12" x14ac:dyDescent="0.25">
      <c r="A252" t="s">
        <v>207</v>
      </c>
      <c r="B252">
        <v>13</v>
      </c>
      <c r="C252" t="s">
        <v>24</v>
      </c>
      <c r="D252">
        <v>2</v>
      </c>
      <c r="E252" t="s">
        <v>195</v>
      </c>
      <c r="F252">
        <v>1</v>
      </c>
      <c r="G252" t="s">
        <v>372</v>
      </c>
      <c r="H252">
        <v>0</v>
      </c>
      <c r="I252" t="s">
        <v>96</v>
      </c>
      <c r="J252" t="s">
        <v>245</v>
      </c>
      <c r="K252" t="s">
        <v>246</v>
      </c>
      <c r="L252" t="s">
        <v>208</v>
      </c>
    </row>
    <row r="253" spans="1:12" x14ac:dyDescent="0.25">
      <c r="A253" t="s">
        <v>207</v>
      </c>
      <c r="B253">
        <v>14</v>
      </c>
      <c r="C253" t="s">
        <v>24</v>
      </c>
      <c r="D253">
        <v>3</v>
      </c>
      <c r="E253" t="s">
        <v>195</v>
      </c>
      <c r="G253" t="s">
        <v>372</v>
      </c>
      <c r="I253" t="s">
        <v>96</v>
      </c>
      <c r="J253" t="s">
        <v>245</v>
      </c>
      <c r="K253" t="s">
        <v>246</v>
      </c>
      <c r="L253" t="s">
        <v>208</v>
      </c>
    </row>
    <row r="254" spans="1:12" x14ac:dyDescent="0.25">
      <c r="A254" t="s">
        <v>207</v>
      </c>
      <c r="B254">
        <v>15</v>
      </c>
      <c r="C254" t="s">
        <v>27</v>
      </c>
      <c r="D254">
        <v>1</v>
      </c>
      <c r="E254" t="s">
        <v>195</v>
      </c>
      <c r="F254">
        <v>1</v>
      </c>
      <c r="G254" t="s">
        <v>372</v>
      </c>
      <c r="H254">
        <v>0</v>
      </c>
      <c r="I254" t="s">
        <v>96</v>
      </c>
      <c r="J254" t="s">
        <v>250</v>
      </c>
      <c r="K254" t="s">
        <v>251</v>
      </c>
      <c r="L254" t="s">
        <v>208</v>
      </c>
    </row>
    <row r="255" spans="1:12" x14ac:dyDescent="0.25">
      <c r="A255" t="s">
        <v>207</v>
      </c>
      <c r="B255">
        <v>16</v>
      </c>
      <c r="C255" t="s">
        <v>27</v>
      </c>
      <c r="D255">
        <v>2</v>
      </c>
      <c r="E255" t="s">
        <v>195</v>
      </c>
      <c r="F255">
        <v>1</v>
      </c>
      <c r="G255" t="s">
        <v>372</v>
      </c>
      <c r="H255">
        <v>0</v>
      </c>
      <c r="I255" t="s">
        <v>96</v>
      </c>
      <c r="J255" t="s">
        <v>250</v>
      </c>
      <c r="K255" t="s">
        <v>251</v>
      </c>
      <c r="L255" t="s">
        <v>208</v>
      </c>
    </row>
    <row r="256" spans="1:12" x14ac:dyDescent="0.25">
      <c r="A256" t="s">
        <v>207</v>
      </c>
      <c r="B256">
        <v>17</v>
      </c>
      <c r="C256" t="s">
        <v>27</v>
      </c>
      <c r="D256">
        <v>3</v>
      </c>
      <c r="E256" t="s">
        <v>195</v>
      </c>
      <c r="G256" t="s">
        <v>372</v>
      </c>
      <c r="I256" t="s">
        <v>96</v>
      </c>
      <c r="J256" t="s">
        <v>250</v>
      </c>
      <c r="K256" t="s">
        <v>251</v>
      </c>
      <c r="L256" t="s">
        <v>208</v>
      </c>
    </row>
    <row r="257" spans="1:12" x14ac:dyDescent="0.25">
      <c r="A257" t="s">
        <v>207</v>
      </c>
      <c r="B257">
        <v>21</v>
      </c>
      <c r="C257" t="s">
        <v>12</v>
      </c>
      <c r="D257">
        <v>1</v>
      </c>
      <c r="E257" t="s">
        <v>156</v>
      </c>
      <c r="F257">
        <v>15</v>
      </c>
      <c r="G257" t="s">
        <v>372</v>
      </c>
      <c r="H257">
        <v>12</v>
      </c>
      <c r="I257" t="s">
        <v>169</v>
      </c>
      <c r="J257" t="s">
        <v>255</v>
      </c>
      <c r="K257" t="s">
        <v>256</v>
      </c>
      <c r="L257" t="s">
        <v>208</v>
      </c>
    </row>
    <row r="258" spans="1:12" x14ac:dyDescent="0.25">
      <c r="A258" t="s">
        <v>207</v>
      </c>
      <c r="B258">
        <v>22</v>
      </c>
      <c r="C258" t="s">
        <v>12</v>
      </c>
      <c r="D258">
        <v>2</v>
      </c>
      <c r="E258" t="s">
        <v>156</v>
      </c>
      <c r="F258">
        <v>15</v>
      </c>
      <c r="G258" t="s">
        <v>372</v>
      </c>
      <c r="H258">
        <v>10</v>
      </c>
      <c r="I258" t="s">
        <v>169</v>
      </c>
      <c r="J258" t="s">
        <v>255</v>
      </c>
      <c r="K258" t="s">
        <v>256</v>
      </c>
      <c r="L258" t="s">
        <v>208</v>
      </c>
    </row>
    <row r="259" spans="1:12" x14ac:dyDescent="0.25">
      <c r="A259" t="s">
        <v>207</v>
      </c>
      <c r="B259">
        <v>23</v>
      </c>
      <c r="C259" t="s">
        <v>12</v>
      </c>
      <c r="D259">
        <v>3</v>
      </c>
      <c r="E259" t="s">
        <v>156</v>
      </c>
      <c r="G259" t="s">
        <v>372</v>
      </c>
      <c r="I259" t="s">
        <v>169</v>
      </c>
      <c r="J259" t="s">
        <v>255</v>
      </c>
      <c r="K259" t="s">
        <v>256</v>
      </c>
      <c r="L259" t="s">
        <v>208</v>
      </c>
    </row>
    <row r="260" spans="1:12" x14ac:dyDescent="0.25">
      <c r="A260" t="s">
        <v>207</v>
      </c>
      <c r="B260">
        <v>24</v>
      </c>
      <c r="C260" t="s">
        <v>18</v>
      </c>
      <c r="D260">
        <v>1</v>
      </c>
      <c r="E260" t="s">
        <v>156</v>
      </c>
      <c r="F260">
        <v>15</v>
      </c>
      <c r="G260" t="s">
        <v>372</v>
      </c>
      <c r="H260">
        <v>8</v>
      </c>
      <c r="I260" t="s">
        <v>169</v>
      </c>
      <c r="J260" t="s">
        <v>258</v>
      </c>
      <c r="K260" t="s">
        <v>259</v>
      </c>
      <c r="L260" t="s">
        <v>208</v>
      </c>
    </row>
    <row r="261" spans="1:12" x14ac:dyDescent="0.25">
      <c r="A261" t="s">
        <v>207</v>
      </c>
      <c r="B261">
        <v>25</v>
      </c>
      <c r="C261" t="s">
        <v>18</v>
      </c>
      <c r="D261">
        <v>2</v>
      </c>
      <c r="E261" t="s">
        <v>156</v>
      </c>
      <c r="F261">
        <v>15</v>
      </c>
      <c r="G261" t="s">
        <v>372</v>
      </c>
      <c r="H261">
        <v>7</v>
      </c>
      <c r="I261" t="s">
        <v>169</v>
      </c>
      <c r="J261" t="s">
        <v>258</v>
      </c>
      <c r="K261" t="s">
        <v>259</v>
      </c>
      <c r="L261" t="s">
        <v>208</v>
      </c>
    </row>
    <row r="262" spans="1:12" x14ac:dyDescent="0.25">
      <c r="A262" t="s">
        <v>207</v>
      </c>
      <c r="B262">
        <v>26</v>
      </c>
      <c r="C262" t="s">
        <v>18</v>
      </c>
      <c r="D262">
        <v>3</v>
      </c>
      <c r="E262" t="s">
        <v>156</v>
      </c>
      <c r="G262" t="s">
        <v>372</v>
      </c>
      <c r="I262" t="s">
        <v>169</v>
      </c>
      <c r="J262" t="s">
        <v>258</v>
      </c>
      <c r="K262" t="s">
        <v>259</v>
      </c>
      <c r="L262" t="s">
        <v>208</v>
      </c>
    </row>
    <row r="263" spans="1:12" x14ac:dyDescent="0.25">
      <c r="A263" t="s">
        <v>207</v>
      </c>
      <c r="B263">
        <v>27</v>
      </c>
      <c r="C263" t="s">
        <v>21</v>
      </c>
      <c r="D263">
        <v>1</v>
      </c>
      <c r="E263" t="s">
        <v>156</v>
      </c>
      <c r="F263">
        <v>15</v>
      </c>
      <c r="G263" t="s">
        <v>372</v>
      </c>
      <c r="H263">
        <v>5</v>
      </c>
      <c r="I263" t="s">
        <v>169</v>
      </c>
      <c r="J263" t="s">
        <v>261</v>
      </c>
      <c r="K263" t="s">
        <v>262</v>
      </c>
      <c r="L263" t="s">
        <v>208</v>
      </c>
    </row>
    <row r="264" spans="1:12" x14ac:dyDescent="0.25">
      <c r="A264" t="s">
        <v>207</v>
      </c>
      <c r="B264">
        <v>28</v>
      </c>
      <c r="C264" t="s">
        <v>21</v>
      </c>
      <c r="D264">
        <v>2</v>
      </c>
      <c r="E264" t="s">
        <v>156</v>
      </c>
      <c r="F264">
        <v>15</v>
      </c>
      <c r="G264" t="s">
        <v>372</v>
      </c>
      <c r="H264">
        <v>10</v>
      </c>
      <c r="I264" t="s">
        <v>169</v>
      </c>
      <c r="J264" t="s">
        <v>261</v>
      </c>
      <c r="K264" t="s">
        <v>262</v>
      </c>
      <c r="L264" t="s">
        <v>208</v>
      </c>
    </row>
    <row r="265" spans="1:12" x14ac:dyDescent="0.25">
      <c r="A265" t="s">
        <v>207</v>
      </c>
      <c r="B265">
        <v>29</v>
      </c>
      <c r="C265" t="s">
        <v>21</v>
      </c>
      <c r="D265">
        <v>3</v>
      </c>
      <c r="E265" t="s">
        <v>156</v>
      </c>
      <c r="G265" t="s">
        <v>372</v>
      </c>
      <c r="I265" t="s">
        <v>169</v>
      </c>
      <c r="J265" t="s">
        <v>261</v>
      </c>
      <c r="K265" t="s">
        <v>262</v>
      </c>
      <c r="L265" t="s">
        <v>208</v>
      </c>
    </row>
    <row r="266" spans="1:12" x14ac:dyDescent="0.25">
      <c r="A266" t="s">
        <v>207</v>
      </c>
      <c r="B266">
        <v>30</v>
      </c>
      <c r="C266" t="s">
        <v>24</v>
      </c>
      <c r="D266">
        <v>1</v>
      </c>
      <c r="E266" t="s">
        <v>156</v>
      </c>
      <c r="F266">
        <v>15</v>
      </c>
      <c r="G266" t="s">
        <v>372</v>
      </c>
      <c r="H266">
        <v>9</v>
      </c>
      <c r="I266" t="s">
        <v>169</v>
      </c>
      <c r="J266" t="s">
        <v>264</v>
      </c>
      <c r="K266" t="s">
        <v>265</v>
      </c>
      <c r="L266" t="s">
        <v>208</v>
      </c>
    </row>
    <row r="267" spans="1:12" x14ac:dyDescent="0.25">
      <c r="A267" t="s">
        <v>207</v>
      </c>
      <c r="B267">
        <v>31</v>
      </c>
      <c r="C267" t="s">
        <v>24</v>
      </c>
      <c r="D267">
        <v>2</v>
      </c>
      <c r="E267" t="s">
        <v>156</v>
      </c>
      <c r="F267">
        <v>15</v>
      </c>
      <c r="G267" t="s">
        <v>372</v>
      </c>
      <c r="H267">
        <v>9</v>
      </c>
      <c r="I267" t="s">
        <v>169</v>
      </c>
      <c r="J267" t="s">
        <v>264</v>
      </c>
      <c r="K267" t="s">
        <v>265</v>
      </c>
      <c r="L267" t="s">
        <v>208</v>
      </c>
    </row>
    <row r="268" spans="1:12" x14ac:dyDescent="0.25">
      <c r="A268" t="s">
        <v>207</v>
      </c>
      <c r="B268">
        <v>32</v>
      </c>
      <c r="C268" t="s">
        <v>24</v>
      </c>
      <c r="D268">
        <v>3</v>
      </c>
      <c r="E268" t="s">
        <v>156</v>
      </c>
      <c r="G268" t="s">
        <v>372</v>
      </c>
      <c r="I268" t="s">
        <v>169</v>
      </c>
      <c r="J268" t="s">
        <v>264</v>
      </c>
      <c r="K268" t="s">
        <v>265</v>
      </c>
      <c r="L268" t="s">
        <v>208</v>
      </c>
    </row>
    <row r="269" spans="1:12" x14ac:dyDescent="0.25">
      <c r="A269" t="s">
        <v>207</v>
      </c>
      <c r="B269">
        <v>33</v>
      </c>
      <c r="C269" t="s">
        <v>27</v>
      </c>
      <c r="D269">
        <v>1</v>
      </c>
      <c r="E269" t="s">
        <v>156</v>
      </c>
      <c r="F269">
        <v>10</v>
      </c>
      <c r="G269" t="s">
        <v>372</v>
      </c>
      <c r="H269">
        <v>17</v>
      </c>
      <c r="I269" t="s">
        <v>169</v>
      </c>
      <c r="J269" t="s">
        <v>267</v>
      </c>
      <c r="K269" t="s">
        <v>269</v>
      </c>
      <c r="L269" t="s">
        <v>208</v>
      </c>
    </row>
    <row r="270" spans="1:12" x14ac:dyDescent="0.25">
      <c r="A270" t="s">
        <v>207</v>
      </c>
      <c r="B270">
        <v>34</v>
      </c>
      <c r="C270" t="s">
        <v>27</v>
      </c>
      <c r="D270">
        <v>2</v>
      </c>
      <c r="E270" t="s">
        <v>156</v>
      </c>
      <c r="F270">
        <v>0</v>
      </c>
      <c r="G270" t="s">
        <v>372</v>
      </c>
      <c r="H270">
        <v>0</v>
      </c>
      <c r="I270" t="s">
        <v>169</v>
      </c>
      <c r="J270" t="s">
        <v>267</v>
      </c>
      <c r="K270" t="s">
        <v>269</v>
      </c>
      <c r="L270" t="s">
        <v>208</v>
      </c>
    </row>
    <row r="271" spans="1:12" x14ac:dyDescent="0.25">
      <c r="A271" t="s">
        <v>207</v>
      </c>
      <c r="B271">
        <v>35</v>
      </c>
      <c r="C271" t="s">
        <v>27</v>
      </c>
      <c r="D271">
        <v>3</v>
      </c>
      <c r="E271" t="s">
        <v>156</v>
      </c>
      <c r="G271" t="s">
        <v>372</v>
      </c>
      <c r="I271" t="s">
        <v>169</v>
      </c>
      <c r="J271" t="s">
        <v>267</v>
      </c>
      <c r="K271" t="s">
        <v>269</v>
      </c>
      <c r="L271" t="s">
        <v>208</v>
      </c>
    </row>
    <row r="272" spans="1:12" x14ac:dyDescent="0.25">
      <c r="A272" t="s">
        <v>207</v>
      </c>
      <c r="B272">
        <v>39</v>
      </c>
      <c r="C272" t="s">
        <v>12</v>
      </c>
      <c r="D272">
        <v>1</v>
      </c>
      <c r="E272" t="s">
        <v>194</v>
      </c>
      <c r="F272">
        <v>15</v>
      </c>
      <c r="G272" t="s">
        <v>372</v>
      </c>
      <c r="H272">
        <v>10</v>
      </c>
      <c r="I272" t="s">
        <v>182</v>
      </c>
      <c r="J272" t="s">
        <v>270</v>
      </c>
      <c r="K272" t="s">
        <v>271</v>
      </c>
      <c r="L272" t="s">
        <v>208</v>
      </c>
    </row>
    <row r="273" spans="1:12" x14ac:dyDescent="0.25">
      <c r="A273" t="s">
        <v>207</v>
      </c>
      <c r="B273">
        <v>40</v>
      </c>
      <c r="C273" t="s">
        <v>12</v>
      </c>
      <c r="D273">
        <v>2</v>
      </c>
      <c r="E273" t="s">
        <v>194</v>
      </c>
      <c r="F273">
        <v>15</v>
      </c>
      <c r="G273" t="s">
        <v>372</v>
      </c>
      <c r="H273">
        <v>7</v>
      </c>
      <c r="I273" t="s">
        <v>182</v>
      </c>
      <c r="J273" t="s">
        <v>270</v>
      </c>
      <c r="K273" t="s">
        <v>271</v>
      </c>
      <c r="L273" t="s">
        <v>208</v>
      </c>
    </row>
    <row r="274" spans="1:12" x14ac:dyDescent="0.25">
      <c r="A274" t="s">
        <v>207</v>
      </c>
      <c r="B274">
        <v>41</v>
      </c>
      <c r="C274" t="s">
        <v>12</v>
      </c>
      <c r="D274">
        <v>3</v>
      </c>
      <c r="E274" t="s">
        <v>194</v>
      </c>
      <c r="G274" t="s">
        <v>372</v>
      </c>
      <c r="I274" t="s">
        <v>182</v>
      </c>
      <c r="J274" t="s">
        <v>270</v>
      </c>
      <c r="K274" t="s">
        <v>271</v>
      </c>
      <c r="L274" t="s">
        <v>208</v>
      </c>
    </row>
    <row r="275" spans="1:12" x14ac:dyDescent="0.25">
      <c r="A275" t="s">
        <v>207</v>
      </c>
      <c r="B275">
        <v>42</v>
      </c>
      <c r="C275" t="s">
        <v>18</v>
      </c>
      <c r="D275">
        <v>1</v>
      </c>
      <c r="E275" t="s">
        <v>194</v>
      </c>
      <c r="F275">
        <v>17</v>
      </c>
      <c r="G275" t="s">
        <v>372</v>
      </c>
      <c r="H275">
        <v>15</v>
      </c>
      <c r="I275" t="s">
        <v>182</v>
      </c>
      <c r="J275" t="s">
        <v>273</v>
      </c>
      <c r="K275" t="s">
        <v>274</v>
      </c>
      <c r="L275" t="s">
        <v>208</v>
      </c>
    </row>
    <row r="276" spans="1:12" x14ac:dyDescent="0.25">
      <c r="A276" t="s">
        <v>207</v>
      </c>
      <c r="B276">
        <v>43</v>
      </c>
      <c r="C276" t="s">
        <v>18</v>
      </c>
      <c r="D276">
        <v>2</v>
      </c>
      <c r="E276" t="s">
        <v>194</v>
      </c>
      <c r="F276">
        <v>15</v>
      </c>
      <c r="G276" t="s">
        <v>372</v>
      </c>
      <c r="H276">
        <v>9</v>
      </c>
      <c r="I276" t="s">
        <v>182</v>
      </c>
      <c r="J276" t="s">
        <v>273</v>
      </c>
      <c r="K276" t="s">
        <v>274</v>
      </c>
      <c r="L276" t="s">
        <v>208</v>
      </c>
    </row>
    <row r="277" spans="1:12" x14ac:dyDescent="0.25">
      <c r="A277" t="s">
        <v>207</v>
      </c>
      <c r="B277">
        <v>44</v>
      </c>
      <c r="C277" t="s">
        <v>18</v>
      </c>
      <c r="D277">
        <v>3</v>
      </c>
      <c r="E277" t="s">
        <v>194</v>
      </c>
      <c r="G277" t="s">
        <v>372</v>
      </c>
      <c r="I277" t="s">
        <v>182</v>
      </c>
      <c r="J277" t="s">
        <v>273</v>
      </c>
      <c r="K277" t="s">
        <v>274</v>
      </c>
      <c r="L277" t="s">
        <v>208</v>
      </c>
    </row>
    <row r="278" spans="1:12" x14ac:dyDescent="0.25">
      <c r="A278" t="s">
        <v>207</v>
      </c>
      <c r="B278">
        <v>45</v>
      </c>
      <c r="C278" t="s">
        <v>21</v>
      </c>
      <c r="D278">
        <v>1</v>
      </c>
      <c r="E278" t="s">
        <v>194</v>
      </c>
      <c r="F278">
        <v>15</v>
      </c>
      <c r="G278" t="s">
        <v>372</v>
      </c>
      <c r="H278">
        <v>9</v>
      </c>
      <c r="I278" t="s">
        <v>182</v>
      </c>
      <c r="J278" t="s">
        <v>276</v>
      </c>
      <c r="K278" t="s">
        <v>277</v>
      </c>
      <c r="L278" t="s">
        <v>208</v>
      </c>
    </row>
    <row r="279" spans="1:12" x14ac:dyDescent="0.25">
      <c r="A279" t="s">
        <v>207</v>
      </c>
      <c r="B279">
        <v>46</v>
      </c>
      <c r="C279" t="s">
        <v>21</v>
      </c>
      <c r="D279">
        <v>2</v>
      </c>
      <c r="E279" t="s">
        <v>194</v>
      </c>
      <c r="F279">
        <v>15</v>
      </c>
      <c r="G279" t="s">
        <v>372</v>
      </c>
      <c r="H279">
        <v>7</v>
      </c>
      <c r="I279" t="s">
        <v>182</v>
      </c>
      <c r="J279" t="s">
        <v>276</v>
      </c>
      <c r="K279" t="s">
        <v>277</v>
      </c>
      <c r="L279" t="s">
        <v>208</v>
      </c>
    </row>
    <row r="280" spans="1:12" x14ac:dyDescent="0.25">
      <c r="A280" t="s">
        <v>207</v>
      </c>
      <c r="B280">
        <v>47</v>
      </c>
      <c r="C280" t="s">
        <v>21</v>
      </c>
      <c r="D280">
        <v>3</v>
      </c>
      <c r="E280" t="s">
        <v>194</v>
      </c>
      <c r="G280" t="s">
        <v>372</v>
      </c>
      <c r="I280" t="s">
        <v>182</v>
      </c>
      <c r="J280" t="s">
        <v>276</v>
      </c>
      <c r="K280" t="s">
        <v>277</v>
      </c>
      <c r="L280" t="s">
        <v>208</v>
      </c>
    </row>
    <row r="281" spans="1:12" x14ac:dyDescent="0.25">
      <c r="A281" t="s">
        <v>207</v>
      </c>
      <c r="B281">
        <v>48</v>
      </c>
      <c r="C281" t="s">
        <v>24</v>
      </c>
      <c r="D281">
        <v>1</v>
      </c>
      <c r="E281" t="s">
        <v>194</v>
      </c>
      <c r="F281">
        <v>15</v>
      </c>
      <c r="G281" t="s">
        <v>372</v>
      </c>
      <c r="H281">
        <v>8</v>
      </c>
      <c r="I281" t="s">
        <v>182</v>
      </c>
      <c r="J281" t="s">
        <v>279</v>
      </c>
      <c r="K281" t="s">
        <v>280</v>
      </c>
      <c r="L281" t="s">
        <v>208</v>
      </c>
    </row>
    <row r="282" spans="1:12" x14ac:dyDescent="0.25">
      <c r="A282" t="s">
        <v>207</v>
      </c>
      <c r="B282">
        <v>49</v>
      </c>
      <c r="C282" t="s">
        <v>24</v>
      </c>
      <c r="D282">
        <v>2</v>
      </c>
      <c r="E282" t="s">
        <v>194</v>
      </c>
      <c r="F282">
        <v>15</v>
      </c>
      <c r="G282" t="s">
        <v>372</v>
      </c>
      <c r="H282">
        <v>13</v>
      </c>
      <c r="I282" t="s">
        <v>182</v>
      </c>
      <c r="J282" t="s">
        <v>279</v>
      </c>
      <c r="K282" t="s">
        <v>280</v>
      </c>
      <c r="L282" t="s">
        <v>208</v>
      </c>
    </row>
    <row r="283" spans="1:12" x14ac:dyDescent="0.25">
      <c r="A283" t="s">
        <v>207</v>
      </c>
      <c r="B283">
        <v>50</v>
      </c>
      <c r="C283" t="s">
        <v>24</v>
      </c>
      <c r="D283">
        <v>3</v>
      </c>
      <c r="E283" t="s">
        <v>194</v>
      </c>
      <c r="G283" t="s">
        <v>372</v>
      </c>
      <c r="I283" t="s">
        <v>182</v>
      </c>
      <c r="J283" t="s">
        <v>279</v>
      </c>
      <c r="K283" t="s">
        <v>280</v>
      </c>
      <c r="L283" t="s">
        <v>208</v>
      </c>
    </row>
    <row r="284" spans="1:12" x14ac:dyDescent="0.25">
      <c r="A284" t="s">
        <v>207</v>
      </c>
      <c r="B284">
        <v>51</v>
      </c>
      <c r="C284" t="s">
        <v>27</v>
      </c>
      <c r="D284">
        <v>1</v>
      </c>
      <c r="E284" t="s">
        <v>194</v>
      </c>
      <c r="F284">
        <v>15</v>
      </c>
      <c r="G284" t="s">
        <v>372</v>
      </c>
      <c r="H284">
        <v>8</v>
      </c>
      <c r="I284" t="s">
        <v>182</v>
      </c>
      <c r="J284" t="s">
        <v>282</v>
      </c>
      <c r="K284" t="s">
        <v>283</v>
      </c>
      <c r="L284" t="s">
        <v>208</v>
      </c>
    </row>
    <row r="285" spans="1:12" x14ac:dyDescent="0.25">
      <c r="A285" t="s">
        <v>207</v>
      </c>
      <c r="B285">
        <v>52</v>
      </c>
      <c r="C285" t="s">
        <v>27</v>
      </c>
      <c r="D285">
        <v>2</v>
      </c>
      <c r="E285" t="s">
        <v>194</v>
      </c>
      <c r="F285">
        <v>15</v>
      </c>
      <c r="G285" t="s">
        <v>372</v>
      </c>
      <c r="H285">
        <v>10</v>
      </c>
      <c r="I285" t="s">
        <v>182</v>
      </c>
      <c r="J285" t="s">
        <v>282</v>
      </c>
      <c r="K285" t="s">
        <v>283</v>
      </c>
      <c r="L285" t="s">
        <v>208</v>
      </c>
    </row>
    <row r="286" spans="1:12" x14ac:dyDescent="0.25">
      <c r="A286" t="s">
        <v>207</v>
      </c>
      <c r="B286">
        <v>53</v>
      </c>
      <c r="C286" t="s">
        <v>27</v>
      </c>
      <c r="D286">
        <v>3</v>
      </c>
      <c r="E286" t="s">
        <v>194</v>
      </c>
      <c r="G286" t="s">
        <v>372</v>
      </c>
      <c r="I286" t="s">
        <v>182</v>
      </c>
      <c r="J286" t="s">
        <v>282</v>
      </c>
      <c r="K286" t="s">
        <v>283</v>
      </c>
      <c r="L286" t="s">
        <v>208</v>
      </c>
    </row>
    <row r="287" spans="1:12" x14ac:dyDescent="0.25">
      <c r="A287" t="s">
        <v>207</v>
      </c>
      <c r="B287">
        <v>57</v>
      </c>
      <c r="C287" t="s">
        <v>12</v>
      </c>
      <c r="D287">
        <v>1</v>
      </c>
      <c r="E287" t="s">
        <v>147</v>
      </c>
      <c r="F287">
        <v>15</v>
      </c>
      <c r="G287" t="s">
        <v>372</v>
      </c>
      <c r="H287">
        <v>8</v>
      </c>
      <c r="I287" t="s">
        <v>95</v>
      </c>
      <c r="J287" t="s">
        <v>272</v>
      </c>
      <c r="K287" t="s">
        <v>285</v>
      </c>
      <c r="L287" t="s">
        <v>208</v>
      </c>
    </row>
    <row r="288" spans="1:12" x14ac:dyDescent="0.25">
      <c r="A288" t="s">
        <v>207</v>
      </c>
      <c r="B288">
        <v>58</v>
      </c>
      <c r="C288" t="s">
        <v>12</v>
      </c>
      <c r="D288">
        <v>2</v>
      </c>
      <c r="E288" t="s">
        <v>147</v>
      </c>
      <c r="F288">
        <v>15</v>
      </c>
      <c r="G288" t="s">
        <v>372</v>
      </c>
      <c r="H288">
        <v>11</v>
      </c>
      <c r="I288" t="s">
        <v>95</v>
      </c>
      <c r="J288" t="s">
        <v>272</v>
      </c>
      <c r="K288" t="s">
        <v>285</v>
      </c>
      <c r="L288" t="s">
        <v>208</v>
      </c>
    </row>
    <row r="289" spans="1:12" x14ac:dyDescent="0.25">
      <c r="A289" t="s">
        <v>207</v>
      </c>
      <c r="B289">
        <v>59</v>
      </c>
      <c r="C289" t="s">
        <v>12</v>
      </c>
      <c r="D289">
        <v>3</v>
      </c>
      <c r="E289" t="s">
        <v>147</v>
      </c>
      <c r="G289" t="s">
        <v>372</v>
      </c>
      <c r="I289" t="s">
        <v>95</v>
      </c>
      <c r="J289" t="s">
        <v>272</v>
      </c>
      <c r="K289" t="s">
        <v>285</v>
      </c>
      <c r="L289" t="s">
        <v>208</v>
      </c>
    </row>
    <row r="290" spans="1:12" x14ac:dyDescent="0.25">
      <c r="A290" t="s">
        <v>207</v>
      </c>
      <c r="B290">
        <v>60</v>
      </c>
      <c r="C290" t="s">
        <v>18</v>
      </c>
      <c r="D290">
        <v>1</v>
      </c>
      <c r="E290" t="s">
        <v>147</v>
      </c>
      <c r="F290">
        <v>15</v>
      </c>
      <c r="G290" t="s">
        <v>372</v>
      </c>
      <c r="H290">
        <v>12</v>
      </c>
      <c r="I290" t="s">
        <v>95</v>
      </c>
      <c r="J290" t="s">
        <v>275</v>
      </c>
      <c r="K290" t="s">
        <v>286</v>
      </c>
      <c r="L290" t="s">
        <v>208</v>
      </c>
    </row>
    <row r="291" spans="1:12" x14ac:dyDescent="0.25">
      <c r="A291" t="s">
        <v>207</v>
      </c>
      <c r="B291">
        <v>61</v>
      </c>
      <c r="C291" t="s">
        <v>18</v>
      </c>
      <c r="D291">
        <v>2</v>
      </c>
      <c r="E291" t="s">
        <v>147</v>
      </c>
      <c r="F291">
        <v>15</v>
      </c>
      <c r="G291" t="s">
        <v>372</v>
      </c>
      <c r="H291">
        <v>7</v>
      </c>
      <c r="I291" t="s">
        <v>95</v>
      </c>
      <c r="J291" t="s">
        <v>275</v>
      </c>
      <c r="K291" t="s">
        <v>286</v>
      </c>
      <c r="L291" t="s">
        <v>208</v>
      </c>
    </row>
    <row r="292" spans="1:12" x14ac:dyDescent="0.25">
      <c r="A292" t="s">
        <v>207</v>
      </c>
      <c r="B292">
        <v>62</v>
      </c>
      <c r="C292" t="s">
        <v>18</v>
      </c>
      <c r="D292">
        <v>3</v>
      </c>
      <c r="E292" t="s">
        <v>147</v>
      </c>
      <c r="G292" t="s">
        <v>372</v>
      </c>
      <c r="I292" t="s">
        <v>95</v>
      </c>
      <c r="J292" t="s">
        <v>275</v>
      </c>
      <c r="K292" t="s">
        <v>286</v>
      </c>
      <c r="L292" t="s">
        <v>208</v>
      </c>
    </row>
    <row r="293" spans="1:12" x14ac:dyDescent="0.25">
      <c r="A293" t="s">
        <v>207</v>
      </c>
      <c r="B293">
        <v>63</v>
      </c>
      <c r="C293" t="s">
        <v>21</v>
      </c>
      <c r="D293">
        <v>1</v>
      </c>
      <c r="E293" t="s">
        <v>147</v>
      </c>
      <c r="F293">
        <v>15</v>
      </c>
      <c r="G293" t="s">
        <v>372</v>
      </c>
      <c r="H293">
        <v>10</v>
      </c>
      <c r="I293" t="s">
        <v>95</v>
      </c>
      <c r="J293" t="s">
        <v>278</v>
      </c>
      <c r="K293" t="s">
        <v>287</v>
      </c>
      <c r="L293" t="s">
        <v>208</v>
      </c>
    </row>
    <row r="294" spans="1:12" x14ac:dyDescent="0.25">
      <c r="A294" t="s">
        <v>207</v>
      </c>
      <c r="B294">
        <v>64</v>
      </c>
      <c r="C294" t="s">
        <v>21</v>
      </c>
      <c r="D294">
        <v>2</v>
      </c>
      <c r="E294" t="s">
        <v>147</v>
      </c>
      <c r="G294" t="s">
        <v>372</v>
      </c>
      <c r="I294" t="s">
        <v>95</v>
      </c>
      <c r="J294" t="s">
        <v>278</v>
      </c>
      <c r="K294" t="s">
        <v>287</v>
      </c>
      <c r="L294" t="s">
        <v>208</v>
      </c>
    </row>
    <row r="295" spans="1:12" x14ac:dyDescent="0.25">
      <c r="A295" t="s">
        <v>207</v>
      </c>
      <c r="B295">
        <v>65</v>
      </c>
      <c r="C295" t="s">
        <v>21</v>
      </c>
      <c r="D295">
        <v>3</v>
      </c>
      <c r="E295" t="s">
        <v>147</v>
      </c>
      <c r="G295" t="s">
        <v>372</v>
      </c>
      <c r="I295" t="s">
        <v>95</v>
      </c>
      <c r="J295" t="s">
        <v>278</v>
      </c>
      <c r="K295" t="s">
        <v>287</v>
      </c>
      <c r="L295" t="s">
        <v>208</v>
      </c>
    </row>
    <row r="296" spans="1:12" x14ac:dyDescent="0.25">
      <c r="A296" t="s">
        <v>207</v>
      </c>
      <c r="B296">
        <v>66</v>
      </c>
      <c r="C296" t="s">
        <v>24</v>
      </c>
      <c r="D296">
        <v>1</v>
      </c>
      <c r="E296" t="s">
        <v>147</v>
      </c>
      <c r="F296">
        <v>15</v>
      </c>
      <c r="G296" t="s">
        <v>372</v>
      </c>
      <c r="H296">
        <v>8</v>
      </c>
      <c r="I296" t="s">
        <v>95</v>
      </c>
      <c r="J296" t="s">
        <v>281</v>
      </c>
      <c r="K296" t="s">
        <v>288</v>
      </c>
      <c r="L296" t="s">
        <v>208</v>
      </c>
    </row>
    <row r="297" spans="1:12" x14ac:dyDescent="0.25">
      <c r="A297" t="s">
        <v>207</v>
      </c>
      <c r="B297">
        <v>67</v>
      </c>
      <c r="C297" t="s">
        <v>24</v>
      </c>
      <c r="D297">
        <v>2</v>
      </c>
      <c r="E297" t="s">
        <v>147</v>
      </c>
      <c r="G297" t="s">
        <v>372</v>
      </c>
      <c r="I297" t="s">
        <v>95</v>
      </c>
      <c r="J297" t="s">
        <v>281</v>
      </c>
      <c r="K297" t="s">
        <v>288</v>
      </c>
      <c r="L297" t="s">
        <v>208</v>
      </c>
    </row>
    <row r="298" spans="1:12" x14ac:dyDescent="0.25">
      <c r="A298" t="s">
        <v>207</v>
      </c>
      <c r="B298">
        <v>68</v>
      </c>
      <c r="C298" t="s">
        <v>24</v>
      </c>
      <c r="D298">
        <v>3</v>
      </c>
      <c r="E298" t="s">
        <v>147</v>
      </c>
      <c r="G298" t="s">
        <v>372</v>
      </c>
      <c r="I298" t="s">
        <v>95</v>
      </c>
      <c r="J298" t="s">
        <v>281</v>
      </c>
      <c r="K298" t="s">
        <v>288</v>
      </c>
      <c r="L298" t="s">
        <v>208</v>
      </c>
    </row>
    <row r="299" spans="1:12" x14ac:dyDescent="0.25">
      <c r="A299" t="s">
        <v>207</v>
      </c>
      <c r="B299">
        <v>69</v>
      </c>
      <c r="C299" t="s">
        <v>27</v>
      </c>
      <c r="D299">
        <v>1</v>
      </c>
      <c r="E299" t="s">
        <v>147</v>
      </c>
      <c r="F299">
        <v>15</v>
      </c>
      <c r="G299" t="s">
        <v>372</v>
      </c>
      <c r="H299">
        <v>4</v>
      </c>
      <c r="I299" t="s">
        <v>95</v>
      </c>
      <c r="J299" t="s">
        <v>284</v>
      </c>
      <c r="K299" t="s">
        <v>289</v>
      </c>
      <c r="L299" t="s">
        <v>208</v>
      </c>
    </row>
    <row r="300" spans="1:12" x14ac:dyDescent="0.25">
      <c r="A300" t="s">
        <v>207</v>
      </c>
      <c r="B300">
        <v>70</v>
      </c>
      <c r="C300" t="s">
        <v>27</v>
      </c>
      <c r="D300">
        <v>2</v>
      </c>
      <c r="E300" t="s">
        <v>147</v>
      </c>
      <c r="F300">
        <v>15</v>
      </c>
      <c r="G300" t="s">
        <v>372</v>
      </c>
      <c r="H300">
        <v>6</v>
      </c>
      <c r="I300" t="s">
        <v>95</v>
      </c>
      <c r="J300" t="s">
        <v>284</v>
      </c>
      <c r="K300" t="s">
        <v>289</v>
      </c>
      <c r="L300" t="s">
        <v>208</v>
      </c>
    </row>
    <row r="301" spans="1:12" x14ac:dyDescent="0.25">
      <c r="A301" t="s">
        <v>207</v>
      </c>
      <c r="B301">
        <v>71</v>
      </c>
      <c r="C301" t="s">
        <v>27</v>
      </c>
      <c r="D301">
        <v>3</v>
      </c>
      <c r="E301" t="s">
        <v>147</v>
      </c>
      <c r="G301" t="s">
        <v>372</v>
      </c>
      <c r="I301" t="s">
        <v>95</v>
      </c>
      <c r="J301" t="s">
        <v>284</v>
      </c>
      <c r="K301" t="s">
        <v>289</v>
      </c>
      <c r="L301" t="s">
        <v>208</v>
      </c>
    </row>
    <row r="302" spans="1:12" x14ac:dyDescent="0.25">
      <c r="A302" t="s">
        <v>207</v>
      </c>
      <c r="B302">
        <v>75</v>
      </c>
      <c r="C302" t="s">
        <v>12</v>
      </c>
      <c r="D302">
        <v>1</v>
      </c>
      <c r="E302" t="s">
        <v>168</v>
      </c>
      <c r="F302">
        <v>15</v>
      </c>
      <c r="G302" t="s">
        <v>372</v>
      </c>
      <c r="H302">
        <v>11</v>
      </c>
      <c r="I302" t="s">
        <v>181</v>
      </c>
      <c r="J302" t="s">
        <v>232</v>
      </c>
      <c r="K302" t="s">
        <v>291</v>
      </c>
      <c r="L302" t="s">
        <v>208</v>
      </c>
    </row>
    <row r="303" spans="1:12" x14ac:dyDescent="0.25">
      <c r="A303" t="s">
        <v>207</v>
      </c>
      <c r="B303">
        <v>76</v>
      </c>
      <c r="C303" t="s">
        <v>12</v>
      </c>
      <c r="D303">
        <v>2</v>
      </c>
      <c r="E303" t="s">
        <v>168</v>
      </c>
      <c r="F303">
        <v>15</v>
      </c>
      <c r="G303" t="s">
        <v>372</v>
      </c>
      <c r="H303">
        <v>9</v>
      </c>
      <c r="I303" t="s">
        <v>181</v>
      </c>
      <c r="J303" t="s">
        <v>232</v>
      </c>
      <c r="K303" t="s">
        <v>291</v>
      </c>
      <c r="L303" t="s">
        <v>208</v>
      </c>
    </row>
    <row r="304" spans="1:12" x14ac:dyDescent="0.25">
      <c r="A304" t="s">
        <v>207</v>
      </c>
      <c r="B304">
        <v>77</v>
      </c>
      <c r="C304" t="s">
        <v>12</v>
      </c>
      <c r="D304">
        <v>3</v>
      </c>
      <c r="E304" t="s">
        <v>168</v>
      </c>
      <c r="G304" t="s">
        <v>372</v>
      </c>
      <c r="I304" t="s">
        <v>181</v>
      </c>
      <c r="J304" t="s">
        <v>232</v>
      </c>
      <c r="K304" t="s">
        <v>291</v>
      </c>
      <c r="L304" t="s">
        <v>208</v>
      </c>
    </row>
    <row r="305" spans="1:12" x14ac:dyDescent="0.25">
      <c r="A305" t="s">
        <v>207</v>
      </c>
      <c r="B305">
        <v>78</v>
      </c>
      <c r="C305" t="s">
        <v>18</v>
      </c>
      <c r="D305">
        <v>1</v>
      </c>
      <c r="E305" t="s">
        <v>168</v>
      </c>
      <c r="F305">
        <v>15</v>
      </c>
      <c r="G305" t="s">
        <v>372</v>
      </c>
      <c r="H305">
        <v>11</v>
      </c>
      <c r="I305" t="s">
        <v>181</v>
      </c>
      <c r="J305" t="s">
        <v>237</v>
      </c>
      <c r="K305" t="s">
        <v>293</v>
      </c>
      <c r="L305" t="s">
        <v>208</v>
      </c>
    </row>
    <row r="306" spans="1:12" x14ac:dyDescent="0.25">
      <c r="A306" t="s">
        <v>207</v>
      </c>
      <c r="B306">
        <v>79</v>
      </c>
      <c r="C306" t="s">
        <v>18</v>
      </c>
      <c r="D306">
        <v>2</v>
      </c>
      <c r="E306" t="s">
        <v>168</v>
      </c>
      <c r="F306">
        <v>15</v>
      </c>
      <c r="G306" t="s">
        <v>372</v>
      </c>
      <c r="H306">
        <v>7</v>
      </c>
      <c r="I306" t="s">
        <v>181</v>
      </c>
      <c r="J306" t="s">
        <v>237</v>
      </c>
      <c r="K306" t="s">
        <v>293</v>
      </c>
      <c r="L306" t="s">
        <v>208</v>
      </c>
    </row>
    <row r="307" spans="1:12" x14ac:dyDescent="0.25">
      <c r="A307" t="s">
        <v>207</v>
      </c>
      <c r="B307">
        <v>80</v>
      </c>
      <c r="C307" t="s">
        <v>18</v>
      </c>
      <c r="D307">
        <v>3</v>
      </c>
      <c r="E307" t="s">
        <v>168</v>
      </c>
      <c r="G307" t="s">
        <v>372</v>
      </c>
      <c r="I307" t="s">
        <v>181</v>
      </c>
      <c r="J307" t="s">
        <v>237</v>
      </c>
      <c r="K307" t="s">
        <v>293</v>
      </c>
      <c r="L307" t="s">
        <v>208</v>
      </c>
    </row>
    <row r="308" spans="1:12" x14ac:dyDescent="0.25">
      <c r="A308" t="s">
        <v>207</v>
      </c>
      <c r="B308">
        <v>81</v>
      </c>
      <c r="C308" t="s">
        <v>21</v>
      </c>
      <c r="D308">
        <v>1</v>
      </c>
      <c r="E308" t="s">
        <v>168</v>
      </c>
      <c r="F308">
        <v>15</v>
      </c>
      <c r="G308" t="s">
        <v>372</v>
      </c>
      <c r="H308">
        <v>9</v>
      </c>
      <c r="I308" t="s">
        <v>181</v>
      </c>
      <c r="J308" t="s">
        <v>242</v>
      </c>
      <c r="K308" t="s">
        <v>295</v>
      </c>
      <c r="L308" t="s">
        <v>208</v>
      </c>
    </row>
    <row r="309" spans="1:12" x14ac:dyDescent="0.25">
      <c r="A309" t="s">
        <v>207</v>
      </c>
      <c r="B309">
        <v>82</v>
      </c>
      <c r="C309" t="s">
        <v>21</v>
      </c>
      <c r="D309">
        <v>2</v>
      </c>
      <c r="E309" t="s">
        <v>168</v>
      </c>
      <c r="F309">
        <v>15</v>
      </c>
      <c r="G309" t="s">
        <v>372</v>
      </c>
      <c r="H309">
        <v>7</v>
      </c>
      <c r="I309" t="s">
        <v>181</v>
      </c>
      <c r="J309" t="s">
        <v>242</v>
      </c>
      <c r="K309" t="s">
        <v>295</v>
      </c>
      <c r="L309" t="s">
        <v>208</v>
      </c>
    </row>
    <row r="310" spans="1:12" x14ac:dyDescent="0.25">
      <c r="A310" t="s">
        <v>207</v>
      </c>
      <c r="B310">
        <v>83</v>
      </c>
      <c r="C310" t="s">
        <v>21</v>
      </c>
      <c r="D310">
        <v>3</v>
      </c>
      <c r="E310" t="s">
        <v>168</v>
      </c>
      <c r="G310" t="s">
        <v>372</v>
      </c>
      <c r="I310" t="s">
        <v>181</v>
      </c>
      <c r="J310" t="s">
        <v>242</v>
      </c>
      <c r="K310" t="s">
        <v>295</v>
      </c>
      <c r="L310" t="s">
        <v>208</v>
      </c>
    </row>
    <row r="311" spans="1:12" x14ac:dyDescent="0.25">
      <c r="A311" t="s">
        <v>207</v>
      </c>
      <c r="B311">
        <v>84</v>
      </c>
      <c r="C311" t="s">
        <v>24</v>
      </c>
      <c r="D311">
        <v>1</v>
      </c>
      <c r="E311" t="s">
        <v>168</v>
      </c>
      <c r="F311">
        <v>15</v>
      </c>
      <c r="G311" t="s">
        <v>372</v>
      </c>
      <c r="H311">
        <v>9</v>
      </c>
      <c r="I311" t="s">
        <v>181</v>
      </c>
      <c r="J311" t="s">
        <v>247</v>
      </c>
      <c r="K311" t="s">
        <v>297</v>
      </c>
      <c r="L311" t="s">
        <v>208</v>
      </c>
    </row>
    <row r="312" spans="1:12" x14ac:dyDescent="0.25">
      <c r="A312" t="s">
        <v>207</v>
      </c>
      <c r="B312">
        <v>85</v>
      </c>
      <c r="C312" t="s">
        <v>24</v>
      </c>
      <c r="D312">
        <v>2</v>
      </c>
      <c r="E312" t="s">
        <v>168</v>
      </c>
      <c r="F312">
        <v>15</v>
      </c>
      <c r="G312" t="s">
        <v>372</v>
      </c>
      <c r="H312">
        <v>9</v>
      </c>
      <c r="I312" t="s">
        <v>181</v>
      </c>
      <c r="J312" t="s">
        <v>247</v>
      </c>
      <c r="K312" t="s">
        <v>297</v>
      </c>
      <c r="L312" t="s">
        <v>208</v>
      </c>
    </row>
    <row r="313" spans="1:12" x14ac:dyDescent="0.25">
      <c r="A313" t="s">
        <v>207</v>
      </c>
      <c r="B313">
        <v>86</v>
      </c>
      <c r="C313" t="s">
        <v>24</v>
      </c>
      <c r="D313">
        <v>3</v>
      </c>
      <c r="E313" t="s">
        <v>168</v>
      </c>
      <c r="G313" t="s">
        <v>372</v>
      </c>
      <c r="I313" t="s">
        <v>181</v>
      </c>
      <c r="J313" t="s">
        <v>247</v>
      </c>
      <c r="K313" t="s">
        <v>297</v>
      </c>
      <c r="L313" t="s">
        <v>208</v>
      </c>
    </row>
    <row r="314" spans="1:12" x14ac:dyDescent="0.25">
      <c r="A314" t="s">
        <v>207</v>
      </c>
      <c r="B314">
        <v>87</v>
      </c>
      <c r="C314" t="s">
        <v>27</v>
      </c>
      <c r="D314">
        <v>1</v>
      </c>
      <c r="E314" t="s">
        <v>168</v>
      </c>
      <c r="F314">
        <v>15</v>
      </c>
      <c r="G314" t="s">
        <v>372</v>
      </c>
      <c r="H314">
        <v>7</v>
      </c>
      <c r="I314" t="s">
        <v>181</v>
      </c>
      <c r="J314" t="s">
        <v>252</v>
      </c>
      <c r="K314" t="s">
        <v>299</v>
      </c>
      <c r="L314" t="s">
        <v>208</v>
      </c>
    </row>
    <row r="315" spans="1:12" x14ac:dyDescent="0.25">
      <c r="A315" t="s">
        <v>207</v>
      </c>
      <c r="B315">
        <v>88</v>
      </c>
      <c r="C315" t="s">
        <v>27</v>
      </c>
      <c r="D315">
        <v>2</v>
      </c>
      <c r="E315" t="s">
        <v>168</v>
      </c>
      <c r="F315">
        <v>15</v>
      </c>
      <c r="G315" t="s">
        <v>372</v>
      </c>
      <c r="H315">
        <v>4</v>
      </c>
      <c r="I315" t="s">
        <v>181</v>
      </c>
      <c r="J315" t="s">
        <v>252</v>
      </c>
      <c r="K315" t="s">
        <v>299</v>
      </c>
      <c r="L315" t="s">
        <v>208</v>
      </c>
    </row>
    <row r="316" spans="1:12" x14ac:dyDescent="0.25">
      <c r="A316" t="s">
        <v>207</v>
      </c>
      <c r="B316">
        <v>89</v>
      </c>
      <c r="C316" t="s">
        <v>27</v>
      </c>
      <c r="D316">
        <v>3</v>
      </c>
      <c r="E316" t="s">
        <v>168</v>
      </c>
      <c r="G316" t="s">
        <v>372</v>
      </c>
      <c r="I316" t="s">
        <v>181</v>
      </c>
      <c r="J316" t="s">
        <v>252</v>
      </c>
      <c r="K316" t="s">
        <v>299</v>
      </c>
      <c r="L316" t="s">
        <v>208</v>
      </c>
    </row>
    <row r="317" spans="1:12" x14ac:dyDescent="0.25">
      <c r="A317" t="s">
        <v>207</v>
      </c>
      <c r="B317">
        <v>93</v>
      </c>
      <c r="C317" t="s">
        <v>12</v>
      </c>
      <c r="D317">
        <v>1</v>
      </c>
      <c r="E317" t="s">
        <v>146</v>
      </c>
      <c r="F317">
        <v>16</v>
      </c>
      <c r="G317" t="s">
        <v>372</v>
      </c>
      <c r="H317">
        <v>14</v>
      </c>
      <c r="I317" t="s">
        <v>14</v>
      </c>
      <c r="J317" t="s">
        <v>234</v>
      </c>
      <c r="K317" t="s">
        <v>300</v>
      </c>
      <c r="L317" t="s">
        <v>208</v>
      </c>
    </row>
    <row r="318" spans="1:12" x14ac:dyDescent="0.25">
      <c r="A318" t="s">
        <v>207</v>
      </c>
      <c r="B318">
        <v>94</v>
      </c>
      <c r="C318" t="s">
        <v>12</v>
      </c>
      <c r="D318">
        <v>2</v>
      </c>
      <c r="E318" t="s">
        <v>146</v>
      </c>
      <c r="F318">
        <v>11</v>
      </c>
      <c r="G318" t="s">
        <v>372</v>
      </c>
      <c r="H318">
        <v>9</v>
      </c>
      <c r="I318" t="s">
        <v>14</v>
      </c>
      <c r="J318" t="s">
        <v>234</v>
      </c>
      <c r="K318" t="s">
        <v>300</v>
      </c>
      <c r="L318" t="s">
        <v>208</v>
      </c>
    </row>
    <row r="319" spans="1:12" x14ac:dyDescent="0.25">
      <c r="A319" t="s">
        <v>207</v>
      </c>
      <c r="B319">
        <v>95</v>
      </c>
      <c r="C319" t="s">
        <v>12</v>
      </c>
      <c r="D319">
        <v>3</v>
      </c>
      <c r="E319" t="s">
        <v>146</v>
      </c>
      <c r="G319" t="s">
        <v>372</v>
      </c>
      <c r="I319" t="s">
        <v>14</v>
      </c>
      <c r="J319" t="s">
        <v>234</v>
      </c>
      <c r="K319" t="s">
        <v>300</v>
      </c>
      <c r="L319" t="s">
        <v>208</v>
      </c>
    </row>
    <row r="320" spans="1:12" x14ac:dyDescent="0.25">
      <c r="A320" t="s">
        <v>207</v>
      </c>
      <c r="B320">
        <v>96</v>
      </c>
      <c r="C320" t="s">
        <v>18</v>
      </c>
      <c r="D320">
        <v>1</v>
      </c>
      <c r="E320" t="s">
        <v>146</v>
      </c>
      <c r="F320">
        <v>15</v>
      </c>
      <c r="G320" t="s">
        <v>372</v>
      </c>
      <c r="H320">
        <v>10</v>
      </c>
      <c r="I320" t="s">
        <v>14</v>
      </c>
      <c r="J320" t="s">
        <v>239</v>
      </c>
      <c r="K320" t="s">
        <v>302</v>
      </c>
      <c r="L320" t="s">
        <v>208</v>
      </c>
    </row>
    <row r="321" spans="1:12" x14ac:dyDescent="0.25">
      <c r="A321" t="s">
        <v>207</v>
      </c>
      <c r="B321">
        <v>97</v>
      </c>
      <c r="C321" t="s">
        <v>18</v>
      </c>
      <c r="D321">
        <v>2</v>
      </c>
      <c r="E321" t="s">
        <v>146</v>
      </c>
      <c r="F321">
        <v>16</v>
      </c>
      <c r="G321" t="s">
        <v>372</v>
      </c>
      <c r="H321">
        <v>18</v>
      </c>
      <c r="I321" t="s">
        <v>14</v>
      </c>
      <c r="J321" t="s">
        <v>239</v>
      </c>
      <c r="K321" t="s">
        <v>302</v>
      </c>
      <c r="L321" t="s">
        <v>208</v>
      </c>
    </row>
    <row r="322" spans="1:12" x14ac:dyDescent="0.25">
      <c r="A322" t="s">
        <v>207</v>
      </c>
      <c r="B322">
        <v>98</v>
      </c>
      <c r="C322" t="s">
        <v>18</v>
      </c>
      <c r="D322">
        <v>3</v>
      </c>
      <c r="E322" t="s">
        <v>146</v>
      </c>
      <c r="G322" t="s">
        <v>372</v>
      </c>
      <c r="I322" t="s">
        <v>14</v>
      </c>
      <c r="J322" t="s">
        <v>239</v>
      </c>
      <c r="K322" t="s">
        <v>302</v>
      </c>
      <c r="L322" t="s">
        <v>208</v>
      </c>
    </row>
    <row r="323" spans="1:12" x14ac:dyDescent="0.25">
      <c r="A323" t="s">
        <v>207</v>
      </c>
      <c r="B323">
        <v>99</v>
      </c>
      <c r="C323" t="s">
        <v>21</v>
      </c>
      <c r="D323">
        <v>1</v>
      </c>
      <c r="E323" t="s">
        <v>146</v>
      </c>
      <c r="F323">
        <v>15</v>
      </c>
      <c r="G323" t="s">
        <v>372</v>
      </c>
      <c r="H323">
        <v>11</v>
      </c>
      <c r="I323" t="s">
        <v>14</v>
      </c>
      <c r="J323" t="s">
        <v>244</v>
      </c>
      <c r="K323" t="s">
        <v>304</v>
      </c>
      <c r="L323" t="s">
        <v>208</v>
      </c>
    </row>
    <row r="324" spans="1:12" x14ac:dyDescent="0.25">
      <c r="A324" t="s">
        <v>207</v>
      </c>
      <c r="B324">
        <v>100</v>
      </c>
      <c r="C324" t="s">
        <v>21</v>
      </c>
      <c r="D324">
        <v>2</v>
      </c>
      <c r="E324" t="s">
        <v>146</v>
      </c>
      <c r="F324">
        <v>15</v>
      </c>
      <c r="G324" t="s">
        <v>372</v>
      </c>
      <c r="H324">
        <v>11</v>
      </c>
      <c r="I324" t="s">
        <v>14</v>
      </c>
      <c r="J324" t="s">
        <v>244</v>
      </c>
      <c r="K324" t="s">
        <v>304</v>
      </c>
      <c r="L324" t="s">
        <v>208</v>
      </c>
    </row>
    <row r="325" spans="1:12" x14ac:dyDescent="0.25">
      <c r="A325" t="s">
        <v>207</v>
      </c>
      <c r="B325">
        <v>101</v>
      </c>
      <c r="C325" t="s">
        <v>21</v>
      </c>
      <c r="D325">
        <v>3</v>
      </c>
      <c r="E325" t="s">
        <v>146</v>
      </c>
      <c r="G325" t="s">
        <v>372</v>
      </c>
      <c r="I325" t="s">
        <v>14</v>
      </c>
      <c r="J325" t="s">
        <v>244</v>
      </c>
      <c r="K325" t="s">
        <v>304</v>
      </c>
      <c r="L325" t="s">
        <v>208</v>
      </c>
    </row>
    <row r="326" spans="1:12" x14ac:dyDescent="0.25">
      <c r="A326" t="s">
        <v>207</v>
      </c>
      <c r="B326">
        <v>102</v>
      </c>
      <c r="C326" t="s">
        <v>24</v>
      </c>
      <c r="D326">
        <v>1</v>
      </c>
      <c r="E326" t="s">
        <v>146</v>
      </c>
      <c r="F326">
        <v>15</v>
      </c>
      <c r="G326" t="s">
        <v>372</v>
      </c>
      <c r="H326">
        <v>8</v>
      </c>
      <c r="I326" t="s">
        <v>14</v>
      </c>
      <c r="J326" t="s">
        <v>249</v>
      </c>
      <c r="K326" t="s">
        <v>306</v>
      </c>
      <c r="L326" t="s">
        <v>208</v>
      </c>
    </row>
    <row r="327" spans="1:12" x14ac:dyDescent="0.25">
      <c r="A327" t="s">
        <v>207</v>
      </c>
      <c r="B327">
        <v>103</v>
      </c>
      <c r="C327" t="s">
        <v>24</v>
      </c>
      <c r="D327">
        <v>2</v>
      </c>
      <c r="E327" t="s">
        <v>146</v>
      </c>
      <c r="F327">
        <v>15</v>
      </c>
      <c r="G327" t="s">
        <v>372</v>
      </c>
      <c r="H327">
        <v>7</v>
      </c>
      <c r="I327" t="s">
        <v>14</v>
      </c>
      <c r="J327" t="s">
        <v>249</v>
      </c>
      <c r="K327" t="s">
        <v>306</v>
      </c>
      <c r="L327" t="s">
        <v>208</v>
      </c>
    </row>
    <row r="328" spans="1:12" x14ac:dyDescent="0.25">
      <c r="A328" t="s">
        <v>207</v>
      </c>
      <c r="B328">
        <v>104</v>
      </c>
      <c r="C328" t="s">
        <v>24</v>
      </c>
      <c r="D328">
        <v>3</v>
      </c>
      <c r="E328" t="s">
        <v>146</v>
      </c>
      <c r="G328" t="s">
        <v>372</v>
      </c>
      <c r="I328" t="s">
        <v>14</v>
      </c>
      <c r="J328" t="s">
        <v>249</v>
      </c>
      <c r="K328" t="s">
        <v>306</v>
      </c>
      <c r="L328" t="s">
        <v>208</v>
      </c>
    </row>
    <row r="329" spans="1:12" x14ac:dyDescent="0.25">
      <c r="A329" t="s">
        <v>207</v>
      </c>
      <c r="B329">
        <v>105</v>
      </c>
      <c r="C329" t="s">
        <v>27</v>
      </c>
      <c r="D329">
        <v>1</v>
      </c>
      <c r="E329" t="s">
        <v>146</v>
      </c>
      <c r="F329">
        <v>15</v>
      </c>
      <c r="G329" t="s">
        <v>372</v>
      </c>
      <c r="H329">
        <v>7</v>
      </c>
      <c r="I329" t="s">
        <v>14</v>
      </c>
      <c r="J329" t="s">
        <v>254</v>
      </c>
      <c r="K329" t="s">
        <v>308</v>
      </c>
      <c r="L329" t="s">
        <v>208</v>
      </c>
    </row>
    <row r="330" spans="1:12" x14ac:dyDescent="0.25">
      <c r="A330" t="s">
        <v>207</v>
      </c>
      <c r="B330">
        <v>106</v>
      </c>
      <c r="C330" t="s">
        <v>27</v>
      </c>
      <c r="D330">
        <v>2</v>
      </c>
      <c r="E330" t="s">
        <v>146</v>
      </c>
      <c r="F330">
        <v>15</v>
      </c>
      <c r="G330" t="s">
        <v>372</v>
      </c>
      <c r="H330">
        <v>10</v>
      </c>
      <c r="I330" t="s">
        <v>14</v>
      </c>
      <c r="J330" t="s">
        <v>254</v>
      </c>
      <c r="K330" t="s">
        <v>308</v>
      </c>
      <c r="L330" t="s">
        <v>208</v>
      </c>
    </row>
    <row r="331" spans="1:12" x14ac:dyDescent="0.25">
      <c r="A331" t="s">
        <v>207</v>
      </c>
      <c r="B331">
        <v>107</v>
      </c>
      <c r="C331" t="s">
        <v>27</v>
      </c>
      <c r="D331">
        <v>3</v>
      </c>
      <c r="E331" t="s">
        <v>146</v>
      </c>
      <c r="G331" t="s">
        <v>372</v>
      </c>
      <c r="I331" t="s">
        <v>14</v>
      </c>
      <c r="J331" t="s">
        <v>254</v>
      </c>
      <c r="K331" t="s">
        <v>308</v>
      </c>
      <c r="L331" t="s">
        <v>208</v>
      </c>
    </row>
    <row r="332" spans="1:12" x14ac:dyDescent="0.25">
      <c r="A332" t="s">
        <v>207</v>
      </c>
      <c r="B332">
        <v>111</v>
      </c>
      <c r="C332" t="s">
        <v>12</v>
      </c>
      <c r="D332">
        <v>1</v>
      </c>
      <c r="E332" t="s">
        <v>155</v>
      </c>
      <c r="F332">
        <v>15</v>
      </c>
      <c r="G332" t="s">
        <v>372</v>
      </c>
      <c r="H332">
        <v>13</v>
      </c>
      <c r="I332" t="s">
        <v>57</v>
      </c>
      <c r="J332" t="s">
        <v>257</v>
      </c>
      <c r="K332" t="s">
        <v>301</v>
      </c>
      <c r="L332" t="s">
        <v>208</v>
      </c>
    </row>
    <row r="333" spans="1:12" x14ac:dyDescent="0.25">
      <c r="A333" t="s">
        <v>207</v>
      </c>
      <c r="B333">
        <v>112</v>
      </c>
      <c r="C333" t="s">
        <v>12</v>
      </c>
      <c r="D333">
        <v>2</v>
      </c>
      <c r="E333" t="s">
        <v>155</v>
      </c>
      <c r="F333">
        <v>13</v>
      </c>
      <c r="G333" t="s">
        <v>372</v>
      </c>
      <c r="H333">
        <v>15</v>
      </c>
      <c r="I333" t="s">
        <v>57</v>
      </c>
      <c r="J333" t="s">
        <v>257</v>
      </c>
      <c r="K333" t="s">
        <v>301</v>
      </c>
      <c r="L333" t="s">
        <v>208</v>
      </c>
    </row>
    <row r="334" spans="1:12" x14ac:dyDescent="0.25">
      <c r="A334" t="s">
        <v>207</v>
      </c>
      <c r="B334">
        <v>113</v>
      </c>
      <c r="C334" t="s">
        <v>12</v>
      </c>
      <c r="D334">
        <v>3</v>
      </c>
      <c r="E334" t="s">
        <v>155</v>
      </c>
      <c r="F334">
        <v>15</v>
      </c>
      <c r="G334" t="s">
        <v>372</v>
      </c>
      <c r="H334">
        <v>10</v>
      </c>
      <c r="I334" t="s">
        <v>57</v>
      </c>
      <c r="J334" t="s">
        <v>257</v>
      </c>
      <c r="K334" t="s">
        <v>301</v>
      </c>
      <c r="L334" t="s">
        <v>208</v>
      </c>
    </row>
    <row r="335" spans="1:12" x14ac:dyDescent="0.25">
      <c r="A335" t="s">
        <v>207</v>
      </c>
      <c r="B335">
        <v>114</v>
      </c>
      <c r="C335" t="s">
        <v>18</v>
      </c>
      <c r="D335">
        <v>1</v>
      </c>
      <c r="E335" t="s">
        <v>155</v>
      </c>
      <c r="F335">
        <v>15</v>
      </c>
      <c r="G335" t="s">
        <v>372</v>
      </c>
      <c r="H335">
        <v>12</v>
      </c>
      <c r="I335" t="s">
        <v>57</v>
      </c>
      <c r="J335" t="s">
        <v>260</v>
      </c>
      <c r="K335" t="s">
        <v>303</v>
      </c>
      <c r="L335" t="s">
        <v>208</v>
      </c>
    </row>
    <row r="336" spans="1:12" x14ac:dyDescent="0.25">
      <c r="A336" t="s">
        <v>207</v>
      </c>
      <c r="B336">
        <v>115</v>
      </c>
      <c r="C336" t="s">
        <v>18</v>
      </c>
      <c r="D336">
        <v>2</v>
      </c>
      <c r="E336" t="s">
        <v>155</v>
      </c>
      <c r="F336">
        <v>14</v>
      </c>
      <c r="G336" t="s">
        <v>372</v>
      </c>
      <c r="H336">
        <v>16</v>
      </c>
      <c r="I336" t="s">
        <v>57</v>
      </c>
      <c r="J336" t="s">
        <v>260</v>
      </c>
      <c r="K336" t="s">
        <v>303</v>
      </c>
      <c r="L336" t="s">
        <v>208</v>
      </c>
    </row>
    <row r="337" spans="1:12" x14ac:dyDescent="0.25">
      <c r="A337" t="s">
        <v>207</v>
      </c>
      <c r="B337">
        <v>116</v>
      </c>
      <c r="C337" t="s">
        <v>18</v>
      </c>
      <c r="D337">
        <v>3</v>
      </c>
      <c r="E337" t="s">
        <v>155</v>
      </c>
      <c r="F337">
        <v>12</v>
      </c>
      <c r="G337" t="s">
        <v>372</v>
      </c>
      <c r="H337">
        <v>15</v>
      </c>
      <c r="I337" t="s">
        <v>57</v>
      </c>
      <c r="J337" t="s">
        <v>260</v>
      </c>
      <c r="K337" t="s">
        <v>303</v>
      </c>
      <c r="L337" t="s">
        <v>208</v>
      </c>
    </row>
    <row r="338" spans="1:12" x14ac:dyDescent="0.25">
      <c r="A338" t="s">
        <v>207</v>
      </c>
      <c r="B338">
        <v>117</v>
      </c>
      <c r="C338" t="s">
        <v>21</v>
      </c>
      <c r="D338">
        <v>1</v>
      </c>
      <c r="E338" t="s">
        <v>155</v>
      </c>
      <c r="F338">
        <v>10</v>
      </c>
      <c r="G338" t="s">
        <v>372</v>
      </c>
      <c r="H338">
        <v>15</v>
      </c>
      <c r="I338" t="s">
        <v>57</v>
      </c>
      <c r="J338" t="s">
        <v>263</v>
      </c>
      <c r="K338" t="s">
        <v>305</v>
      </c>
      <c r="L338" t="s">
        <v>208</v>
      </c>
    </row>
    <row r="339" spans="1:12" x14ac:dyDescent="0.25">
      <c r="A339" t="s">
        <v>207</v>
      </c>
      <c r="B339">
        <v>118</v>
      </c>
      <c r="C339" t="s">
        <v>21</v>
      </c>
      <c r="D339">
        <v>2</v>
      </c>
      <c r="E339" t="s">
        <v>155</v>
      </c>
      <c r="F339">
        <v>12</v>
      </c>
      <c r="G339" t="s">
        <v>372</v>
      </c>
      <c r="H339">
        <v>15</v>
      </c>
      <c r="I339" t="s">
        <v>57</v>
      </c>
      <c r="J339" t="s">
        <v>263</v>
      </c>
      <c r="K339" t="s">
        <v>305</v>
      </c>
      <c r="L339" t="s">
        <v>208</v>
      </c>
    </row>
    <row r="340" spans="1:12" x14ac:dyDescent="0.25">
      <c r="A340" t="s">
        <v>207</v>
      </c>
      <c r="B340">
        <v>119</v>
      </c>
      <c r="C340" t="s">
        <v>21</v>
      </c>
      <c r="D340">
        <v>3</v>
      </c>
      <c r="E340" t="s">
        <v>155</v>
      </c>
      <c r="G340" t="s">
        <v>372</v>
      </c>
      <c r="I340" t="s">
        <v>57</v>
      </c>
      <c r="J340" t="s">
        <v>263</v>
      </c>
      <c r="K340" t="s">
        <v>305</v>
      </c>
      <c r="L340" t="s">
        <v>208</v>
      </c>
    </row>
    <row r="341" spans="1:12" x14ac:dyDescent="0.25">
      <c r="A341" t="s">
        <v>207</v>
      </c>
      <c r="B341">
        <v>120</v>
      </c>
      <c r="C341" t="s">
        <v>24</v>
      </c>
      <c r="D341">
        <v>1</v>
      </c>
      <c r="E341" t="s">
        <v>155</v>
      </c>
      <c r="F341">
        <v>15</v>
      </c>
      <c r="G341" t="s">
        <v>372</v>
      </c>
      <c r="H341">
        <v>12</v>
      </c>
      <c r="I341" t="s">
        <v>57</v>
      </c>
      <c r="J341" t="s">
        <v>266</v>
      </c>
      <c r="K341" t="s">
        <v>307</v>
      </c>
      <c r="L341" t="s">
        <v>208</v>
      </c>
    </row>
    <row r="342" spans="1:12" x14ac:dyDescent="0.25">
      <c r="A342" t="s">
        <v>207</v>
      </c>
      <c r="B342">
        <v>121</v>
      </c>
      <c r="C342" t="s">
        <v>24</v>
      </c>
      <c r="D342">
        <v>2</v>
      </c>
      <c r="E342" t="s">
        <v>155</v>
      </c>
      <c r="F342">
        <v>20</v>
      </c>
      <c r="G342" t="s">
        <v>372</v>
      </c>
      <c r="H342">
        <v>21</v>
      </c>
      <c r="I342" t="s">
        <v>57</v>
      </c>
      <c r="J342" t="s">
        <v>266</v>
      </c>
      <c r="K342" t="s">
        <v>307</v>
      </c>
      <c r="L342" t="s">
        <v>208</v>
      </c>
    </row>
    <row r="343" spans="1:12" x14ac:dyDescent="0.25">
      <c r="A343" t="s">
        <v>207</v>
      </c>
      <c r="B343">
        <v>122</v>
      </c>
      <c r="C343" t="s">
        <v>24</v>
      </c>
      <c r="D343">
        <v>3</v>
      </c>
      <c r="E343" t="s">
        <v>155</v>
      </c>
      <c r="F343">
        <v>15</v>
      </c>
      <c r="G343" t="s">
        <v>372</v>
      </c>
      <c r="H343">
        <v>10</v>
      </c>
      <c r="I343" t="s">
        <v>57</v>
      </c>
      <c r="J343" t="s">
        <v>266</v>
      </c>
      <c r="K343" t="s">
        <v>307</v>
      </c>
      <c r="L343" t="s">
        <v>208</v>
      </c>
    </row>
    <row r="344" spans="1:12" x14ac:dyDescent="0.25">
      <c r="A344" t="s">
        <v>207</v>
      </c>
      <c r="B344">
        <v>123</v>
      </c>
      <c r="C344" t="s">
        <v>27</v>
      </c>
      <c r="D344">
        <v>1</v>
      </c>
      <c r="E344" t="s">
        <v>155</v>
      </c>
      <c r="F344">
        <v>15</v>
      </c>
      <c r="G344" t="s">
        <v>372</v>
      </c>
      <c r="H344">
        <v>3</v>
      </c>
      <c r="I344" t="s">
        <v>57</v>
      </c>
      <c r="J344" t="s">
        <v>268</v>
      </c>
      <c r="K344" t="s">
        <v>309</v>
      </c>
      <c r="L344" t="s">
        <v>208</v>
      </c>
    </row>
    <row r="345" spans="1:12" x14ac:dyDescent="0.25">
      <c r="A345" t="s">
        <v>207</v>
      </c>
      <c r="B345">
        <v>124</v>
      </c>
      <c r="C345" t="s">
        <v>27</v>
      </c>
      <c r="D345">
        <v>2</v>
      </c>
      <c r="E345" t="s">
        <v>155</v>
      </c>
      <c r="F345">
        <v>15</v>
      </c>
      <c r="G345" t="s">
        <v>372</v>
      </c>
      <c r="H345">
        <v>7</v>
      </c>
      <c r="I345" t="s">
        <v>57</v>
      </c>
      <c r="J345" t="s">
        <v>268</v>
      </c>
      <c r="K345" t="s">
        <v>309</v>
      </c>
      <c r="L345" t="s">
        <v>208</v>
      </c>
    </row>
    <row r="346" spans="1:12" x14ac:dyDescent="0.25">
      <c r="A346" t="s">
        <v>207</v>
      </c>
      <c r="B346">
        <v>125</v>
      </c>
      <c r="C346" t="s">
        <v>27</v>
      </c>
      <c r="D346">
        <v>3</v>
      </c>
      <c r="E346" t="s">
        <v>155</v>
      </c>
      <c r="G346" t="s">
        <v>372</v>
      </c>
      <c r="I346" t="s">
        <v>57</v>
      </c>
      <c r="J346" t="s">
        <v>268</v>
      </c>
      <c r="K346" t="s">
        <v>309</v>
      </c>
      <c r="L346" t="s">
        <v>208</v>
      </c>
    </row>
    <row r="347" spans="1:12" x14ac:dyDescent="0.25">
      <c r="A347" t="s">
        <v>207</v>
      </c>
      <c r="B347">
        <v>129</v>
      </c>
      <c r="C347" t="s">
        <v>12</v>
      </c>
      <c r="D347">
        <v>1</v>
      </c>
      <c r="E347" t="s">
        <v>30</v>
      </c>
      <c r="F347">
        <v>13</v>
      </c>
      <c r="G347" t="s">
        <v>372</v>
      </c>
      <c r="H347">
        <v>15</v>
      </c>
      <c r="I347" t="s">
        <v>31</v>
      </c>
      <c r="J347" t="s">
        <v>233</v>
      </c>
      <c r="K347" t="s">
        <v>290</v>
      </c>
      <c r="L347" t="s">
        <v>208</v>
      </c>
    </row>
    <row r="348" spans="1:12" x14ac:dyDescent="0.25">
      <c r="A348" t="s">
        <v>207</v>
      </c>
      <c r="B348">
        <v>130</v>
      </c>
      <c r="C348" t="s">
        <v>12</v>
      </c>
      <c r="D348">
        <v>2</v>
      </c>
      <c r="E348" t="s">
        <v>30</v>
      </c>
      <c r="F348">
        <v>11</v>
      </c>
      <c r="G348" t="s">
        <v>372</v>
      </c>
      <c r="H348">
        <v>15</v>
      </c>
      <c r="I348" t="s">
        <v>31</v>
      </c>
      <c r="J348" t="s">
        <v>233</v>
      </c>
      <c r="K348" t="s">
        <v>290</v>
      </c>
      <c r="L348" t="s">
        <v>208</v>
      </c>
    </row>
    <row r="349" spans="1:12" x14ac:dyDescent="0.25">
      <c r="A349" t="s">
        <v>207</v>
      </c>
      <c r="B349">
        <v>131</v>
      </c>
      <c r="C349" t="s">
        <v>12</v>
      </c>
      <c r="D349">
        <v>3</v>
      </c>
      <c r="E349" t="s">
        <v>30</v>
      </c>
      <c r="G349" t="s">
        <v>372</v>
      </c>
      <c r="I349" t="s">
        <v>31</v>
      </c>
      <c r="J349" t="s">
        <v>233</v>
      </c>
      <c r="K349" t="s">
        <v>290</v>
      </c>
      <c r="L349" t="s">
        <v>208</v>
      </c>
    </row>
    <row r="350" spans="1:12" x14ac:dyDescent="0.25">
      <c r="A350" t="s">
        <v>207</v>
      </c>
      <c r="B350">
        <v>132</v>
      </c>
      <c r="C350" t="s">
        <v>18</v>
      </c>
      <c r="D350">
        <v>1</v>
      </c>
      <c r="E350" t="s">
        <v>30</v>
      </c>
      <c r="F350">
        <v>15</v>
      </c>
      <c r="G350" t="s">
        <v>372</v>
      </c>
      <c r="H350">
        <v>13</v>
      </c>
      <c r="I350" t="s">
        <v>31</v>
      </c>
      <c r="J350" t="s">
        <v>238</v>
      </c>
      <c r="K350" t="s">
        <v>292</v>
      </c>
      <c r="L350" t="s">
        <v>208</v>
      </c>
    </row>
    <row r="351" spans="1:12" x14ac:dyDescent="0.25">
      <c r="A351" t="s">
        <v>207</v>
      </c>
      <c r="B351">
        <v>133</v>
      </c>
      <c r="C351" t="s">
        <v>18</v>
      </c>
      <c r="D351">
        <v>2</v>
      </c>
      <c r="E351" t="s">
        <v>30</v>
      </c>
      <c r="F351">
        <v>15</v>
      </c>
      <c r="G351" t="s">
        <v>372</v>
      </c>
      <c r="H351">
        <v>10</v>
      </c>
      <c r="I351" t="s">
        <v>31</v>
      </c>
      <c r="J351" t="s">
        <v>238</v>
      </c>
      <c r="K351" t="s">
        <v>292</v>
      </c>
      <c r="L351" t="s">
        <v>208</v>
      </c>
    </row>
    <row r="352" spans="1:12" x14ac:dyDescent="0.25">
      <c r="A352" t="s">
        <v>207</v>
      </c>
      <c r="B352">
        <v>134</v>
      </c>
      <c r="C352" t="s">
        <v>18</v>
      </c>
      <c r="D352">
        <v>3</v>
      </c>
      <c r="E352" t="s">
        <v>30</v>
      </c>
      <c r="G352" t="s">
        <v>372</v>
      </c>
      <c r="I352" t="s">
        <v>31</v>
      </c>
      <c r="J352" t="s">
        <v>238</v>
      </c>
      <c r="K352" t="s">
        <v>292</v>
      </c>
      <c r="L352" t="s">
        <v>208</v>
      </c>
    </row>
    <row r="353" spans="1:12" x14ac:dyDescent="0.25">
      <c r="A353" t="s">
        <v>207</v>
      </c>
      <c r="B353">
        <v>135</v>
      </c>
      <c r="C353" t="s">
        <v>21</v>
      </c>
      <c r="D353">
        <v>1</v>
      </c>
      <c r="E353" t="s">
        <v>30</v>
      </c>
      <c r="F353">
        <v>15</v>
      </c>
      <c r="G353" t="s">
        <v>372</v>
      </c>
      <c r="H353">
        <v>10</v>
      </c>
      <c r="I353" t="s">
        <v>31</v>
      </c>
      <c r="J353" t="s">
        <v>243</v>
      </c>
      <c r="K353" t="s">
        <v>294</v>
      </c>
      <c r="L353" t="s">
        <v>208</v>
      </c>
    </row>
    <row r="354" spans="1:12" x14ac:dyDescent="0.25">
      <c r="A354" t="s">
        <v>207</v>
      </c>
      <c r="B354">
        <v>136</v>
      </c>
      <c r="C354" t="s">
        <v>21</v>
      </c>
      <c r="D354">
        <v>2</v>
      </c>
      <c r="E354" t="s">
        <v>30</v>
      </c>
      <c r="F354">
        <v>15</v>
      </c>
      <c r="G354" t="s">
        <v>372</v>
      </c>
      <c r="H354">
        <v>13</v>
      </c>
      <c r="I354" t="s">
        <v>31</v>
      </c>
      <c r="J354" t="s">
        <v>243</v>
      </c>
      <c r="K354" t="s">
        <v>294</v>
      </c>
      <c r="L354" t="s">
        <v>208</v>
      </c>
    </row>
    <row r="355" spans="1:12" x14ac:dyDescent="0.25">
      <c r="A355" t="s">
        <v>207</v>
      </c>
      <c r="B355">
        <v>137</v>
      </c>
      <c r="C355" t="s">
        <v>21</v>
      </c>
      <c r="D355">
        <v>3</v>
      </c>
      <c r="E355" t="s">
        <v>30</v>
      </c>
      <c r="G355" t="s">
        <v>372</v>
      </c>
      <c r="I355" t="s">
        <v>31</v>
      </c>
      <c r="J355" t="s">
        <v>243</v>
      </c>
      <c r="K355" t="s">
        <v>294</v>
      </c>
      <c r="L355" t="s">
        <v>208</v>
      </c>
    </row>
    <row r="356" spans="1:12" x14ac:dyDescent="0.25">
      <c r="A356" t="s">
        <v>207</v>
      </c>
      <c r="B356">
        <v>138</v>
      </c>
      <c r="C356" t="s">
        <v>24</v>
      </c>
      <c r="D356">
        <v>1</v>
      </c>
      <c r="E356" t="s">
        <v>30</v>
      </c>
      <c r="F356">
        <v>11</v>
      </c>
      <c r="G356" t="s">
        <v>372</v>
      </c>
      <c r="H356">
        <v>15</v>
      </c>
      <c r="I356" t="s">
        <v>31</v>
      </c>
      <c r="J356" t="s">
        <v>248</v>
      </c>
      <c r="K356" t="s">
        <v>296</v>
      </c>
      <c r="L356" t="s">
        <v>208</v>
      </c>
    </row>
    <row r="357" spans="1:12" x14ac:dyDescent="0.25">
      <c r="A357" t="s">
        <v>207</v>
      </c>
      <c r="B357">
        <v>139</v>
      </c>
      <c r="C357" t="s">
        <v>24</v>
      </c>
      <c r="D357">
        <v>2</v>
      </c>
      <c r="E357" t="s">
        <v>30</v>
      </c>
      <c r="F357">
        <v>21</v>
      </c>
      <c r="G357" t="s">
        <v>372</v>
      </c>
      <c r="H357">
        <v>20</v>
      </c>
      <c r="I357" t="s">
        <v>31</v>
      </c>
      <c r="J357" t="s">
        <v>248</v>
      </c>
      <c r="K357" t="s">
        <v>296</v>
      </c>
      <c r="L357" t="s">
        <v>208</v>
      </c>
    </row>
    <row r="358" spans="1:12" x14ac:dyDescent="0.25">
      <c r="A358" t="s">
        <v>207</v>
      </c>
      <c r="B358">
        <v>140</v>
      </c>
      <c r="C358" t="s">
        <v>24</v>
      </c>
      <c r="D358">
        <v>3</v>
      </c>
      <c r="E358" t="s">
        <v>30</v>
      </c>
      <c r="F358">
        <v>15</v>
      </c>
      <c r="G358" t="s">
        <v>372</v>
      </c>
      <c r="H358">
        <v>13</v>
      </c>
      <c r="I358" t="s">
        <v>31</v>
      </c>
      <c r="J358" t="s">
        <v>248</v>
      </c>
      <c r="K358" t="s">
        <v>296</v>
      </c>
      <c r="L358" t="s">
        <v>208</v>
      </c>
    </row>
    <row r="359" spans="1:12" x14ac:dyDescent="0.25">
      <c r="A359" t="s">
        <v>207</v>
      </c>
      <c r="B359">
        <v>141</v>
      </c>
      <c r="C359" t="s">
        <v>27</v>
      </c>
      <c r="D359">
        <v>1</v>
      </c>
      <c r="E359" t="s">
        <v>30</v>
      </c>
      <c r="F359">
        <v>15</v>
      </c>
      <c r="G359" t="s">
        <v>372</v>
      </c>
      <c r="H359">
        <v>10</v>
      </c>
      <c r="I359" t="s">
        <v>31</v>
      </c>
      <c r="J359" t="s">
        <v>253</v>
      </c>
      <c r="K359" t="s">
        <v>298</v>
      </c>
      <c r="L359" t="s">
        <v>208</v>
      </c>
    </row>
    <row r="360" spans="1:12" x14ac:dyDescent="0.25">
      <c r="A360" t="s">
        <v>207</v>
      </c>
      <c r="B360">
        <v>142</v>
      </c>
      <c r="C360" t="s">
        <v>27</v>
      </c>
      <c r="D360">
        <v>2</v>
      </c>
      <c r="E360" t="s">
        <v>30</v>
      </c>
      <c r="F360">
        <v>16</v>
      </c>
      <c r="G360" t="s">
        <v>372</v>
      </c>
      <c r="H360">
        <v>18</v>
      </c>
      <c r="I360" t="s">
        <v>31</v>
      </c>
      <c r="J360" t="s">
        <v>253</v>
      </c>
      <c r="K360" t="s">
        <v>298</v>
      </c>
      <c r="L360" t="s">
        <v>208</v>
      </c>
    </row>
    <row r="361" spans="1:12" x14ac:dyDescent="0.25">
      <c r="A361" t="s">
        <v>207</v>
      </c>
      <c r="B361">
        <v>143</v>
      </c>
      <c r="C361" t="s">
        <v>27</v>
      </c>
      <c r="D361">
        <v>3</v>
      </c>
      <c r="E361" t="s">
        <v>30</v>
      </c>
      <c r="F361">
        <v>15</v>
      </c>
      <c r="G361" t="s">
        <v>372</v>
      </c>
      <c r="H361">
        <v>11</v>
      </c>
      <c r="I361" t="s">
        <v>31</v>
      </c>
      <c r="J361" t="s">
        <v>253</v>
      </c>
      <c r="K361" t="s">
        <v>298</v>
      </c>
      <c r="L361" t="s">
        <v>208</v>
      </c>
    </row>
    <row r="362" spans="1:12" x14ac:dyDescent="0.25">
      <c r="A362" t="s">
        <v>207</v>
      </c>
      <c r="B362">
        <v>147</v>
      </c>
      <c r="C362" t="s">
        <v>12</v>
      </c>
      <c r="D362">
        <v>1</v>
      </c>
      <c r="E362" t="s">
        <v>82</v>
      </c>
      <c r="F362">
        <v>1</v>
      </c>
      <c r="G362" t="s">
        <v>372</v>
      </c>
      <c r="H362">
        <v>0</v>
      </c>
      <c r="I362" t="s">
        <v>225</v>
      </c>
      <c r="J362" t="s">
        <v>316</v>
      </c>
      <c r="L362" t="s">
        <v>222</v>
      </c>
    </row>
    <row r="363" spans="1:12" x14ac:dyDescent="0.25">
      <c r="A363" t="s">
        <v>207</v>
      </c>
      <c r="B363">
        <v>148</v>
      </c>
      <c r="C363" t="s">
        <v>12</v>
      </c>
      <c r="D363">
        <v>2</v>
      </c>
      <c r="E363" t="s">
        <v>82</v>
      </c>
      <c r="F363">
        <v>1</v>
      </c>
      <c r="G363" t="s">
        <v>372</v>
      </c>
      <c r="H363">
        <v>0</v>
      </c>
      <c r="I363" t="s">
        <v>225</v>
      </c>
      <c r="J363" t="s">
        <v>316</v>
      </c>
      <c r="L363" t="s">
        <v>222</v>
      </c>
    </row>
    <row r="364" spans="1:12" x14ac:dyDescent="0.25">
      <c r="A364" t="s">
        <v>207</v>
      </c>
      <c r="B364">
        <v>149</v>
      </c>
      <c r="C364" t="s">
        <v>12</v>
      </c>
      <c r="D364">
        <v>3</v>
      </c>
      <c r="E364" t="s">
        <v>82</v>
      </c>
      <c r="G364" t="s">
        <v>372</v>
      </c>
      <c r="I364" t="s">
        <v>225</v>
      </c>
      <c r="J364" t="s">
        <v>316</v>
      </c>
      <c r="L364" t="s">
        <v>222</v>
      </c>
    </row>
    <row r="365" spans="1:12" x14ac:dyDescent="0.25">
      <c r="A365" t="s">
        <v>207</v>
      </c>
      <c r="B365">
        <v>150</v>
      </c>
      <c r="C365" t="s">
        <v>18</v>
      </c>
      <c r="D365">
        <v>1</v>
      </c>
      <c r="E365" t="s">
        <v>82</v>
      </c>
      <c r="F365">
        <v>1</v>
      </c>
      <c r="G365" t="s">
        <v>372</v>
      </c>
      <c r="H365">
        <v>0</v>
      </c>
      <c r="I365" t="s">
        <v>225</v>
      </c>
      <c r="J365" t="s">
        <v>321</v>
      </c>
      <c r="L365" t="s">
        <v>222</v>
      </c>
    </row>
    <row r="366" spans="1:12" x14ac:dyDescent="0.25">
      <c r="A366" t="s">
        <v>207</v>
      </c>
      <c r="B366">
        <v>151</v>
      </c>
      <c r="C366" t="s">
        <v>18</v>
      </c>
      <c r="D366">
        <v>2</v>
      </c>
      <c r="E366" t="s">
        <v>82</v>
      </c>
      <c r="F366">
        <v>1</v>
      </c>
      <c r="G366" t="s">
        <v>372</v>
      </c>
      <c r="H366">
        <v>0</v>
      </c>
      <c r="I366" t="s">
        <v>225</v>
      </c>
      <c r="J366" t="s">
        <v>321</v>
      </c>
      <c r="L366" t="s">
        <v>222</v>
      </c>
    </row>
    <row r="367" spans="1:12" x14ac:dyDescent="0.25">
      <c r="A367" t="s">
        <v>207</v>
      </c>
      <c r="B367">
        <v>152</v>
      </c>
      <c r="C367" t="s">
        <v>18</v>
      </c>
      <c r="D367">
        <v>3</v>
      </c>
      <c r="E367" t="s">
        <v>82</v>
      </c>
      <c r="G367" t="s">
        <v>372</v>
      </c>
      <c r="I367" t="s">
        <v>225</v>
      </c>
      <c r="J367" t="s">
        <v>321</v>
      </c>
      <c r="L367" t="s">
        <v>222</v>
      </c>
    </row>
    <row r="368" spans="1:12" x14ac:dyDescent="0.25">
      <c r="A368" t="s">
        <v>207</v>
      </c>
      <c r="B368">
        <v>153</v>
      </c>
      <c r="C368" t="s">
        <v>21</v>
      </c>
      <c r="D368">
        <v>1</v>
      </c>
      <c r="E368" t="s">
        <v>82</v>
      </c>
      <c r="F368">
        <v>1</v>
      </c>
      <c r="G368" t="s">
        <v>372</v>
      </c>
      <c r="H368">
        <v>0</v>
      </c>
      <c r="I368" t="s">
        <v>225</v>
      </c>
      <c r="J368" t="s">
        <v>324</v>
      </c>
      <c r="L368" t="s">
        <v>222</v>
      </c>
    </row>
    <row r="369" spans="1:12" x14ac:dyDescent="0.25">
      <c r="A369" t="s">
        <v>207</v>
      </c>
      <c r="B369">
        <v>154</v>
      </c>
      <c r="C369" t="s">
        <v>21</v>
      </c>
      <c r="D369">
        <v>2</v>
      </c>
      <c r="E369" t="s">
        <v>82</v>
      </c>
      <c r="F369">
        <v>1</v>
      </c>
      <c r="G369" t="s">
        <v>372</v>
      </c>
      <c r="H369">
        <v>0</v>
      </c>
      <c r="I369" t="s">
        <v>225</v>
      </c>
      <c r="J369" t="s">
        <v>324</v>
      </c>
      <c r="L369" t="s">
        <v>222</v>
      </c>
    </row>
    <row r="370" spans="1:12" x14ac:dyDescent="0.25">
      <c r="A370" t="s">
        <v>207</v>
      </c>
      <c r="B370">
        <v>155</v>
      </c>
      <c r="C370" t="s">
        <v>21</v>
      </c>
      <c r="D370">
        <v>3</v>
      </c>
      <c r="E370" t="s">
        <v>82</v>
      </c>
      <c r="G370" t="s">
        <v>372</v>
      </c>
      <c r="I370" t="s">
        <v>225</v>
      </c>
      <c r="J370" t="s">
        <v>324</v>
      </c>
      <c r="L370" t="s">
        <v>222</v>
      </c>
    </row>
    <row r="371" spans="1:12" x14ac:dyDescent="0.25">
      <c r="A371" t="s">
        <v>207</v>
      </c>
      <c r="B371">
        <v>156</v>
      </c>
      <c r="C371" t="s">
        <v>24</v>
      </c>
      <c r="D371">
        <v>1</v>
      </c>
      <c r="E371" t="s">
        <v>82</v>
      </c>
      <c r="F371">
        <v>1</v>
      </c>
      <c r="G371" t="s">
        <v>372</v>
      </c>
      <c r="H371">
        <v>0</v>
      </c>
      <c r="I371" t="s">
        <v>225</v>
      </c>
      <c r="J371" t="s">
        <v>329</v>
      </c>
      <c r="L371" t="s">
        <v>222</v>
      </c>
    </row>
    <row r="372" spans="1:12" x14ac:dyDescent="0.25">
      <c r="A372" t="s">
        <v>207</v>
      </c>
      <c r="B372">
        <v>157</v>
      </c>
      <c r="C372" t="s">
        <v>24</v>
      </c>
      <c r="D372">
        <v>2</v>
      </c>
      <c r="E372" t="s">
        <v>82</v>
      </c>
      <c r="F372">
        <v>1</v>
      </c>
      <c r="G372" t="s">
        <v>372</v>
      </c>
      <c r="H372">
        <v>0</v>
      </c>
      <c r="I372" t="s">
        <v>225</v>
      </c>
      <c r="J372" t="s">
        <v>329</v>
      </c>
      <c r="L372" t="s">
        <v>222</v>
      </c>
    </row>
    <row r="373" spans="1:12" x14ac:dyDescent="0.25">
      <c r="A373" t="s">
        <v>207</v>
      </c>
      <c r="B373">
        <v>158</v>
      </c>
      <c r="C373" t="s">
        <v>24</v>
      </c>
      <c r="D373">
        <v>3</v>
      </c>
      <c r="E373" t="s">
        <v>82</v>
      </c>
      <c r="G373" t="s">
        <v>372</v>
      </c>
      <c r="I373" t="s">
        <v>225</v>
      </c>
      <c r="J373" t="s">
        <v>329</v>
      </c>
      <c r="L373" t="s">
        <v>222</v>
      </c>
    </row>
    <row r="374" spans="1:12" x14ac:dyDescent="0.25">
      <c r="A374" t="s">
        <v>207</v>
      </c>
      <c r="B374">
        <v>159</v>
      </c>
      <c r="C374" t="s">
        <v>27</v>
      </c>
      <c r="D374">
        <v>1</v>
      </c>
      <c r="E374" t="s">
        <v>82</v>
      </c>
      <c r="F374">
        <v>1</v>
      </c>
      <c r="G374" t="s">
        <v>372</v>
      </c>
      <c r="H374">
        <v>0</v>
      </c>
      <c r="I374" t="s">
        <v>225</v>
      </c>
      <c r="J374" t="s">
        <v>377</v>
      </c>
      <c r="L374" t="s">
        <v>222</v>
      </c>
    </row>
    <row r="375" spans="1:12" x14ac:dyDescent="0.25">
      <c r="A375" t="s">
        <v>207</v>
      </c>
      <c r="B375">
        <v>160</v>
      </c>
      <c r="C375" t="s">
        <v>27</v>
      </c>
      <c r="D375">
        <v>2</v>
      </c>
      <c r="E375" t="s">
        <v>82</v>
      </c>
      <c r="F375">
        <v>1</v>
      </c>
      <c r="G375" t="s">
        <v>372</v>
      </c>
      <c r="H375">
        <v>0</v>
      </c>
      <c r="I375" t="s">
        <v>225</v>
      </c>
      <c r="J375" t="s">
        <v>377</v>
      </c>
      <c r="L375" t="s">
        <v>222</v>
      </c>
    </row>
    <row r="376" spans="1:12" x14ac:dyDescent="0.25">
      <c r="A376" t="s">
        <v>207</v>
      </c>
      <c r="B376">
        <v>161</v>
      </c>
      <c r="C376" t="s">
        <v>27</v>
      </c>
      <c r="D376">
        <v>3</v>
      </c>
      <c r="E376" t="s">
        <v>82</v>
      </c>
      <c r="G376" t="s">
        <v>372</v>
      </c>
      <c r="I376" t="s">
        <v>225</v>
      </c>
      <c r="J376" t="s">
        <v>377</v>
      </c>
      <c r="L376" t="s">
        <v>222</v>
      </c>
    </row>
    <row r="377" spans="1:12" x14ac:dyDescent="0.25">
      <c r="A377" t="s">
        <v>207</v>
      </c>
      <c r="B377">
        <v>165</v>
      </c>
      <c r="C377" t="s">
        <v>12</v>
      </c>
      <c r="D377">
        <v>1</v>
      </c>
      <c r="E377" t="s">
        <v>13</v>
      </c>
      <c r="F377">
        <v>1</v>
      </c>
      <c r="G377" t="s">
        <v>372</v>
      </c>
      <c r="H377">
        <v>0</v>
      </c>
      <c r="I377" t="s">
        <v>225</v>
      </c>
      <c r="J377" t="s">
        <v>335</v>
      </c>
      <c r="L377" t="s">
        <v>222</v>
      </c>
    </row>
    <row r="378" spans="1:12" x14ac:dyDescent="0.25">
      <c r="A378" t="s">
        <v>207</v>
      </c>
      <c r="B378">
        <v>166</v>
      </c>
      <c r="C378" t="s">
        <v>12</v>
      </c>
      <c r="D378">
        <v>2</v>
      </c>
      <c r="E378" t="s">
        <v>13</v>
      </c>
      <c r="F378">
        <v>1</v>
      </c>
      <c r="G378" t="s">
        <v>372</v>
      </c>
      <c r="H378">
        <v>0</v>
      </c>
      <c r="I378" t="s">
        <v>225</v>
      </c>
      <c r="J378" t="s">
        <v>335</v>
      </c>
      <c r="L378" t="s">
        <v>222</v>
      </c>
    </row>
    <row r="379" spans="1:12" x14ac:dyDescent="0.25">
      <c r="A379" t="s">
        <v>207</v>
      </c>
      <c r="B379">
        <v>167</v>
      </c>
      <c r="C379" t="s">
        <v>12</v>
      </c>
      <c r="D379">
        <v>3</v>
      </c>
      <c r="E379" t="s">
        <v>13</v>
      </c>
      <c r="G379" t="s">
        <v>372</v>
      </c>
      <c r="I379" t="s">
        <v>225</v>
      </c>
      <c r="J379" t="s">
        <v>335</v>
      </c>
      <c r="L379" t="s">
        <v>222</v>
      </c>
    </row>
    <row r="380" spans="1:12" x14ac:dyDescent="0.25">
      <c r="A380" t="s">
        <v>207</v>
      </c>
      <c r="B380">
        <v>168</v>
      </c>
      <c r="C380" t="s">
        <v>18</v>
      </c>
      <c r="D380">
        <v>1</v>
      </c>
      <c r="E380" t="s">
        <v>13</v>
      </c>
      <c r="F380">
        <v>1</v>
      </c>
      <c r="G380" t="s">
        <v>372</v>
      </c>
      <c r="H380">
        <v>0</v>
      </c>
      <c r="I380" t="s">
        <v>225</v>
      </c>
      <c r="J380" t="s">
        <v>337</v>
      </c>
      <c r="L380" t="s">
        <v>222</v>
      </c>
    </row>
    <row r="381" spans="1:12" x14ac:dyDescent="0.25">
      <c r="A381" t="s">
        <v>207</v>
      </c>
      <c r="B381">
        <v>169</v>
      </c>
      <c r="C381" t="s">
        <v>18</v>
      </c>
      <c r="D381">
        <v>2</v>
      </c>
      <c r="E381" t="s">
        <v>13</v>
      </c>
      <c r="F381">
        <v>1</v>
      </c>
      <c r="G381" t="s">
        <v>372</v>
      </c>
      <c r="H381">
        <v>0</v>
      </c>
      <c r="I381" t="s">
        <v>225</v>
      </c>
      <c r="J381" t="s">
        <v>337</v>
      </c>
      <c r="L381" t="s">
        <v>222</v>
      </c>
    </row>
    <row r="382" spans="1:12" x14ac:dyDescent="0.25">
      <c r="A382" t="s">
        <v>207</v>
      </c>
      <c r="B382">
        <v>170</v>
      </c>
      <c r="C382" t="s">
        <v>18</v>
      </c>
      <c r="D382">
        <v>3</v>
      </c>
      <c r="E382" t="s">
        <v>13</v>
      </c>
      <c r="G382" t="s">
        <v>372</v>
      </c>
      <c r="I382" t="s">
        <v>225</v>
      </c>
      <c r="J382" t="s">
        <v>337</v>
      </c>
      <c r="L382" t="s">
        <v>222</v>
      </c>
    </row>
    <row r="383" spans="1:12" x14ac:dyDescent="0.25">
      <c r="A383" t="s">
        <v>207</v>
      </c>
      <c r="B383">
        <v>171</v>
      </c>
      <c r="C383" t="s">
        <v>21</v>
      </c>
      <c r="D383">
        <v>1</v>
      </c>
      <c r="E383" t="s">
        <v>13</v>
      </c>
      <c r="F383">
        <v>1</v>
      </c>
      <c r="G383" t="s">
        <v>372</v>
      </c>
      <c r="H383">
        <v>0</v>
      </c>
      <c r="I383" t="s">
        <v>225</v>
      </c>
      <c r="J383" t="s">
        <v>339</v>
      </c>
      <c r="L383" t="s">
        <v>222</v>
      </c>
    </row>
    <row r="384" spans="1:12" x14ac:dyDescent="0.25">
      <c r="A384" t="s">
        <v>207</v>
      </c>
      <c r="B384">
        <v>172</v>
      </c>
      <c r="C384" t="s">
        <v>21</v>
      </c>
      <c r="D384">
        <v>2</v>
      </c>
      <c r="E384" t="s">
        <v>13</v>
      </c>
      <c r="F384">
        <v>1</v>
      </c>
      <c r="G384" t="s">
        <v>372</v>
      </c>
      <c r="H384">
        <v>0</v>
      </c>
      <c r="I384" t="s">
        <v>225</v>
      </c>
      <c r="J384" t="s">
        <v>339</v>
      </c>
      <c r="L384" t="s">
        <v>222</v>
      </c>
    </row>
    <row r="385" spans="1:12" x14ac:dyDescent="0.25">
      <c r="A385" t="s">
        <v>207</v>
      </c>
      <c r="B385">
        <v>173</v>
      </c>
      <c r="C385" t="s">
        <v>21</v>
      </c>
      <c r="D385">
        <v>3</v>
      </c>
      <c r="E385" t="s">
        <v>13</v>
      </c>
      <c r="G385" t="s">
        <v>372</v>
      </c>
      <c r="I385" t="s">
        <v>225</v>
      </c>
      <c r="J385" t="s">
        <v>339</v>
      </c>
      <c r="L385" t="s">
        <v>222</v>
      </c>
    </row>
    <row r="386" spans="1:12" x14ac:dyDescent="0.25">
      <c r="A386" t="s">
        <v>207</v>
      </c>
      <c r="B386">
        <v>174</v>
      </c>
      <c r="C386" t="s">
        <v>24</v>
      </c>
      <c r="D386">
        <v>1</v>
      </c>
      <c r="E386" t="s">
        <v>13</v>
      </c>
      <c r="F386">
        <v>1</v>
      </c>
      <c r="G386" t="s">
        <v>372</v>
      </c>
      <c r="H386">
        <v>0</v>
      </c>
      <c r="I386" t="s">
        <v>225</v>
      </c>
      <c r="J386" t="s">
        <v>341</v>
      </c>
      <c r="L386" t="s">
        <v>222</v>
      </c>
    </row>
    <row r="387" spans="1:12" x14ac:dyDescent="0.25">
      <c r="A387" t="s">
        <v>207</v>
      </c>
      <c r="B387">
        <v>175</v>
      </c>
      <c r="C387" t="s">
        <v>24</v>
      </c>
      <c r="D387">
        <v>2</v>
      </c>
      <c r="E387" t="s">
        <v>13</v>
      </c>
      <c r="F387">
        <v>1</v>
      </c>
      <c r="G387" t="s">
        <v>372</v>
      </c>
      <c r="H387">
        <v>0</v>
      </c>
      <c r="I387" t="s">
        <v>225</v>
      </c>
      <c r="J387" t="s">
        <v>341</v>
      </c>
      <c r="L387" t="s">
        <v>222</v>
      </c>
    </row>
    <row r="388" spans="1:12" x14ac:dyDescent="0.25">
      <c r="A388" t="s">
        <v>207</v>
      </c>
      <c r="B388">
        <v>176</v>
      </c>
      <c r="C388" t="s">
        <v>24</v>
      </c>
      <c r="D388">
        <v>3</v>
      </c>
      <c r="E388" t="s">
        <v>13</v>
      </c>
      <c r="G388" t="s">
        <v>372</v>
      </c>
      <c r="I388" t="s">
        <v>225</v>
      </c>
      <c r="J388" t="s">
        <v>341</v>
      </c>
      <c r="L388" t="s">
        <v>222</v>
      </c>
    </row>
    <row r="389" spans="1:12" x14ac:dyDescent="0.25">
      <c r="A389" t="s">
        <v>207</v>
      </c>
      <c r="B389">
        <v>177</v>
      </c>
      <c r="C389" t="s">
        <v>27</v>
      </c>
      <c r="D389">
        <v>1</v>
      </c>
      <c r="E389" t="s">
        <v>13</v>
      </c>
      <c r="F389">
        <v>1</v>
      </c>
      <c r="G389" t="s">
        <v>372</v>
      </c>
      <c r="H389">
        <v>0</v>
      </c>
      <c r="I389" t="s">
        <v>225</v>
      </c>
      <c r="J389" t="s">
        <v>343</v>
      </c>
      <c r="L389" t="s">
        <v>222</v>
      </c>
    </row>
    <row r="390" spans="1:12" x14ac:dyDescent="0.25">
      <c r="A390" t="s">
        <v>207</v>
      </c>
      <c r="B390">
        <v>178</v>
      </c>
      <c r="C390" t="s">
        <v>27</v>
      </c>
      <c r="D390">
        <v>2</v>
      </c>
      <c r="E390" t="s">
        <v>13</v>
      </c>
      <c r="F390">
        <v>1</v>
      </c>
      <c r="G390" t="s">
        <v>372</v>
      </c>
      <c r="H390">
        <v>0</v>
      </c>
      <c r="I390" t="s">
        <v>225</v>
      </c>
      <c r="J390" t="s">
        <v>343</v>
      </c>
      <c r="L390" t="s">
        <v>222</v>
      </c>
    </row>
    <row r="391" spans="1:12" x14ac:dyDescent="0.25">
      <c r="A391" t="s">
        <v>207</v>
      </c>
      <c r="B391">
        <v>179</v>
      </c>
      <c r="C391" t="s">
        <v>27</v>
      </c>
      <c r="D391">
        <v>3</v>
      </c>
      <c r="E391" t="s">
        <v>13</v>
      </c>
      <c r="G391" t="s">
        <v>372</v>
      </c>
      <c r="I391" t="s">
        <v>225</v>
      </c>
      <c r="J391" t="s">
        <v>343</v>
      </c>
      <c r="L391" t="s">
        <v>222</v>
      </c>
    </row>
    <row r="392" spans="1:12" x14ac:dyDescent="0.25">
      <c r="A392" t="s">
        <v>207</v>
      </c>
      <c r="B392">
        <v>183</v>
      </c>
      <c r="C392" t="s">
        <v>12</v>
      </c>
      <c r="D392">
        <v>1</v>
      </c>
      <c r="E392" t="s">
        <v>44</v>
      </c>
      <c r="F392">
        <v>1</v>
      </c>
      <c r="G392" t="s">
        <v>372</v>
      </c>
      <c r="H392">
        <v>0</v>
      </c>
      <c r="I392" t="s">
        <v>225</v>
      </c>
      <c r="J392" t="s">
        <v>317</v>
      </c>
      <c r="L392" t="s">
        <v>222</v>
      </c>
    </row>
    <row r="393" spans="1:12" x14ac:dyDescent="0.25">
      <c r="A393" t="s">
        <v>207</v>
      </c>
      <c r="B393">
        <v>184</v>
      </c>
      <c r="C393" t="s">
        <v>12</v>
      </c>
      <c r="D393">
        <v>2</v>
      </c>
      <c r="E393" t="s">
        <v>44</v>
      </c>
      <c r="F393">
        <v>1</v>
      </c>
      <c r="G393" t="s">
        <v>372</v>
      </c>
      <c r="H393">
        <v>0</v>
      </c>
      <c r="I393" t="s">
        <v>225</v>
      </c>
      <c r="J393" t="s">
        <v>317</v>
      </c>
      <c r="L393" t="s">
        <v>222</v>
      </c>
    </row>
    <row r="394" spans="1:12" x14ac:dyDescent="0.25">
      <c r="A394" t="s">
        <v>207</v>
      </c>
      <c r="B394">
        <v>185</v>
      </c>
      <c r="C394" t="s">
        <v>12</v>
      </c>
      <c r="D394">
        <v>3</v>
      </c>
      <c r="E394" t="s">
        <v>44</v>
      </c>
      <c r="G394" t="s">
        <v>372</v>
      </c>
      <c r="I394" t="s">
        <v>225</v>
      </c>
      <c r="J394" t="s">
        <v>317</v>
      </c>
      <c r="L394" t="s">
        <v>222</v>
      </c>
    </row>
    <row r="395" spans="1:12" x14ac:dyDescent="0.25">
      <c r="A395" t="s">
        <v>207</v>
      </c>
      <c r="B395">
        <v>186</v>
      </c>
      <c r="C395" t="s">
        <v>18</v>
      </c>
      <c r="D395">
        <v>1</v>
      </c>
      <c r="E395" t="s">
        <v>44</v>
      </c>
      <c r="F395">
        <v>1</v>
      </c>
      <c r="G395" t="s">
        <v>372</v>
      </c>
      <c r="H395">
        <v>0</v>
      </c>
      <c r="I395" t="s">
        <v>225</v>
      </c>
      <c r="J395" t="s">
        <v>322</v>
      </c>
      <c r="L395" t="s">
        <v>222</v>
      </c>
    </row>
    <row r="396" spans="1:12" x14ac:dyDescent="0.25">
      <c r="A396" t="s">
        <v>207</v>
      </c>
      <c r="B396">
        <v>187</v>
      </c>
      <c r="C396" t="s">
        <v>18</v>
      </c>
      <c r="D396">
        <v>2</v>
      </c>
      <c r="E396" t="s">
        <v>44</v>
      </c>
      <c r="F396">
        <v>1</v>
      </c>
      <c r="G396" t="s">
        <v>372</v>
      </c>
      <c r="H396">
        <v>0</v>
      </c>
      <c r="I396" t="s">
        <v>225</v>
      </c>
      <c r="J396" t="s">
        <v>322</v>
      </c>
      <c r="L396" t="s">
        <v>222</v>
      </c>
    </row>
    <row r="397" spans="1:12" x14ac:dyDescent="0.25">
      <c r="A397" t="s">
        <v>207</v>
      </c>
      <c r="B397">
        <v>188</v>
      </c>
      <c r="C397" t="s">
        <v>18</v>
      </c>
      <c r="D397">
        <v>3</v>
      </c>
      <c r="E397" t="s">
        <v>44</v>
      </c>
      <c r="G397" t="s">
        <v>372</v>
      </c>
      <c r="I397" t="s">
        <v>225</v>
      </c>
      <c r="J397" t="s">
        <v>322</v>
      </c>
      <c r="L397" t="s">
        <v>222</v>
      </c>
    </row>
    <row r="398" spans="1:12" x14ac:dyDescent="0.25">
      <c r="A398" t="s">
        <v>207</v>
      </c>
      <c r="B398">
        <v>189</v>
      </c>
      <c r="C398" t="s">
        <v>21</v>
      </c>
      <c r="D398">
        <v>1</v>
      </c>
      <c r="E398" t="s">
        <v>44</v>
      </c>
      <c r="F398">
        <v>1</v>
      </c>
      <c r="G398" t="s">
        <v>372</v>
      </c>
      <c r="H398">
        <v>0</v>
      </c>
      <c r="I398" t="s">
        <v>225</v>
      </c>
      <c r="J398" t="s">
        <v>327</v>
      </c>
      <c r="L398" t="s">
        <v>222</v>
      </c>
    </row>
    <row r="399" spans="1:12" x14ac:dyDescent="0.25">
      <c r="A399" t="s">
        <v>207</v>
      </c>
      <c r="B399">
        <v>190</v>
      </c>
      <c r="C399" t="s">
        <v>21</v>
      </c>
      <c r="D399">
        <v>2</v>
      </c>
      <c r="E399" t="s">
        <v>44</v>
      </c>
      <c r="F399">
        <v>1</v>
      </c>
      <c r="G399" t="s">
        <v>372</v>
      </c>
      <c r="H399">
        <v>0</v>
      </c>
      <c r="I399" t="s">
        <v>225</v>
      </c>
      <c r="J399" t="s">
        <v>327</v>
      </c>
      <c r="L399" t="s">
        <v>222</v>
      </c>
    </row>
    <row r="400" spans="1:12" x14ac:dyDescent="0.25">
      <c r="A400" t="s">
        <v>207</v>
      </c>
      <c r="B400">
        <v>191</v>
      </c>
      <c r="C400" t="s">
        <v>21</v>
      </c>
      <c r="D400">
        <v>3</v>
      </c>
      <c r="E400" t="s">
        <v>44</v>
      </c>
      <c r="G400" t="s">
        <v>372</v>
      </c>
      <c r="I400" t="s">
        <v>225</v>
      </c>
      <c r="J400" t="s">
        <v>327</v>
      </c>
      <c r="L400" t="s">
        <v>222</v>
      </c>
    </row>
    <row r="401" spans="1:12" x14ac:dyDescent="0.25">
      <c r="A401" t="s">
        <v>207</v>
      </c>
      <c r="B401">
        <v>192</v>
      </c>
      <c r="C401" t="s">
        <v>24</v>
      </c>
      <c r="D401">
        <v>1</v>
      </c>
      <c r="E401" t="s">
        <v>44</v>
      </c>
      <c r="F401">
        <v>1</v>
      </c>
      <c r="G401" t="s">
        <v>372</v>
      </c>
      <c r="H401">
        <v>0</v>
      </c>
      <c r="I401" t="s">
        <v>225</v>
      </c>
      <c r="J401" t="s">
        <v>331</v>
      </c>
      <c r="L401" t="s">
        <v>222</v>
      </c>
    </row>
    <row r="402" spans="1:12" x14ac:dyDescent="0.25">
      <c r="A402" t="s">
        <v>207</v>
      </c>
      <c r="B402">
        <v>193</v>
      </c>
      <c r="C402" t="s">
        <v>24</v>
      </c>
      <c r="D402">
        <v>2</v>
      </c>
      <c r="E402" t="s">
        <v>44</v>
      </c>
      <c r="F402">
        <v>1</v>
      </c>
      <c r="G402" t="s">
        <v>372</v>
      </c>
      <c r="H402">
        <v>0</v>
      </c>
      <c r="I402" t="s">
        <v>225</v>
      </c>
      <c r="J402" t="s">
        <v>331</v>
      </c>
      <c r="L402" t="s">
        <v>222</v>
      </c>
    </row>
    <row r="403" spans="1:12" x14ac:dyDescent="0.25">
      <c r="A403" t="s">
        <v>207</v>
      </c>
      <c r="B403">
        <v>194</v>
      </c>
      <c r="C403" t="s">
        <v>24</v>
      </c>
      <c r="D403">
        <v>3</v>
      </c>
      <c r="E403" t="s">
        <v>44</v>
      </c>
      <c r="G403" t="s">
        <v>372</v>
      </c>
      <c r="I403" t="s">
        <v>225</v>
      </c>
      <c r="J403" t="s">
        <v>331</v>
      </c>
      <c r="L403" t="s">
        <v>222</v>
      </c>
    </row>
    <row r="404" spans="1:12" x14ac:dyDescent="0.25">
      <c r="A404" t="s">
        <v>207</v>
      </c>
      <c r="B404">
        <v>195</v>
      </c>
      <c r="C404" t="s">
        <v>27</v>
      </c>
      <c r="D404">
        <v>1</v>
      </c>
      <c r="E404" t="s">
        <v>44</v>
      </c>
      <c r="F404">
        <v>1</v>
      </c>
      <c r="G404" t="s">
        <v>372</v>
      </c>
      <c r="H404">
        <v>0</v>
      </c>
      <c r="I404" t="s">
        <v>225</v>
      </c>
      <c r="J404" t="s">
        <v>334</v>
      </c>
      <c r="L404" t="s">
        <v>222</v>
      </c>
    </row>
    <row r="405" spans="1:12" x14ac:dyDescent="0.25">
      <c r="A405" t="s">
        <v>207</v>
      </c>
      <c r="B405">
        <v>196</v>
      </c>
      <c r="C405" t="s">
        <v>27</v>
      </c>
      <c r="D405">
        <v>2</v>
      </c>
      <c r="E405" t="s">
        <v>44</v>
      </c>
      <c r="F405">
        <v>1</v>
      </c>
      <c r="G405" t="s">
        <v>372</v>
      </c>
      <c r="H405">
        <v>0</v>
      </c>
      <c r="I405" t="s">
        <v>225</v>
      </c>
      <c r="J405" t="s">
        <v>334</v>
      </c>
      <c r="L405" t="s">
        <v>222</v>
      </c>
    </row>
    <row r="406" spans="1:12" x14ac:dyDescent="0.25">
      <c r="A406" t="s">
        <v>207</v>
      </c>
      <c r="B406">
        <v>197</v>
      </c>
      <c r="C406" t="s">
        <v>27</v>
      </c>
      <c r="D406">
        <v>3</v>
      </c>
      <c r="E406" t="s">
        <v>44</v>
      </c>
      <c r="G406" t="s">
        <v>372</v>
      </c>
      <c r="I406" t="s">
        <v>225</v>
      </c>
      <c r="J406" t="s">
        <v>334</v>
      </c>
      <c r="L406" t="s">
        <v>222</v>
      </c>
    </row>
    <row r="407" spans="1:12" x14ac:dyDescent="0.25">
      <c r="A407" t="s">
        <v>207</v>
      </c>
      <c r="B407">
        <v>201</v>
      </c>
      <c r="C407" t="s">
        <v>12</v>
      </c>
      <c r="D407">
        <v>1</v>
      </c>
      <c r="E407" t="s">
        <v>109</v>
      </c>
      <c r="F407">
        <v>1</v>
      </c>
      <c r="G407" t="s">
        <v>372</v>
      </c>
      <c r="H407">
        <v>0</v>
      </c>
      <c r="I407" t="s">
        <v>225</v>
      </c>
      <c r="J407" t="s">
        <v>346</v>
      </c>
      <c r="L407" t="s">
        <v>222</v>
      </c>
    </row>
    <row r="408" spans="1:12" x14ac:dyDescent="0.25">
      <c r="A408" t="s">
        <v>207</v>
      </c>
      <c r="B408">
        <v>202</v>
      </c>
      <c r="C408" t="s">
        <v>12</v>
      </c>
      <c r="D408">
        <v>2</v>
      </c>
      <c r="E408" t="s">
        <v>109</v>
      </c>
      <c r="F408">
        <v>1</v>
      </c>
      <c r="G408" t="s">
        <v>372</v>
      </c>
      <c r="H408">
        <v>0</v>
      </c>
      <c r="I408" t="s">
        <v>225</v>
      </c>
      <c r="J408" t="s">
        <v>346</v>
      </c>
      <c r="L408" t="s">
        <v>222</v>
      </c>
    </row>
    <row r="409" spans="1:12" x14ac:dyDescent="0.25">
      <c r="A409" t="s">
        <v>207</v>
      </c>
      <c r="B409">
        <v>203</v>
      </c>
      <c r="C409" t="s">
        <v>12</v>
      </c>
      <c r="D409">
        <v>3</v>
      </c>
      <c r="E409" t="s">
        <v>109</v>
      </c>
      <c r="G409" t="s">
        <v>372</v>
      </c>
      <c r="I409" t="s">
        <v>225</v>
      </c>
      <c r="J409" t="s">
        <v>346</v>
      </c>
      <c r="L409" t="s">
        <v>222</v>
      </c>
    </row>
    <row r="410" spans="1:12" x14ac:dyDescent="0.25">
      <c r="A410" t="s">
        <v>207</v>
      </c>
      <c r="B410">
        <v>204</v>
      </c>
      <c r="C410" t="s">
        <v>18</v>
      </c>
      <c r="D410">
        <v>1</v>
      </c>
      <c r="E410" t="s">
        <v>109</v>
      </c>
      <c r="F410">
        <v>1</v>
      </c>
      <c r="G410" t="s">
        <v>372</v>
      </c>
      <c r="H410">
        <v>0</v>
      </c>
      <c r="I410" t="s">
        <v>225</v>
      </c>
      <c r="J410" t="s">
        <v>348</v>
      </c>
      <c r="L410" t="s">
        <v>222</v>
      </c>
    </row>
    <row r="411" spans="1:12" x14ac:dyDescent="0.25">
      <c r="A411" t="s">
        <v>207</v>
      </c>
      <c r="B411">
        <v>205</v>
      </c>
      <c r="C411" t="s">
        <v>18</v>
      </c>
      <c r="D411">
        <v>2</v>
      </c>
      <c r="E411" t="s">
        <v>109</v>
      </c>
      <c r="F411">
        <v>1</v>
      </c>
      <c r="G411" t="s">
        <v>372</v>
      </c>
      <c r="H411">
        <v>0</v>
      </c>
      <c r="I411" t="s">
        <v>225</v>
      </c>
      <c r="J411" t="s">
        <v>348</v>
      </c>
      <c r="L411" t="s">
        <v>222</v>
      </c>
    </row>
    <row r="412" spans="1:12" x14ac:dyDescent="0.25">
      <c r="A412" t="s">
        <v>207</v>
      </c>
      <c r="B412">
        <v>206</v>
      </c>
      <c r="C412" t="s">
        <v>18</v>
      </c>
      <c r="D412">
        <v>3</v>
      </c>
      <c r="E412" t="s">
        <v>109</v>
      </c>
      <c r="G412" t="s">
        <v>372</v>
      </c>
      <c r="I412" t="s">
        <v>225</v>
      </c>
      <c r="J412" t="s">
        <v>348</v>
      </c>
      <c r="L412" t="s">
        <v>222</v>
      </c>
    </row>
    <row r="413" spans="1:12" x14ac:dyDescent="0.25">
      <c r="A413" t="s">
        <v>207</v>
      </c>
      <c r="B413">
        <v>207</v>
      </c>
      <c r="C413" t="s">
        <v>21</v>
      </c>
      <c r="D413">
        <v>1</v>
      </c>
      <c r="E413" t="s">
        <v>109</v>
      </c>
      <c r="F413">
        <v>1</v>
      </c>
      <c r="G413" t="s">
        <v>372</v>
      </c>
      <c r="H413">
        <v>0</v>
      </c>
      <c r="I413" t="s">
        <v>225</v>
      </c>
      <c r="J413" t="s">
        <v>350</v>
      </c>
      <c r="L413" t="s">
        <v>222</v>
      </c>
    </row>
    <row r="414" spans="1:12" x14ac:dyDescent="0.25">
      <c r="A414" t="s">
        <v>207</v>
      </c>
      <c r="B414">
        <v>208</v>
      </c>
      <c r="C414" t="s">
        <v>21</v>
      </c>
      <c r="D414">
        <v>2</v>
      </c>
      <c r="E414" t="s">
        <v>109</v>
      </c>
      <c r="F414">
        <v>1</v>
      </c>
      <c r="G414" t="s">
        <v>372</v>
      </c>
      <c r="H414">
        <v>0</v>
      </c>
      <c r="I414" t="s">
        <v>225</v>
      </c>
      <c r="J414" t="s">
        <v>350</v>
      </c>
      <c r="L414" t="s">
        <v>222</v>
      </c>
    </row>
    <row r="415" spans="1:12" x14ac:dyDescent="0.25">
      <c r="A415" t="s">
        <v>207</v>
      </c>
      <c r="B415">
        <v>209</v>
      </c>
      <c r="C415" t="s">
        <v>21</v>
      </c>
      <c r="D415">
        <v>3</v>
      </c>
      <c r="E415" t="s">
        <v>109</v>
      </c>
      <c r="G415" t="s">
        <v>372</v>
      </c>
      <c r="I415" t="s">
        <v>225</v>
      </c>
      <c r="J415" t="s">
        <v>350</v>
      </c>
      <c r="L415" t="s">
        <v>222</v>
      </c>
    </row>
    <row r="416" spans="1:12" x14ac:dyDescent="0.25">
      <c r="A416" t="s">
        <v>207</v>
      </c>
      <c r="B416">
        <v>210</v>
      </c>
      <c r="C416" t="s">
        <v>24</v>
      </c>
      <c r="D416">
        <v>1</v>
      </c>
      <c r="E416" t="s">
        <v>109</v>
      </c>
      <c r="F416">
        <v>1</v>
      </c>
      <c r="G416" t="s">
        <v>372</v>
      </c>
      <c r="H416">
        <v>0</v>
      </c>
      <c r="I416" t="s">
        <v>225</v>
      </c>
      <c r="J416" t="s">
        <v>352</v>
      </c>
      <c r="L416" t="s">
        <v>222</v>
      </c>
    </row>
    <row r="417" spans="1:12" x14ac:dyDescent="0.25">
      <c r="A417" t="s">
        <v>207</v>
      </c>
      <c r="B417">
        <v>211</v>
      </c>
      <c r="C417" t="s">
        <v>24</v>
      </c>
      <c r="D417">
        <v>2</v>
      </c>
      <c r="E417" t="s">
        <v>109</v>
      </c>
      <c r="F417">
        <v>1</v>
      </c>
      <c r="G417" t="s">
        <v>372</v>
      </c>
      <c r="H417">
        <v>0</v>
      </c>
      <c r="I417" t="s">
        <v>225</v>
      </c>
      <c r="J417" t="s">
        <v>352</v>
      </c>
      <c r="L417" t="s">
        <v>222</v>
      </c>
    </row>
    <row r="418" spans="1:12" x14ac:dyDescent="0.25">
      <c r="A418" t="s">
        <v>207</v>
      </c>
      <c r="B418">
        <v>212</v>
      </c>
      <c r="C418" t="s">
        <v>24</v>
      </c>
      <c r="D418">
        <v>3</v>
      </c>
      <c r="E418" t="s">
        <v>109</v>
      </c>
      <c r="G418" t="s">
        <v>372</v>
      </c>
      <c r="I418" t="s">
        <v>225</v>
      </c>
      <c r="J418" t="s">
        <v>352</v>
      </c>
      <c r="L418" t="s">
        <v>222</v>
      </c>
    </row>
    <row r="419" spans="1:12" x14ac:dyDescent="0.25">
      <c r="A419" t="s">
        <v>207</v>
      </c>
      <c r="B419">
        <v>213</v>
      </c>
      <c r="C419" t="s">
        <v>27</v>
      </c>
      <c r="D419">
        <v>1</v>
      </c>
      <c r="E419" t="s">
        <v>109</v>
      </c>
      <c r="F419">
        <v>1</v>
      </c>
      <c r="G419" t="s">
        <v>372</v>
      </c>
      <c r="H419">
        <v>0</v>
      </c>
      <c r="I419" t="s">
        <v>225</v>
      </c>
      <c r="J419" t="s">
        <v>353</v>
      </c>
      <c r="L419" t="s">
        <v>222</v>
      </c>
    </row>
    <row r="420" spans="1:12" x14ac:dyDescent="0.25">
      <c r="A420" t="s">
        <v>207</v>
      </c>
      <c r="B420">
        <v>214</v>
      </c>
      <c r="C420" t="s">
        <v>27</v>
      </c>
      <c r="D420">
        <v>2</v>
      </c>
      <c r="E420" t="s">
        <v>109</v>
      </c>
      <c r="F420">
        <v>1</v>
      </c>
      <c r="G420" t="s">
        <v>372</v>
      </c>
      <c r="H420">
        <v>0</v>
      </c>
      <c r="I420" t="s">
        <v>225</v>
      </c>
      <c r="J420" t="s">
        <v>353</v>
      </c>
      <c r="L420" t="s">
        <v>222</v>
      </c>
    </row>
    <row r="421" spans="1:12" x14ac:dyDescent="0.25">
      <c r="A421" t="s">
        <v>207</v>
      </c>
      <c r="B421">
        <v>215</v>
      </c>
      <c r="C421" t="s">
        <v>27</v>
      </c>
      <c r="D421">
        <v>3</v>
      </c>
      <c r="E421" t="s">
        <v>109</v>
      </c>
      <c r="G421" t="s">
        <v>372</v>
      </c>
      <c r="I421" t="s">
        <v>225</v>
      </c>
      <c r="J421" t="s">
        <v>353</v>
      </c>
      <c r="L421" t="s">
        <v>222</v>
      </c>
    </row>
    <row r="422" spans="1:12" x14ac:dyDescent="0.25">
      <c r="A422" t="s">
        <v>207</v>
      </c>
      <c r="B422">
        <v>219</v>
      </c>
      <c r="C422" t="s">
        <v>12</v>
      </c>
      <c r="D422">
        <v>1</v>
      </c>
      <c r="E422" t="s">
        <v>56</v>
      </c>
      <c r="F422">
        <v>1</v>
      </c>
      <c r="G422" t="s">
        <v>372</v>
      </c>
      <c r="H422">
        <v>0</v>
      </c>
      <c r="I422" t="s">
        <v>225</v>
      </c>
      <c r="J422" t="s">
        <v>319</v>
      </c>
      <c r="L422" t="s">
        <v>222</v>
      </c>
    </row>
    <row r="423" spans="1:12" x14ac:dyDescent="0.25">
      <c r="A423" t="s">
        <v>207</v>
      </c>
      <c r="B423">
        <v>220</v>
      </c>
      <c r="C423" t="s">
        <v>12</v>
      </c>
      <c r="D423">
        <v>2</v>
      </c>
      <c r="E423" t="s">
        <v>56</v>
      </c>
      <c r="F423">
        <v>1</v>
      </c>
      <c r="G423" t="s">
        <v>372</v>
      </c>
      <c r="H423">
        <v>0</v>
      </c>
      <c r="I423" t="s">
        <v>225</v>
      </c>
      <c r="J423" t="s">
        <v>319</v>
      </c>
      <c r="L423" t="s">
        <v>222</v>
      </c>
    </row>
    <row r="424" spans="1:12" x14ac:dyDescent="0.25">
      <c r="A424" t="s">
        <v>207</v>
      </c>
      <c r="B424">
        <v>221</v>
      </c>
      <c r="C424" t="s">
        <v>12</v>
      </c>
      <c r="D424">
        <v>3</v>
      </c>
      <c r="E424" t="s">
        <v>56</v>
      </c>
      <c r="G424" t="s">
        <v>372</v>
      </c>
      <c r="I424" t="s">
        <v>225</v>
      </c>
      <c r="J424" t="s">
        <v>319</v>
      </c>
      <c r="L424" t="s">
        <v>222</v>
      </c>
    </row>
    <row r="425" spans="1:12" x14ac:dyDescent="0.25">
      <c r="A425" t="s">
        <v>207</v>
      </c>
      <c r="B425">
        <v>222</v>
      </c>
      <c r="C425" t="s">
        <v>18</v>
      </c>
      <c r="D425">
        <v>1</v>
      </c>
      <c r="E425" t="s">
        <v>56</v>
      </c>
      <c r="F425">
        <v>1</v>
      </c>
      <c r="G425" t="s">
        <v>372</v>
      </c>
      <c r="H425">
        <v>0</v>
      </c>
      <c r="I425" t="s">
        <v>225</v>
      </c>
      <c r="J425" t="s">
        <v>323</v>
      </c>
      <c r="L425" t="s">
        <v>222</v>
      </c>
    </row>
    <row r="426" spans="1:12" x14ac:dyDescent="0.25">
      <c r="A426" t="s">
        <v>207</v>
      </c>
      <c r="B426">
        <v>223</v>
      </c>
      <c r="C426" t="s">
        <v>18</v>
      </c>
      <c r="D426">
        <v>2</v>
      </c>
      <c r="E426" t="s">
        <v>56</v>
      </c>
      <c r="F426">
        <v>1</v>
      </c>
      <c r="G426" t="s">
        <v>372</v>
      </c>
      <c r="H426">
        <v>0</v>
      </c>
      <c r="I426" t="s">
        <v>225</v>
      </c>
      <c r="J426" t="s">
        <v>323</v>
      </c>
      <c r="L426" t="s">
        <v>222</v>
      </c>
    </row>
    <row r="427" spans="1:12" x14ac:dyDescent="0.25">
      <c r="A427" t="s">
        <v>207</v>
      </c>
      <c r="B427">
        <v>224</v>
      </c>
      <c r="C427" t="s">
        <v>18</v>
      </c>
      <c r="D427">
        <v>3</v>
      </c>
      <c r="E427" t="s">
        <v>56</v>
      </c>
      <c r="G427" t="s">
        <v>372</v>
      </c>
      <c r="I427" t="s">
        <v>225</v>
      </c>
      <c r="J427" t="s">
        <v>323</v>
      </c>
      <c r="L427" t="s">
        <v>222</v>
      </c>
    </row>
    <row r="428" spans="1:12" x14ac:dyDescent="0.25">
      <c r="A428" t="s">
        <v>207</v>
      </c>
      <c r="B428">
        <v>225</v>
      </c>
      <c r="C428" t="s">
        <v>21</v>
      </c>
      <c r="D428">
        <v>1</v>
      </c>
      <c r="E428" t="s">
        <v>56</v>
      </c>
      <c r="F428">
        <v>1</v>
      </c>
      <c r="G428" t="s">
        <v>372</v>
      </c>
      <c r="H428">
        <v>0</v>
      </c>
      <c r="I428" t="s">
        <v>225</v>
      </c>
      <c r="J428" t="s">
        <v>325</v>
      </c>
      <c r="L428" t="s">
        <v>222</v>
      </c>
    </row>
    <row r="429" spans="1:12" x14ac:dyDescent="0.25">
      <c r="A429" t="s">
        <v>207</v>
      </c>
      <c r="B429">
        <v>226</v>
      </c>
      <c r="C429" t="s">
        <v>21</v>
      </c>
      <c r="D429">
        <v>2</v>
      </c>
      <c r="E429" t="s">
        <v>56</v>
      </c>
      <c r="F429">
        <v>1</v>
      </c>
      <c r="G429" t="s">
        <v>372</v>
      </c>
      <c r="H429">
        <v>0</v>
      </c>
      <c r="I429" t="s">
        <v>225</v>
      </c>
      <c r="J429" t="s">
        <v>325</v>
      </c>
      <c r="L429" t="s">
        <v>222</v>
      </c>
    </row>
    <row r="430" spans="1:12" x14ac:dyDescent="0.25">
      <c r="A430" t="s">
        <v>207</v>
      </c>
      <c r="B430">
        <v>227</v>
      </c>
      <c r="C430" t="s">
        <v>21</v>
      </c>
      <c r="D430">
        <v>3</v>
      </c>
      <c r="E430" t="s">
        <v>56</v>
      </c>
      <c r="G430" t="s">
        <v>372</v>
      </c>
      <c r="I430" t="s">
        <v>225</v>
      </c>
      <c r="J430" t="s">
        <v>325</v>
      </c>
      <c r="L430" t="s">
        <v>222</v>
      </c>
    </row>
    <row r="431" spans="1:12" x14ac:dyDescent="0.25">
      <c r="A431" t="s">
        <v>207</v>
      </c>
      <c r="B431">
        <v>228</v>
      </c>
      <c r="C431" t="s">
        <v>24</v>
      </c>
      <c r="D431">
        <v>1</v>
      </c>
      <c r="E431" t="s">
        <v>56</v>
      </c>
      <c r="F431">
        <v>1</v>
      </c>
      <c r="G431" t="s">
        <v>372</v>
      </c>
      <c r="H431">
        <v>0</v>
      </c>
      <c r="I431" t="s">
        <v>225</v>
      </c>
      <c r="J431" t="s">
        <v>330</v>
      </c>
      <c r="L431" t="s">
        <v>222</v>
      </c>
    </row>
    <row r="432" spans="1:12" x14ac:dyDescent="0.25">
      <c r="A432" t="s">
        <v>207</v>
      </c>
      <c r="B432">
        <v>229</v>
      </c>
      <c r="C432" t="s">
        <v>24</v>
      </c>
      <c r="D432">
        <v>2</v>
      </c>
      <c r="E432" t="s">
        <v>56</v>
      </c>
      <c r="F432">
        <v>1</v>
      </c>
      <c r="G432" t="s">
        <v>372</v>
      </c>
      <c r="H432">
        <v>0</v>
      </c>
      <c r="I432" t="s">
        <v>225</v>
      </c>
      <c r="J432" t="s">
        <v>330</v>
      </c>
      <c r="L432" t="s">
        <v>222</v>
      </c>
    </row>
    <row r="433" spans="1:12" x14ac:dyDescent="0.25">
      <c r="A433" t="s">
        <v>207</v>
      </c>
      <c r="B433">
        <v>230</v>
      </c>
      <c r="C433" t="s">
        <v>24</v>
      </c>
      <c r="D433">
        <v>3</v>
      </c>
      <c r="E433" t="s">
        <v>56</v>
      </c>
      <c r="G433" t="s">
        <v>372</v>
      </c>
      <c r="I433" t="s">
        <v>225</v>
      </c>
      <c r="J433" t="s">
        <v>330</v>
      </c>
      <c r="L433" t="s">
        <v>222</v>
      </c>
    </row>
    <row r="434" spans="1:12" x14ac:dyDescent="0.25">
      <c r="A434" t="s">
        <v>207</v>
      </c>
      <c r="B434">
        <v>231</v>
      </c>
      <c r="C434" t="s">
        <v>27</v>
      </c>
      <c r="D434">
        <v>1</v>
      </c>
      <c r="E434" t="s">
        <v>56</v>
      </c>
      <c r="F434">
        <v>1</v>
      </c>
      <c r="G434" t="s">
        <v>372</v>
      </c>
      <c r="H434">
        <v>0</v>
      </c>
      <c r="I434" t="s">
        <v>225</v>
      </c>
      <c r="J434" t="s">
        <v>333</v>
      </c>
      <c r="L434" t="s">
        <v>222</v>
      </c>
    </row>
    <row r="435" spans="1:12" x14ac:dyDescent="0.25">
      <c r="A435" t="s">
        <v>207</v>
      </c>
      <c r="B435">
        <v>232</v>
      </c>
      <c r="C435" t="s">
        <v>27</v>
      </c>
      <c r="D435">
        <v>2</v>
      </c>
      <c r="E435" t="s">
        <v>56</v>
      </c>
      <c r="F435">
        <v>1</v>
      </c>
      <c r="G435" t="s">
        <v>372</v>
      </c>
      <c r="H435">
        <v>0</v>
      </c>
      <c r="I435" t="s">
        <v>225</v>
      </c>
      <c r="J435" t="s">
        <v>333</v>
      </c>
      <c r="L435" t="s">
        <v>222</v>
      </c>
    </row>
    <row r="436" spans="1:12" x14ac:dyDescent="0.25">
      <c r="A436" t="s">
        <v>207</v>
      </c>
      <c r="B436">
        <v>233</v>
      </c>
      <c r="C436" t="s">
        <v>27</v>
      </c>
      <c r="D436">
        <v>3</v>
      </c>
      <c r="E436" t="s">
        <v>56</v>
      </c>
      <c r="G436" t="s">
        <v>372</v>
      </c>
      <c r="I436" t="s">
        <v>225</v>
      </c>
      <c r="J436" t="s">
        <v>333</v>
      </c>
      <c r="L436" t="s">
        <v>222</v>
      </c>
    </row>
    <row r="437" spans="1:12" x14ac:dyDescent="0.25">
      <c r="A437" t="s">
        <v>207</v>
      </c>
      <c r="B437">
        <v>237</v>
      </c>
      <c r="C437" t="s">
        <v>12</v>
      </c>
      <c r="D437">
        <v>1</v>
      </c>
      <c r="E437" t="s">
        <v>43</v>
      </c>
      <c r="F437">
        <v>1</v>
      </c>
      <c r="G437" t="s">
        <v>372</v>
      </c>
      <c r="H437">
        <v>0</v>
      </c>
      <c r="I437" t="s">
        <v>225</v>
      </c>
      <c r="J437" t="s">
        <v>345</v>
      </c>
      <c r="L437" t="s">
        <v>222</v>
      </c>
    </row>
    <row r="438" spans="1:12" x14ac:dyDescent="0.25">
      <c r="A438" t="s">
        <v>207</v>
      </c>
      <c r="B438">
        <v>238</v>
      </c>
      <c r="C438" t="s">
        <v>12</v>
      </c>
      <c r="D438">
        <v>2</v>
      </c>
      <c r="E438" t="s">
        <v>43</v>
      </c>
      <c r="F438">
        <v>1</v>
      </c>
      <c r="G438" t="s">
        <v>372</v>
      </c>
      <c r="H438">
        <v>0</v>
      </c>
      <c r="I438" t="s">
        <v>225</v>
      </c>
      <c r="J438" t="s">
        <v>345</v>
      </c>
      <c r="L438" t="s">
        <v>222</v>
      </c>
    </row>
    <row r="439" spans="1:12" x14ac:dyDescent="0.25">
      <c r="A439" t="s">
        <v>207</v>
      </c>
      <c r="B439">
        <v>239</v>
      </c>
      <c r="C439" t="s">
        <v>12</v>
      </c>
      <c r="D439">
        <v>3</v>
      </c>
      <c r="E439" t="s">
        <v>43</v>
      </c>
      <c r="G439" t="s">
        <v>372</v>
      </c>
      <c r="I439" t="s">
        <v>225</v>
      </c>
      <c r="J439" t="s">
        <v>345</v>
      </c>
      <c r="L439" t="s">
        <v>222</v>
      </c>
    </row>
    <row r="440" spans="1:12" x14ac:dyDescent="0.25">
      <c r="A440" t="s">
        <v>207</v>
      </c>
      <c r="B440">
        <v>240</v>
      </c>
      <c r="C440" t="s">
        <v>18</v>
      </c>
      <c r="D440">
        <v>1</v>
      </c>
      <c r="E440" t="s">
        <v>43</v>
      </c>
      <c r="F440">
        <v>1</v>
      </c>
      <c r="G440" t="s">
        <v>372</v>
      </c>
      <c r="H440">
        <v>0</v>
      </c>
      <c r="I440" t="s">
        <v>225</v>
      </c>
      <c r="J440" t="s">
        <v>347</v>
      </c>
      <c r="L440" t="s">
        <v>222</v>
      </c>
    </row>
    <row r="441" spans="1:12" x14ac:dyDescent="0.25">
      <c r="A441" t="s">
        <v>207</v>
      </c>
      <c r="B441">
        <v>241</v>
      </c>
      <c r="C441" t="s">
        <v>18</v>
      </c>
      <c r="D441">
        <v>2</v>
      </c>
      <c r="E441" t="s">
        <v>43</v>
      </c>
      <c r="F441">
        <v>1</v>
      </c>
      <c r="G441" t="s">
        <v>372</v>
      </c>
      <c r="H441">
        <v>0</v>
      </c>
      <c r="I441" t="s">
        <v>225</v>
      </c>
      <c r="J441" t="s">
        <v>347</v>
      </c>
      <c r="L441" t="s">
        <v>222</v>
      </c>
    </row>
    <row r="442" spans="1:12" x14ac:dyDescent="0.25">
      <c r="A442" t="s">
        <v>207</v>
      </c>
      <c r="B442">
        <v>242</v>
      </c>
      <c r="C442" t="s">
        <v>18</v>
      </c>
      <c r="D442">
        <v>3</v>
      </c>
      <c r="E442" t="s">
        <v>43</v>
      </c>
      <c r="G442" t="s">
        <v>372</v>
      </c>
      <c r="I442" t="s">
        <v>225</v>
      </c>
      <c r="J442" t="s">
        <v>347</v>
      </c>
      <c r="L442" t="s">
        <v>222</v>
      </c>
    </row>
    <row r="443" spans="1:12" x14ac:dyDescent="0.25">
      <c r="A443" t="s">
        <v>207</v>
      </c>
      <c r="B443">
        <v>243</v>
      </c>
      <c r="C443" t="s">
        <v>21</v>
      </c>
      <c r="D443">
        <v>1</v>
      </c>
      <c r="E443" t="s">
        <v>43</v>
      </c>
      <c r="F443">
        <v>1</v>
      </c>
      <c r="G443" t="s">
        <v>372</v>
      </c>
      <c r="H443">
        <v>0</v>
      </c>
      <c r="I443" t="s">
        <v>225</v>
      </c>
      <c r="J443" t="s">
        <v>349</v>
      </c>
      <c r="L443" t="s">
        <v>222</v>
      </c>
    </row>
    <row r="444" spans="1:12" x14ac:dyDescent="0.25">
      <c r="A444" t="s">
        <v>207</v>
      </c>
      <c r="B444">
        <v>244</v>
      </c>
      <c r="C444" t="s">
        <v>21</v>
      </c>
      <c r="D444">
        <v>2</v>
      </c>
      <c r="E444" t="s">
        <v>43</v>
      </c>
      <c r="F444">
        <v>1</v>
      </c>
      <c r="G444" t="s">
        <v>372</v>
      </c>
      <c r="H444">
        <v>0</v>
      </c>
      <c r="I444" t="s">
        <v>225</v>
      </c>
      <c r="J444" t="s">
        <v>349</v>
      </c>
      <c r="L444" t="s">
        <v>222</v>
      </c>
    </row>
    <row r="445" spans="1:12" x14ac:dyDescent="0.25">
      <c r="A445" t="s">
        <v>207</v>
      </c>
      <c r="B445">
        <v>245</v>
      </c>
      <c r="C445" t="s">
        <v>21</v>
      </c>
      <c r="D445">
        <v>3</v>
      </c>
      <c r="E445" t="s">
        <v>43</v>
      </c>
      <c r="G445" t="s">
        <v>372</v>
      </c>
      <c r="I445" t="s">
        <v>225</v>
      </c>
      <c r="J445" t="s">
        <v>349</v>
      </c>
      <c r="L445" t="s">
        <v>222</v>
      </c>
    </row>
    <row r="446" spans="1:12" x14ac:dyDescent="0.25">
      <c r="A446" t="s">
        <v>207</v>
      </c>
      <c r="B446">
        <v>246</v>
      </c>
      <c r="C446" t="s">
        <v>24</v>
      </c>
      <c r="D446">
        <v>1</v>
      </c>
      <c r="E446" t="s">
        <v>43</v>
      </c>
      <c r="F446">
        <v>1</v>
      </c>
      <c r="G446" t="s">
        <v>372</v>
      </c>
      <c r="H446">
        <v>0</v>
      </c>
      <c r="I446" t="s">
        <v>225</v>
      </c>
      <c r="J446" t="s">
        <v>351</v>
      </c>
      <c r="L446" t="s">
        <v>222</v>
      </c>
    </row>
    <row r="447" spans="1:12" x14ac:dyDescent="0.25">
      <c r="A447" t="s">
        <v>207</v>
      </c>
      <c r="B447">
        <v>247</v>
      </c>
      <c r="C447" t="s">
        <v>24</v>
      </c>
      <c r="D447">
        <v>2</v>
      </c>
      <c r="E447" t="s">
        <v>43</v>
      </c>
      <c r="F447">
        <v>1</v>
      </c>
      <c r="G447" t="s">
        <v>372</v>
      </c>
      <c r="H447">
        <v>0</v>
      </c>
      <c r="I447" t="s">
        <v>225</v>
      </c>
      <c r="J447" t="s">
        <v>351</v>
      </c>
      <c r="L447" t="s">
        <v>222</v>
      </c>
    </row>
    <row r="448" spans="1:12" x14ac:dyDescent="0.25">
      <c r="A448" t="s">
        <v>207</v>
      </c>
      <c r="B448">
        <v>248</v>
      </c>
      <c r="C448" t="s">
        <v>24</v>
      </c>
      <c r="D448">
        <v>3</v>
      </c>
      <c r="E448" t="s">
        <v>43</v>
      </c>
      <c r="G448" t="s">
        <v>372</v>
      </c>
      <c r="I448" t="s">
        <v>225</v>
      </c>
      <c r="J448" t="s">
        <v>351</v>
      </c>
      <c r="L448" t="s">
        <v>222</v>
      </c>
    </row>
    <row r="449" spans="1:12" x14ac:dyDescent="0.25">
      <c r="A449" t="s">
        <v>207</v>
      </c>
      <c r="B449">
        <v>249</v>
      </c>
      <c r="C449" t="s">
        <v>27</v>
      </c>
      <c r="D449">
        <v>1</v>
      </c>
      <c r="E449" t="s">
        <v>43</v>
      </c>
      <c r="F449">
        <v>1</v>
      </c>
      <c r="G449" t="s">
        <v>372</v>
      </c>
      <c r="H449">
        <v>0</v>
      </c>
      <c r="I449" t="s">
        <v>225</v>
      </c>
      <c r="L449" t="s">
        <v>222</v>
      </c>
    </row>
    <row r="450" spans="1:12" x14ac:dyDescent="0.25">
      <c r="A450" t="s">
        <v>207</v>
      </c>
      <c r="B450">
        <v>250</v>
      </c>
      <c r="C450" t="s">
        <v>27</v>
      </c>
      <c r="D450">
        <v>2</v>
      </c>
      <c r="E450" t="s">
        <v>43</v>
      </c>
      <c r="F450">
        <v>1</v>
      </c>
      <c r="G450" t="s">
        <v>372</v>
      </c>
      <c r="H450">
        <v>0</v>
      </c>
      <c r="I450" t="s">
        <v>225</v>
      </c>
      <c r="L450" t="s">
        <v>222</v>
      </c>
    </row>
    <row r="451" spans="1:12" x14ac:dyDescent="0.25">
      <c r="A451" t="s">
        <v>207</v>
      </c>
      <c r="B451">
        <v>251</v>
      </c>
      <c r="C451" t="s">
        <v>27</v>
      </c>
      <c r="D451">
        <v>3</v>
      </c>
      <c r="E451" t="s">
        <v>43</v>
      </c>
      <c r="G451" t="s">
        <v>372</v>
      </c>
      <c r="I451" t="s">
        <v>225</v>
      </c>
      <c r="L451" t="s">
        <v>222</v>
      </c>
    </row>
    <row r="452" spans="1:12" x14ac:dyDescent="0.25">
      <c r="A452" t="s">
        <v>207</v>
      </c>
      <c r="B452">
        <v>255</v>
      </c>
      <c r="C452" t="s">
        <v>12</v>
      </c>
      <c r="D452">
        <v>1</v>
      </c>
      <c r="E452" t="s">
        <v>83</v>
      </c>
      <c r="F452">
        <v>1</v>
      </c>
      <c r="G452" t="s">
        <v>372</v>
      </c>
      <c r="H452">
        <v>0</v>
      </c>
      <c r="I452" t="s">
        <v>69</v>
      </c>
      <c r="J452" t="s">
        <v>336</v>
      </c>
      <c r="K452" t="s">
        <v>310</v>
      </c>
      <c r="L452" t="s">
        <v>222</v>
      </c>
    </row>
    <row r="453" spans="1:12" x14ac:dyDescent="0.25">
      <c r="A453" t="s">
        <v>207</v>
      </c>
      <c r="B453">
        <v>256</v>
      </c>
      <c r="C453" t="s">
        <v>12</v>
      </c>
      <c r="D453">
        <v>2</v>
      </c>
      <c r="E453" t="s">
        <v>83</v>
      </c>
      <c r="F453">
        <v>1</v>
      </c>
      <c r="G453" t="s">
        <v>372</v>
      </c>
      <c r="H453">
        <v>0</v>
      </c>
      <c r="I453" t="s">
        <v>69</v>
      </c>
      <c r="J453" t="s">
        <v>336</v>
      </c>
      <c r="K453" t="s">
        <v>310</v>
      </c>
      <c r="L453" t="s">
        <v>222</v>
      </c>
    </row>
    <row r="454" spans="1:12" x14ac:dyDescent="0.25">
      <c r="A454" t="s">
        <v>207</v>
      </c>
      <c r="B454">
        <v>257</v>
      </c>
      <c r="C454" t="s">
        <v>12</v>
      </c>
      <c r="D454">
        <v>3</v>
      </c>
      <c r="E454" t="s">
        <v>83</v>
      </c>
      <c r="G454" t="s">
        <v>372</v>
      </c>
      <c r="I454" t="s">
        <v>69</v>
      </c>
      <c r="J454" t="s">
        <v>336</v>
      </c>
      <c r="K454" t="s">
        <v>310</v>
      </c>
      <c r="L454" t="s">
        <v>222</v>
      </c>
    </row>
    <row r="455" spans="1:12" x14ac:dyDescent="0.25">
      <c r="A455" t="s">
        <v>207</v>
      </c>
      <c r="B455">
        <v>258</v>
      </c>
      <c r="C455" t="s">
        <v>18</v>
      </c>
      <c r="D455">
        <v>1</v>
      </c>
      <c r="E455" t="s">
        <v>83</v>
      </c>
      <c r="F455">
        <v>1</v>
      </c>
      <c r="G455" t="s">
        <v>372</v>
      </c>
      <c r="H455">
        <v>0</v>
      </c>
      <c r="I455" t="s">
        <v>69</v>
      </c>
      <c r="J455" t="s">
        <v>338</v>
      </c>
      <c r="K455" t="s">
        <v>311</v>
      </c>
      <c r="L455" t="s">
        <v>222</v>
      </c>
    </row>
    <row r="456" spans="1:12" x14ac:dyDescent="0.25">
      <c r="A456" t="s">
        <v>207</v>
      </c>
      <c r="B456">
        <v>259</v>
      </c>
      <c r="C456" t="s">
        <v>18</v>
      </c>
      <c r="D456">
        <v>2</v>
      </c>
      <c r="E456" t="s">
        <v>83</v>
      </c>
      <c r="F456">
        <v>1</v>
      </c>
      <c r="G456" t="s">
        <v>372</v>
      </c>
      <c r="H456">
        <v>0</v>
      </c>
      <c r="I456" t="s">
        <v>69</v>
      </c>
      <c r="J456" t="s">
        <v>338</v>
      </c>
      <c r="K456" t="s">
        <v>311</v>
      </c>
      <c r="L456" t="s">
        <v>222</v>
      </c>
    </row>
    <row r="457" spans="1:12" x14ac:dyDescent="0.25">
      <c r="A457" t="s">
        <v>207</v>
      </c>
      <c r="B457">
        <v>260</v>
      </c>
      <c r="C457" t="s">
        <v>18</v>
      </c>
      <c r="D457">
        <v>3</v>
      </c>
      <c r="E457" t="s">
        <v>83</v>
      </c>
      <c r="G457" t="s">
        <v>372</v>
      </c>
      <c r="I457" t="s">
        <v>69</v>
      </c>
      <c r="J457" t="s">
        <v>338</v>
      </c>
      <c r="K457" t="s">
        <v>311</v>
      </c>
      <c r="L457" t="s">
        <v>222</v>
      </c>
    </row>
    <row r="458" spans="1:12" x14ac:dyDescent="0.25">
      <c r="A458" t="s">
        <v>207</v>
      </c>
      <c r="B458">
        <v>261</v>
      </c>
      <c r="C458" t="s">
        <v>21</v>
      </c>
      <c r="D458">
        <v>1</v>
      </c>
      <c r="E458" t="s">
        <v>83</v>
      </c>
      <c r="F458">
        <v>1</v>
      </c>
      <c r="G458" t="s">
        <v>372</v>
      </c>
      <c r="H458">
        <v>0</v>
      </c>
      <c r="I458" t="s">
        <v>69</v>
      </c>
      <c r="J458" t="s">
        <v>340</v>
      </c>
      <c r="K458" t="s">
        <v>312</v>
      </c>
      <c r="L458" t="s">
        <v>222</v>
      </c>
    </row>
    <row r="459" spans="1:12" x14ac:dyDescent="0.25">
      <c r="A459" t="s">
        <v>207</v>
      </c>
      <c r="B459">
        <v>262</v>
      </c>
      <c r="C459" t="s">
        <v>21</v>
      </c>
      <c r="D459">
        <v>2</v>
      </c>
      <c r="E459" t="s">
        <v>83</v>
      </c>
      <c r="F459">
        <v>1</v>
      </c>
      <c r="G459" t="s">
        <v>372</v>
      </c>
      <c r="H459">
        <v>0</v>
      </c>
      <c r="I459" t="s">
        <v>69</v>
      </c>
      <c r="J459" t="s">
        <v>340</v>
      </c>
      <c r="K459" t="s">
        <v>312</v>
      </c>
      <c r="L459" t="s">
        <v>222</v>
      </c>
    </row>
    <row r="460" spans="1:12" x14ac:dyDescent="0.25">
      <c r="A460" t="s">
        <v>207</v>
      </c>
      <c r="B460">
        <v>263</v>
      </c>
      <c r="C460" t="s">
        <v>21</v>
      </c>
      <c r="D460">
        <v>3</v>
      </c>
      <c r="E460" t="s">
        <v>83</v>
      </c>
      <c r="G460" t="s">
        <v>372</v>
      </c>
      <c r="I460" t="s">
        <v>69</v>
      </c>
      <c r="J460" t="s">
        <v>340</v>
      </c>
      <c r="K460" t="s">
        <v>312</v>
      </c>
      <c r="L460" t="s">
        <v>222</v>
      </c>
    </row>
    <row r="461" spans="1:12" x14ac:dyDescent="0.25">
      <c r="A461" t="s">
        <v>207</v>
      </c>
      <c r="B461">
        <v>264</v>
      </c>
      <c r="C461" t="s">
        <v>24</v>
      </c>
      <c r="D461">
        <v>1</v>
      </c>
      <c r="E461" t="s">
        <v>83</v>
      </c>
      <c r="F461">
        <v>0</v>
      </c>
      <c r="G461" t="s">
        <v>372</v>
      </c>
      <c r="H461">
        <v>1</v>
      </c>
      <c r="I461" t="s">
        <v>69</v>
      </c>
      <c r="J461" t="s">
        <v>342</v>
      </c>
      <c r="L461" t="s">
        <v>222</v>
      </c>
    </row>
    <row r="462" spans="1:12" x14ac:dyDescent="0.25">
      <c r="A462" t="s">
        <v>207</v>
      </c>
      <c r="B462">
        <v>265</v>
      </c>
      <c r="C462" t="s">
        <v>24</v>
      </c>
      <c r="D462">
        <v>2</v>
      </c>
      <c r="E462" t="s">
        <v>83</v>
      </c>
      <c r="F462">
        <v>0</v>
      </c>
      <c r="G462" t="s">
        <v>372</v>
      </c>
      <c r="H462">
        <v>1</v>
      </c>
      <c r="I462" t="s">
        <v>69</v>
      </c>
      <c r="J462" t="s">
        <v>342</v>
      </c>
      <c r="L462" t="s">
        <v>222</v>
      </c>
    </row>
    <row r="463" spans="1:12" x14ac:dyDescent="0.25">
      <c r="A463" t="s">
        <v>207</v>
      </c>
      <c r="B463">
        <v>266</v>
      </c>
      <c r="C463" t="s">
        <v>24</v>
      </c>
      <c r="D463">
        <v>3</v>
      </c>
      <c r="E463" t="s">
        <v>83</v>
      </c>
      <c r="G463" t="s">
        <v>372</v>
      </c>
      <c r="I463" t="s">
        <v>69</v>
      </c>
      <c r="J463" t="s">
        <v>342</v>
      </c>
      <c r="L463" t="s">
        <v>222</v>
      </c>
    </row>
    <row r="464" spans="1:12" x14ac:dyDescent="0.25">
      <c r="A464" t="s">
        <v>207</v>
      </c>
      <c r="B464">
        <v>267</v>
      </c>
      <c r="C464" t="s">
        <v>27</v>
      </c>
      <c r="D464">
        <v>1</v>
      </c>
      <c r="E464" t="s">
        <v>83</v>
      </c>
      <c r="F464">
        <v>0</v>
      </c>
      <c r="G464" t="s">
        <v>372</v>
      </c>
      <c r="H464">
        <v>1</v>
      </c>
      <c r="I464" t="s">
        <v>69</v>
      </c>
      <c r="J464" t="s">
        <v>344</v>
      </c>
      <c r="L464" t="s">
        <v>222</v>
      </c>
    </row>
    <row r="465" spans="1:12" x14ac:dyDescent="0.25">
      <c r="A465" t="s">
        <v>207</v>
      </c>
      <c r="B465">
        <v>268</v>
      </c>
      <c r="C465" t="s">
        <v>27</v>
      </c>
      <c r="D465">
        <v>2</v>
      </c>
      <c r="E465" t="s">
        <v>83</v>
      </c>
      <c r="F465">
        <v>0</v>
      </c>
      <c r="G465" t="s">
        <v>372</v>
      </c>
      <c r="H465">
        <v>1</v>
      </c>
      <c r="I465" t="s">
        <v>69</v>
      </c>
      <c r="J465" t="s">
        <v>344</v>
      </c>
      <c r="L465" t="s">
        <v>222</v>
      </c>
    </row>
    <row r="466" spans="1:12" x14ac:dyDescent="0.25">
      <c r="A466" t="s">
        <v>207</v>
      </c>
      <c r="B466">
        <v>269</v>
      </c>
      <c r="C466" t="s">
        <v>27</v>
      </c>
      <c r="D466">
        <v>3</v>
      </c>
      <c r="E466" t="s">
        <v>83</v>
      </c>
      <c r="G466" t="s">
        <v>372</v>
      </c>
      <c r="I466" t="s">
        <v>69</v>
      </c>
      <c r="J466" t="s">
        <v>344</v>
      </c>
      <c r="L466" t="s">
        <v>222</v>
      </c>
    </row>
    <row r="467" spans="1:12" x14ac:dyDescent="0.25">
      <c r="A467" t="s">
        <v>207</v>
      </c>
      <c r="B467">
        <v>273</v>
      </c>
      <c r="C467" t="s">
        <v>12</v>
      </c>
      <c r="D467">
        <v>1</v>
      </c>
      <c r="E467" t="s">
        <v>134</v>
      </c>
      <c r="F467">
        <v>19</v>
      </c>
      <c r="G467" t="s">
        <v>372</v>
      </c>
      <c r="H467">
        <v>21</v>
      </c>
      <c r="I467" t="s">
        <v>108</v>
      </c>
      <c r="J467" t="s">
        <v>318</v>
      </c>
      <c r="K467" t="s">
        <v>313</v>
      </c>
      <c r="L467" t="s">
        <v>222</v>
      </c>
    </row>
    <row r="468" spans="1:12" x14ac:dyDescent="0.25">
      <c r="A468" t="s">
        <v>207</v>
      </c>
      <c r="B468">
        <v>274</v>
      </c>
      <c r="C468" t="s">
        <v>12</v>
      </c>
      <c r="D468">
        <v>2</v>
      </c>
      <c r="E468" t="s">
        <v>134</v>
      </c>
      <c r="F468">
        <v>0</v>
      </c>
      <c r="G468" t="s">
        <v>372</v>
      </c>
      <c r="H468">
        <v>1</v>
      </c>
      <c r="I468" t="s">
        <v>108</v>
      </c>
      <c r="J468" t="s">
        <v>318</v>
      </c>
      <c r="K468" t="s">
        <v>313</v>
      </c>
      <c r="L468" t="s">
        <v>222</v>
      </c>
    </row>
    <row r="469" spans="1:12" x14ac:dyDescent="0.25">
      <c r="A469" t="s">
        <v>207</v>
      </c>
      <c r="B469">
        <v>275</v>
      </c>
      <c r="C469" t="s">
        <v>12</v>
      </c>
      <c r="D469">
        <v>3</v>
      </c>
      <c r="E469" t="s">
        <v>134</v>
      </c>
      <c r="G469" t="s">
        <v>372</v>
      </c>
      <c r="I469" t="s">
        <v>108</v>
      </c>
      <c r="J469" t="s">
        <v>318</v>
      </c>
      <c r="K469" t="s">
        <v>313</v>
      </c>
      <c r="L469" t="s">
        <v>222</v>
      </c>
    </row>
    <row r="470" spans="1:12" x14ac:dyDescent="0.25">
      <c r="A470" t="s">
        <v>207</v>
      </c>
      <c r="B470">
        <v>276</v>
      </c>
      <c r="C470" t="s">
        <v>18</v>
      </c>
      <c r="D470">
        <v>1</v>
      </c>
      <c r="E470" t="s">
        <v>134</v>
      </c>
      <c r="F470">
        <v>21</v>
      </c>
      <c r="G470" t="s">
        <v>372</v>
      </c>
      <c r="H470">
        <v>14</v>
      </c>
      <c r="I470" t="s">
        <v>108</v>
      </c>
      <c r="J470" t="s">
        <v>320</v>
      </c>
      <c r="K470" t="s">
        <v>314</v>
      </c>
      <c r="L470" t="s">
        <v>222</v>
      </c>
    </row>
    <row r="471" spans="1:12" x14ac:dyDescent="0.25">
      <c r="A471" t="s">
        <v>207</v>
      </c>
      <c r="B471">
        <v>277</v>
      </c>
      <c r="C471" t="s">
        <v>18</v>
      </c>
      <c r="D471">
        <v>2</v>
      </c>
      <c r="E471" t="s">
        <v>134</v>
      </c>
      <c r="F471">
        <v>1</v>
      </c>
      <c r="G471" t="s">
        <v>372</v>
      </c>
      <c r="H471">
        <v>0</v>
      </c>
      <c r="I471" t="s">
        <v>108</v>
      </c>
      <c r="J471" t="s">
        <v>320</v>
      </c>
      <c r="K471" t="s">
        <v>314</v>
      </c>
      <c r="L471" t="s">
        <v>222</v>
      </c>
    </row>
    <row r="472" spans="1:12" x14ac:dyDescent="0.25">
      <c r="A472" t="s">
        <v>207</v>
      </c>
      <c r="B472">
        <v>278</v>
      </c>
      <c r="C472" t="s">
        <v>18</v>
      </c>
      <c r="D472">
        <v>3</v>
      </c>
      <c r="E472" t="s">
        <v>134</v>
      </c>
      <c r="G472" t="s">
        <v>372</v>
      </c>
      <c r="I472" t="s">
        <v>108</v>
      </c>
      <c r="J472" t="s">
        <v>320</v>
      </c>
      <c r="K472" t="s">
        <v>314</v>
      </c>
      <c r="L472" t="s">
        <v>222</v>
      </c>
    </row>
    <row r="473" spans="1:12" x14ac:dyDescent="0.25">
      <c r="A473" t="s">
        <v>207</v>
      </c>
      <c r="B473">
        <v>279</v>
      </c>
      <c r="C473" t="s">
        <v>21</v>
      </c>
      <c r="D473">
        <v>1</v>
      </c>
      <c r="E473" t="s">
        <v>134</v>
      </c>
      <c r="F473">
        <v>21</v>
      </c>
      <c r="G473" t="s">
        <v>372</v>
      </c>
      <c r="H473">
        <v>9</v>
      </c>
      <c r="I473" t="s">
        <v>108</v>
      </c>
      <c r="J473" t="s">
        <v>326</v>
      </c>
      <c r="K473" t="s">
        <v>315</v>
      </c>
      <c r="L473" t="s">
        <v>222</v>
      </c>
    </row>
    <row r="474" spans="1:12" x14ac:dyDescent="0.25">
      <c r="A474" t="s">
        <v>207</v>
      </c>
      <c r="B474">
        <v>280</v>
      </c>
      <c r="C474" t="s">
        <v>21</v>
      </c>
      <c r="D474">
        <v>2</v>
      </c>
      <c r="E474" t="s">
        <v>134</v>
      </c>
      <c r="F474">
        <v>1</v>
      </c>
      <c r="G474" t="s">
        <v>372</v>
      </c>
      <c r="H474">
        <v>0</v>
      </c>
      <c r="I474" t="s">
        <v>108</v>
      </c>
      <c r="J474" t="s">
        <v>326</v>
      </c>
      <c r="K474" t="s">
        <v>315</v>
      </c>
      <c r="L474" t="s">
        <v>222</v>
      </c>
    </row>
    <row r="475" spans="1:12" x14ac:dyDescent="0.25">
      <c r="A475" t="s">
        <v>207</v>
      </c>
      <c r="B475">
        <v>281</v>
      </c>
      <c r="C475" t="s">
        <v>21</v>
      </c>
      <c r="D475">
        <v>3</v>
      </c>
      <c r="E475" t="s">
        <v>134</v>
      </c>
      <c r="G475" t="s">
        <v>372</v>
      </c>
      <c r="I475" t="s">
        <v>108</v>
      </c>
      <c r="J475" t="s">
        <v>326</v>
      </c>
      <c r="K475" t="s">
        <v>315</v>
      </c>
      <c r="L475" t="s">
        <v>222</v>
      </c>
    </row>
    <row r="476" spans="1:12" x14ac:dyDescent="0.25">
      <c r="A476" t="s">
        <v>207</v>
      </c>
      <c r="B476">
        <v>282</v>
      </c>
      <c r="C476" t="s">
        <v>24</v>
      </c>
      <c r="D476">
        <v>1</v>
      </c>
      <c r="E476" t="s">
        <v>134</v>
      </c>
      <c r="F476">
        <v>21</v>
      </c>
      <c r="G476" t="s">
        <v>372</v>
      </c>
      <c r="H476">
        <v>10</v>
      </c>
      <c r="I476" t="s">
        <v>108</v>
      </c>
      <c r="J476" t="s">
        <v>328</v>
      </c>
      <c r="L476" t="s">
        <v>222</v>
      </c>
    </row>
    <row r="477" spans="1:12" x14ac:dyDescent="0.25">
      <c r="A477" t="s">
        <v>207</v>
      </c>
      <c r="B477">
        <v>283</v>
      </c>
      <c r="C477" t="s">
        <v>24</v>
      </c>
      <c r="D477">
        <v>2</v>
      </c>
      <c r="E477" t="s">
        <v>134</v>
      </c>
      <c r="F477">
        <v>1</v>
      </c>
      <c r="G477" t="s">
        <v>372</v>
      </c>
      <c r="H477">
        <v>0</v>
      </c>
      <c r="I477" t="s">
        <v>108</v>
      </c>
      <c r="J477" t="s">
        <v>328</v>
      </c>
      <c r="L477" t="s">
        <v>222</v>
      </c>
    </row>
    <row r="478" spans="1:12" x14ac:dyDescent="0.25">
      <c r="A478" t="s">
        <v>207</v>
      </c>
      <c r="B478">
        <v>284</v>
      </c>
      <c r="C478" t="s">
        <v>24</v>
      </c>
      <c r="D478">
        <v>3</v>
      </c>
      <c r="E478" t="s">
        <v>134</v>
      </c>
      <c r="G478" t="s">
        <v>372</v>
      </c>
      <c r="I478" t="s">
        <v>108</v>
      </c>
      <c r="J478" t="s">
        <v>328</v>
      </c>
      <c r="L478" t="s">
        <v>222</v>
      </c>
    </row>
    <row r="479" spans="1:12" x14ac:dyDescent="0.25">
      <c r="A479" t="s">
        <v>207</v>
      </c>
      <c r="B479">
        <v>285</v>
      </c>
      <c r="C479" t="s">
        <v>27</v>
      </c>
      <c r="D479">
        <v>1</v>
      </c>
      <c r="E479" t="s">
        <v>134</v>
      </c>
      <c r="G479" t="s">
        <v>372</v>
      </c>
      <c r="I479" t="s">
        <v>108</v>
      </c>
      <c r="L479" t="s">
        <v>222</v>
      </c>
    </row>
    <row r="480" spans="1:12" x14ac:dyDescent="0.25">
      <c r="A480" t="s">
        <v>207</v>
      </c>
      <c r="B480">
        <v>286</v>
      </c>
      <c r="C480" t="s">
        <v>27</v>
      </c>
      <c r="D480">
        <v>2</v>
      </c>
      <c r="E480" t="s">
        <v>134</v>
      </c>
      <c r="G480" t="s">
        <v>372</v>
      </c>
      <c r="I480" t="s">
        <v>108</v>
      </c>
      <c r="L480" t="s">
        <v>222</v>
      </c>
    </row>
    <row r="481" spans="1:12" x14ac:dyDescent="0.25">
      <c r="A481" t="s">
        <v>207</v>
      </c>
      <c r="B481">
        <v>287</v>
      </c>
      <c r="C481" t="s">
        <v>27</v>
      </c>
      <c r="D481">
        <v>3</v>
      </c>
      <c r="E481" t="s">
        <v>134</v>
      </c>
      <c r="G481" t="s">
        <v>372</v>
      </c>
      <c r="I481" t="s">
        <v>108</v>
      </c>
      <c r="L481" t="s">
        <v>222</v>
      </c>
    </row>
    <row r="482" spans="1:12" x14ac:dyDescent="0.25">
      <c r="A482" t="s">
        <v>215</v>
      </c>
      <c r="B482">
        <v>3</v>
      </c>
      <c r="C482" t="s">
        <v>12</v>
      </c>
      <c r="D482">
        <v>1</v>
      </c>
      <c r="E482" t="s">
        <v>195</v>
      </c>
      <c r="F482">
        <v>21</v>
      </c>
      <c r="G482" t="s">
        <v>372</v>
      </c>
      <c r="H482">
        <v>18</v>
      </c>
      <c r="I482" t="s">
        <v>30</v>
      </c>
      <c r="J482" t="s">
        <v>230</v>
      </c>
      <c r="K482" t="s">
        <v>233</v>
      </c>
      <c r="L482" t="s">
        <v>216</v>
      </c>
    </row>
    <row r="483" spans="1:12" x14ac:dyDescent="0.25">
      <c r="A483" t="s">
        <v>215</v>
      </c>
      <c r="B483">
        <v>4</v>
      </c>
      <c r="C483" t="s">
        <v>12</v>
      </c>
      <c r="D483">
        <v>2</v>
      </c>
      <c r="E483" t="s">
        <v>195</v>
      </c>
      <c r="F483">
        <v>21</v>
      </c>
      <c r="G483" t="s">
        <v>372</v>
      </c>
      <c r="H483">
        <v>18</v>
      </c>
      <c r="I483" t="s">
        <v>30</v>
      </c>
      <c r="J483" t="s">
        <v>230</v>
      </c>
      <c r="K483" t="s">
        <v>233</v>
      </c>
      <c r="L483" t="s">
        <v>216</v>
      </c>
    </row>
    <row r="484" spans="1:12" x14ac:dyDescent="0.25">
      <c r="A484" t="s">
        <v>215</v>
      </c>
      <c r="B484">
        <v>5</v>
      </c>
      <c r="C484" t="s">
        <v>12</v>
      </c>
      <c r="D484">
        <v>3</v>
      </c>
      <c r="E484" t="s">
        <v>195</v>
      </c>
      <c r="G484" t="s">
        <v>372</v>
      </c>
      <c r="I484" t="s">
        <v>30</v>
      </c>
      <c r="J484" t="s">
        <v>230</v>
      </c>
      <c r="K484" t="s">
        <v>233</v>
      </c>
      <c r="L484" t="s">
        <v>216</v>
      </c>
    </row>
    <row r="485" spans="1:12" x14ac:dyDescent="0.25">
      <c r="A485" t="s">
        <v>215</v>
      </c>
      <c r="B485">
        <v>6</v>
      </c>
      <c r="C485" t="s">
        <v>18</v>
      </c>
      <c r="D485">
        <v>1</v>
      </c>
      <c r="E485" t="s">
        <v>195</v>
      </c>
      <c r="F485">
        <v>21</v>
      </c>
      <c r="G485" t="s">
        <v>372</v>
      </c>
      <c r="H485">
        <v>18</v>
      </c>
      <c r="I485" t="s">
        <v>30</v>
      </c>
      <c r="J485" t="s">
        <v>235</v>
      </c>
      <c r="K485" t="s">
        <v>238</v>
      </c>
      <c r="L485" t="s">
        <v>216</v>
      </c>
    </row>
    <row r="486" spans="1:12" x14ac:dyDescent="0.25">
      <c r="A486" t="s">
        <v>215</v>
      </c>
      <c r="B486">
        <v>7</v>
      </c>
      <c r="C486" t="s">
        <v>18</v>
      </c>
      <c r="D486">
        <v>2</v>
      </c>
      <c r="E486" t="s">
        <v>195</v>
      </c>
      <c r="F486">
        <v>14</v>
      </c>
      <c r="G486" t="s">
        <v>372</v>
      </c>
      <c r="H486">
        <v>15</v>
      </c>
      <c r="I486" t="s">
        <v>30</v>
      </c>
      <c r="J486" t="s">
        <v>235</v>
      </c>
      <c r="K486" t="s">
        <v>238</v>
      </c>
      <c r="L486" t="s">
        <v>216</v>
      </c>
    </row>
    <row r="487" spans="1:12" x14ac:dyDescent="0.25">
      <c r="A487" t="s">
        <v>215</v>
      </c>
      <c r="B487">
        <v>8</v>
      </c>
      <c r="C487" t="s">
        <v>18</v>
      </c>
      <c r="D487">
        <v>3</v>
      </c>
      <c r="E487" t="s">
        <v>195</v>
      </c>
      <c r="G487" t="s">
        <v>372</v>
      </c>
      <c r="I487" t="s">
        <v>30</v>
      </c>
      <c r="J487" t="s">
        <v>235</v>
      </c>
      <c r="K487" t="s">
        <v>238</v>
      </c>
      <c r="L487" t="s">
        <v>216</v>
      </c>
    </row>
    <row r="488" spans="1:12" x14ac:dyDescent="0.25">
      <c r="A488" t="s">
        <v>215</v>
      </c>
      <c r="B488">
        <v>9</v>
      </c>
      <c r="C488" t="s">
        <v>21</v>
      </c>
      <c r="D488">
        <v>1</v>
      </c>
      <c r="E488" t="s">
        <v>195</v>
      </c>
      <c r="F488">
        <v>21</v>
      </c>
      <c r="G488" t="s">
        <v>372</v>
      </c>
      <c r="H488">
        <v>11</v>
      </c>
      <c r="I488" t="s">
        <v>30</v>
      </c>
      <c r="J488" t="s">
        <v>240</v>
      </c>
      <c r="K488" t="s">
        <v>243</v>
      </c>
      <c r="L488" t="s">
        <v>216</v>
      </c>
    </row>
    <row r="489" spans="1:12" x14ac:dyDescent="0.25">
      <c r="A489" t="s">
        <v>215</v>
      </c>
      <c r="B489">
        <v>10</v>
      </c>
      <c r="C489" t="s">
        <v>21</v>
      </c>
      <c r="D489">
        <v>2</v>
      </c>
      <c r="E489" t="s">
        <v>195</v>
      </c>
      <c r="F489">
        <v>21</v>
      </c>
      <c r="G489" t="s">
        <v>372</v>
      </c>
      <c r="H489">
        <v>13</v>
      </c>
      <c r="I489" t="s">
        <v>30</v>
      </c>
      <c r="J489" t="s">
        <v>240</v>
      </c>
      <c r="K489" t="s">
        <v>243</v>
      </c>
      <c r="L489" t="s">
        <v>216</v>
      </c>
    </row>
    <row r="490" spans="1:12" x14ac:dyDescent="0.25">
      <c r="A490" t="s">
        <v>215</v>
      </c>
      <c r="B490">
        <v>11</v>
      </c>
      <c r="C490" t="s">
        <v>21</v>
      </c>
      <c r="D490">
        <v>3</v>
      </c>
      <c r="E490" t="s">
        <v>195</v>
      </c>
      <c r="G490" t="s">
        <v>372</v>
      </c>
      <c r="I490" t="s">
        <v>30</v>
      </c>
      <c r="J490" t="s">
        <v>240</v>
      </c>
      <c r="K490" t="s">
        <v>243</v>
      </c>
      <c r="L490" t="s">
        <v>216</v>
      </c>
    </row>
    <row r="491" spans="1:12" x14ac:dyDescent="0.25">
      <c r="A491" t="s">
        <v>215</v>
      </c>
      <c r="B491">
        <v>12</v>
      </c>
      <c r="C491" t="s">
        <v>24</v>
      </c>
      <c r="D491">
        <v>1</v>
      </c>
      <c r="E491" t="s">
        <v>195</v>
      </c>
      <c r="F491">
        <v>21</v>
      </c>
      <c r="G491" t="s">
        <v>372</v>
      </c>
      <c r="H491">
        <v>13</v>
      </c>
      <c r="I491" t="s">
        <v>30</v>
      </c>
      <c r="J491" t="s">
        <v>245</v>
      </c>
      <c r="K491" t="s">
        <v>248</v>
      </c>
      <c r="L491" t="s">
        <v>216</v>
      </c>
    </row>
    <row r="492" spans="1:12" x14ac:dyDescent="0.25">
      <c r="A492" t="s">
        <v>215</v>
      </c>
      <c r="B492">
        <v>13</v>
      </c>
      <c r="C492" t="s">
        <v>24</v>
      </c>
      <c r="D492">
        <v>2</v>
      </c>
      <c r="E492" t="s">
        <v>195</v>
      </c>
      <c r="F492">
        <v>20</v>
      </c>
      <c r="G492" t="s">
        <v>372</v>
      </c>
      <c r="H492">
        <v>20</v>
      </c>
      <c r="I492" t="s">
        <v>30</v>
      </c>
      <c r="J492" t="s">
        <v>245</v>
      </c>
      <c r="K492" t="s">
        <v>248</v>
      </c>
      <c r="L492" t="s">
        <v>216</v>
      </c>
    </row>
    <row r="493" spans="1:12" x14ac:dyDescent="0.25">
      <c r="A493" t="s">
        <v>215</v>
      </c>
      <c r="B493">
        <v>14</v>
      </c>
      <c r="C493" t="s">
        <v>24</v>
      </c>
      <c r="D493">
        <v>3</v>
      </c>
      <c r="E493" t="s">
        <v>195</v>
      </c>
      <c r="G493" t="s">
        <v>372</v>
      </c>
      <c r="I493" t="s">
        <v>30</v>
      </c>
      <c r="J493" t="s">
        <v>245</v>
      </c>
      <c r="K493" t="s">
        <v>248</v>
      </c>
      <c r="L493" t="s">
        <v>216</v>
      </c>
    </row>
    <row r="494" spans="1:12" x14ac:dyDescent="0.25">
      <c r="A494" t="s">
        <v>215</v>
      </c>
      <c r="B494">
        <v>15</v>
      </c>
      <c r="C494" t="s">
        <v>27</v>
      </c>
      <c r="D494">
        <v>1</v>
      </c>
      <c r="E494" t="s">
        <v>195</v>
      </c>
      <c r="F494">
        <v>21</v>
      </c>
      <c r="G494" t="s">
        <v>372</v>
      </c>
      <c r="H494">
        <v>8</v>
      </c>
      <c r="I494" t="s">
        <v>30</v>
      </c>
      <c r="J494" t="s">
        <v>250</v>
      </c>
      <c r="K494" t="s">
        <v>253</v>
      </c>
      <c r="L494" t="s">
        <v>216</v>
      </c>
    </row>
    <row r="495" spans="1:12" x14ac:dyDescent="0.25">
      <c r="A495" t="s">
        <v>215</v>
      </c>
      <c r="B495">
        <v>16</v>
      </c>
      <c r="C495" t="s">
        <v>27</v>
      </c>
      <c r="D495">
        <v>2</v>
      </c>
      <c r="E495" t="s">
        <v>195</v>
      </c>
      <c r="F495">
        <v>21</v>
      </c>
      <c r="G495" t="s">
        <v>372</v>
      </c>
      <c r="H495">
        <v>11</v>
      </c>
      <c r="I495" t="s">
        <v>30</v>
      </c>
      <c r="J495" t="s">
        <v>250</v>
      </c>
      <c r="K495" t="s">
        <v>253</v>
      </c>
      <c r="L495" t="s">
        <v>216</v>
      </c>
    </row>
    <row r="496" spans="1:12" x14ac:dyDescent="0.25">
      <c r="A496" t="s">
        <v>215</v>
      </c>
      <c r="B496">
        <v>17</v>
      </c>
      <c r="C496" t="s">
        <v>27</v>
      </c>
      <c r="D496">
        <v>3</v>
      </c>
      <c r="E496" t="s">
        <v>195</v>
      </c>
      <c r="G496" t="s">
        <v>372</v>
      </c>
      <c r="I496" t="s">
        <v>30</v>
      </c>
      <c r="J496" t="s">
        <v>250</v>
      </c>
      <c r="K496" t="s">
        <v>253</v>
      </c>
      <c r="L496" t="s">
        <v>216</v>
      </c>
    </row>
    <row r="497" spans="1:12" x14ac:dyDescent="0.25">
      <c r="A497" t="s">
        <v>215</v>
      </c>
      <c r="B497">
        <v>21</v>
      </c>
      <c r="C497" t="s">
        <v>12</v>
      </c>
      <c r="D497">
        <v>1</v>
      </c>
      <c r="E497" t="s">
        <v>156</v>
      </c>
      <c r="F497">
        <v>21</v>
      </c>
      <c r="G497" t="s">
        <v>372</v>
      </c>
      <c r="H497">
        <v>14</v>
      </c>
      <c r="I497" t="s">
        <v>155</v>
      </c>
      <c r="J497" t="s">
        <v>255</v>
      </c>
      <c r="K497" t="s">
        <v>257</v>
      </c>
      <c r="L497" t="s">
        <v>216</v>
      </c>
    </row>
    <row r="498" spans="1:12" x14ac:dyDescent="0.25">
      <c r="A498" t="s">
        <v>215</v>
      </c>
      <c r="B498">
        <v>22</v>
      </c>
      <c r="C498" t="s">
        <v>12</v>
      </c>
      <c r="D498">
        <v>2</v>
      </c>
      <c r="E498" t="s">
        <v>156</v>
      </c>
      <c r="F498">
        <v>19</v>
      </c>
      <c r="G498" t="s">
        <v>372</v>
      </c>
      <c r="H498">
        <v>13</v>
      </c>
      <c r="I498" t="s">
        <v>155</v>
      </c>
      <c r="J498" t="s">
        <v>255</v>
      </c>
      <c r="K498" t="s">
        <v>257</v>
      </c>
      <c r="L498" t="s">
        <v>216</v>
      </c>
    </row>
    <row r="499" spans="1:12" x14ac:dyDescent="0.25">
      <c r="A499" t="s">
        <v>215</v>
      </c>
      <c r="B499">
        <v>23</v>
      </c>
      <c r="C499" t="s">
        <v>12</v>
      </c>
      <c r="D499">
        <v>3</v>
      </c>
      <c r="E499" t="s">
        <v>156</v>
      </c>
      <c r="G499" t="s">
        <v>372</v>
      </c>
      <c r="I499" t="s">
        <v>155</v>
      </c>
      <c r="J499" t="s">
        <v>255</v>
      </c>
      <c r="K499" t="s">
        <v>257</v>
      </c>
      <c r="L499" t="s">
        <v>216</v>
      </c>
    </row>
    <row r="500" spans="1:12" x14ac:dyDescent="0.25">
      <c r="A500" t="s">
        <v>215</v>
      </c>
      <c r="B500">
        <v>24</v>
      </c>
      <c r="C500" t="s">
        <v>18</v>
      </c>
      <c r="D500">
        <v>1</v>
      </c>
      <c r="E500" t="s">
        <v>156</v>
      </c>
      <c r="F500">
        <v>21</v>
      </c>
      <c r="G500" t="s">
        <v>372</v>
      </c>
      <c r="H500">
        <v>15</v>
      </c>
      <c r="I500" t="s">
        <v>155</v>
      </c>
      <c r="J500" t="s">
        <v>258</v>
      </c>
      <c r="K500" t="s">
        <v>260</v>
      </c>
      <c r="L500" t="s">
        <v>216</v>
      </c>
    </row>
    <row r="501" spans="1:12" x14ac:dyDescent="0.25">
      <c r="A501" t="s">
        <v>215</v>
      </c>
      <c r="B501">
        <v>25</v>
      </c>
      <c r="C501" t="s">
        <v>18</v>
      </c>
      <c r="D501">
        <v>2</v>
      </c>
      <c r="E501" t="s">
        <v>156</v>
      </c>
      <c r="F501">
        <v>21</v>
      </c>
      <c r="G501" t="s">
        <v>372</v>
      </c>
      <c r="H501">
        <v>15</v>
      </c>
      <c r="I501" t="s">
        <v>155</v>
      </c>
      <c r="J501" t="s">
        <v>258</v>
      </c>
      <c r="K501" t="s">
        <v>260</v>
      </c>
      <c r="L501" t="s">
        <v>216</v>
      </c>
    </row>
    <row r="502" spans="1:12" x14ac:dyDescent="0.25">
      <c r="A502" t="s">
        <v>215</v>
      </c>
      <c r="B502">
        <v>26</v>
      </c>
      <c r="C502" t="s">
        <v>18</v>
      </c>
      <c r="D502">
        <v>3</v>
      </c>
      <c r="E502" t="s">
        <v>156</v>
      </c>
      <c r="G502" t="s">
        <v>372</v>
      </c>
      <c r="I502" t="s">
        <v>155</v>
      </c>
      <c r="J502" t="s">
        <v>258</v>
      </c>
      <c r="K502" t="s">
        <v>260</v>
      </c>
      <c r="L502" t="s">
        <v>216</v>
      </c>
    </row>
    <row r="503" spans="1:12" x14ac:dyDescent="0.25">
      <c r="A503" t="s">
        <v>215</v>
      </c>
      <c r="B503">
        <v>27</v>
      </c>
      <c r="C503" t="s">
        <v>21</v>
      </c>
      <c r="D503">
        <v>1</v>
      </c>
      <c r="E503" t="s">
        <v>156</v>
      </c>
      <c r="F503">
        <v>21</v>
      </c>
      <c r="G503" t="s">
        <v>372</v>
      </c>
      <c r="H503">
        <v>17</v>
      </c>
      <c r="I503" t="s">
        <v>155</v>
      </c>
      <c r="J503" t="s">
        <v>261</v>
      </c>
      <c r="K503" t="s">
        <v>263</v>
      </c>
      <c r="L503" t="s">
        <v>216</v>
      </c>
    </row>
    <row r="504" spans="1:12" x14ac:dyDescent="0.25">
      <c r="A504" t="s">
        <v>215</v>
      </c>
      <c r="B504">
        <v>28</v>
      </c>
      <c r="C504" t="s">
        <v>21</v>
      </c>
      <c r="D504">
        <v>2</v>
      </c>
      <c r="E504" t="s">
        <v>156</v>
      </c>
      <c r="F504">
        <v>21</v>
      </c>
      <c r="G504" t="s">
        <v>372</v>
      </c>
      <c r="H504">
        <v>15</v>
      </c>
      <c r="I504" t="s">
        <v>155</v>
      </c>
      <c r="J504" t="s">
        <v>261</v>
      </c>
      <c r="K504" t="s">
        <v>263</v>
      </c>
      <c r="L504" t="s">
        <v>216</v>
      </c>
    </row>
    <row r="505" spans="1:12" x14ac:dyDescent="0.25">
      <c r="A505" t="s">
        <v>215</v>
      </c>
      <c r="B505">
        <v>29</v>
      </c>
      <c r="C505" t="s">
        <v>21</v>
      </c>
      <c r="D505">
        <v>3</v>
      </c>
      <c r="E505" t="s">
        <v>156</v>
      </c>
      <c r="G505" t="s">
        <v>372</v>
      </c>
      <c r="I505" t="s">
        <v>155</v>
      </c>
      <c r="J505" t="s">
        <v>261</v>
      </c>
      <c r="K505" t="s">
        <v>263</v>
      </c>
      <c r="L505" t="s">
        <v>216</v>
      </c>
    </row>
    <row r="506" spans="1:12" x14ac:dyDescent="0.25">
      <c r="A506" t="s">
        <v>215</v>
      </c>
      <c r="B506">
        <v>30</v>
      </c>
      <c r="C506" t="s">
        <v>24</v>
      </c>
      <c r="D506">
        <v>1</v>
      </c>
      <c r="E506" t="s">
        <v>156</v>
      </c>
      <c r="F506">
        <v>21</v>
      </c>
      <c r="G506" t="s">
        <v>372</v>
      </c>
      <c r="H506">
        <v>12</v>
      </c>
      <c r="I506" t="s">
        <v>155</v>
      </c>
      <c r="J506" t="s">
        <v>264</v>
      </c>
      <c r="K506" t="s">
        <v>266</v>
      </c>
      <c r="L506" t="s">
        <v>216</v>
      </c>
    </row>
    <row r="507" spans="1:12" x14ac:dyDescent="0.25">
      <c r="A507" t="s">
        <v>215</v>
      </c>
      <c r="B507">
        <v>31</v>
      </c>
      <c r="C507" t="s">
        <v>24</v>
      </c>
      <c r="D507">
        <v>2</v>
      </c>
      <c r="E507" t="s">
        <v>156</v>
      </c>
      <c r="F507">
        <v>24</v>
      </c>
      <c r="G507" t="s">
        <v>372</v>
      </c>
      <c r="H507">
        <v>25</v>
      </c>
      <c r="I507" t="s">
        <v>155</v>
      </c>
      <c r="J507" t="s">
        <v>264</v>
      </c>
      <c r="K507" t="s">
        <v>266</v>
      </c>
      <c r="L507" t="s">
        <v>216</v>
      </c>
    </row>
    <row r="508" spans="1:12" x14ac:dyDescent="0.25">
      <c r="A508" t="s">
        <v>215</v>
      </c>
      <c r="B508">
        <v>32</v>
      </c>
      <c r="C508" t="s">
        <v>24</v>
      </c>
      <c r="D508">
        <v>3</v>
      </c>
      <c r="E508" t="s">
        <v>156</v>
      </c>
      <c r="G508" t="s">
        <v>372</v>
      </c>
      <c r="I508" t="s">
        <v>155</v>
      </c>
      <c r="J508" t="s">
        <v>264</v>
      </c>
      <c r="K508" t="s">
        <v>266</v>
      </c>
      <c r="L508" t="s">
        <v>216</v>
      </c>
    </row>
    <row r="509" spans="1:12" x14ac:dyDescent="0.25">
      <c r="A509" t="s">
        <v>215</v>
      </c>
      <c r="B509">
        <v>33</v>
      </c>
      <c r="C509" t="s">
        <v>27</v>
      </c>
      <c r="D509">
        <v>1</v>
      </c>
      <c r="E509" t="s">
        <v>156</v>
      </c>
      <c r="F509">
        <v>21</v>
      </c>
      <c r="G509" t="s">
        <v>372</v>
      </c>
      <c r="H509">
        <v>12</v>
      </c>
      <c r="I509" t="s">
        <v>155</v>
      </c>
      <c r="J509" t="s">
        <v>267</v>
      </c>
      <c r="K509" t="s">
        <v>268</v>
      </c>
      <c r="L509" t="s">
        <v>216</v>
      </c>
    </row>
    <row r="510" spans="1:12" x14ac:dyDescent="0.25">
      <c r="A510" t="s">
        <v>215</v>
      </c>
      <c r="B510">
        <v>34</v>
      </c>
      <c r="C510" t="s">
        <v>27</v>
      </c>
      <c r="D510">
        <v>2</v>
      </c>
      <c r="E510" t="s">
        <v>156</v>
      </c>
      <c r="F510">
        <v>21</v>
      </c>
      <c r="G510" t="s">
        <v>372</v>
      </c>
      <c r="H510">
        <v>13</v>
      </c>
      <c r="I510" t="s">
        <v>155</v>
      </c>
      <c r="J510" t="s">
        <v>267</v>
      </c>
      <c r="K510" t="s">
        <v>268</v>
      </c>
      <c r="L510" t="s">
        <v>216</v>
      </c>
    </row>
    <row r="511" spans="1:12" x14ac:dyDescent="0.25">
      <c r="A511" t="s">
        <v>215</v>
      </c>
      <c r="B511">
        <v>35</v>
      </c>
      <c r="C511" t="s">
        <v>27</v>
      </c>
      <c r="D511">
        <v>3</v>
      </c>
      <c r="E511" t="s">
        <v>156</v>
      </c>
      <c r="G511" t="s">
        <v>372</v>
      </c>
      <c r="I511" t="s">
        <v>155</v>
      </c>
      <c r="J511" t="s">
        <v>267</v>
      </c>
      <c r="K511" t="s">
        <v>268</v>
      </c>
      <c r="L511" t="s">
        <v>216</v>
      </c>
    </row>
    <row r="512" spans="1:12" x14ac:dyDescent="0.25">
      <c r="A512" t="s">
        <v>215</v>
      </c>
      <c r="B512">
        <v>39</v>
      </c>
      <c r="C512" t="s">
        <v>12</v>
      </c>
      <c r="D512">
        <v>1</v>
      </c>
      <c r="E512" t="s">
        <v>194</v>
      </c>
      <c r="F512">
        <v>0</v>
      </c>
      <c r="G512" t="s">
        <v>372</v>
      </c>
      <c r="H512">
        <v>1</v>
      </c>
      <c r="I512" t="s">
        <v>146</v>
      </c>
      <c r="J512" t="s">
        <v>270</v>
      </c>
      <c r="K512" t="s">
        <v>234</v>
      </c>
      <c r="L512" t="s">
        <v>216</v>
      </c>
    </row>
    <row r="513" spans="1:12" x14ac:dyDescent="0.25">
      <c r="A513" t="s">
        <v>215</v>
      </c>
      <c r="B513">
        <v>40</v>
      </c>
      <c r="C513" t="s">
        <v>12</v>
      </c>
      <c r="D513">
        <v>2</v>
      </c>
      <c r="E513" t="s">
        <v>194</v>
      </c>
      <c r="F513">
        <v>0</v>
      </c>
      <c r="G513" t="s">
        <v>372</v>
      </c>
      <c r="H513">
        <v>1</v>
      </c>
      <c r="I513" t="s">
        <v>146</v>
      </c>
      <c r="J513" t="s">
        <v>270</v>
      </c>
      <c r="K513" t="s">
        <v>234</v>
      </c>
      <c r="L513" t="s">
        <v>216</v>
      </c>
    </row>
    <row r="514" spans="1:12" x14ac:dyDescent="0.25">
      <c r="A514" t="s">
        <v>215</v>
      </c>
      <c r="B514">
        <v>41</v>
      </c>
      <c r="C514" t="s">
        <v>12</v>
      </c>
      <c r="D514">
        <v>3</v>
      </c>
      <c r="E514" t="s">
        <v>194</v>
      </c>
      <c r="G514" t="s">
        <v>372</v>
      </c>
      <c r="I514" t="s">
        <v>146</v>
      </c>
      <c r="J514" t="s">
        <v>270</v>
      </c>
      <c r="K514" t="s">
        <v>234</v>
      </c>
      <c r="L514" t="s">
        <v>216</v>
      </c>
    </row>
    <row r="515" spans="1:12" x14ac:dyDescent="0.25">
      <c r="A515" t="s">
        <v>215</v>
      </c>
      <c r="B515">
        <v>42</v>
      </c>
      <c r="C515" t="s">
        <v>18</v>
      </c>
      <c r="D515">
        <v>1</v>
      </c>
      <c r="E515" t="s">
        <v>194</v>
      </c>
      <c r="F515">
        <v>0</v>
      </c>
      <c r="G515" t="s">
        <v>372</v>
      </c>
      <c r="H515">
        <v>1</v>
      </c>
      <c r="I515" t="s">
        <v>146</v>
      </c>
      <c r="J515" t="s">
        <v>273</v>
      </c>
      <c r="K515" t="s">
        <v>239</v>
      </c>
      <c r="L515" t="s">
        <v>216</v>
      </c>
    </row>
    <row r="516" spans="1:12" x14ac:dyDescent="0.25">
      <c r="A516" t="s">
        <v>215</v>
      </c>
      <c r="B516">
        <v>43</v>
      </c>
      <c r="C516" t="s">
        <v>18</v>
      </c>
      <c r="D516">
        <v>2</v>
      </c>
      <c r="E516" t="s">
        <v>194</v>
      </c>
      <c r="F516">
        <v>0</v>
      </c>
      <c r="G516" t="s">
        <v>372</v>
      </c>
      <c r="H516">
        <v>1</v>
      </c>
      <c r="I516" t="s">
        <v>146</v>
      </c>
      <c r="J516" t="s">
        <v>273</v>
      </c>
      <c r="K516" t="s">
        <v>239</v>
      </c>
      <c r="L516" t="s">
        <v>216</v>
      </c>
    </row>
    <row r="517" spans="1:12" x14ac:dyDescent="0.25">
      <c r="A517" t="s">
        <v>215</v>
      </c>
      <c r="B517">
        <v>44</v>
      </c>
      <c r="C517" t="s">
        <v>18</v>
      </c>
      <c r="D517">
        <v>3</v>
      </c>
      <c r="E517" t="s">
        <v>194</v>
      </c>
      <c r="G517" t="s">
        <v>372</v>
      </c>
      <c r="I517" t="s">
        <v>146</v>
      </c>
      <c r="J517" t="s">
        <v>273</v>
      </c>
      <c r="K517" t="s">
        <v>239</v>
      </c>
      <c r="L517" t="s">
        <v>216</v>
      </c>
    </row>
    <row r="518" spans="1:12" x14ac:dyDescent="0.25">
      <c r="A518" t="s">
        <v>215</v>
      </c>
      <c r="B518">
        <v>45</v>
      </c>
      <c r="C518" t="s">
        <v>21</v>
      </c>
      <c r="D518">
        <v>1</v>
      </c>
      <c r="E518" t="s">
        <v>194</v>
      </c>
      <c r="F518">
        <v>0</v>
      </c>
      <c r="G518" t="s">
        <v>372</v>
      </c>
      <c r="H518">
        <v>1</v>
      </c>
      <c r="I518" t="s">
        <v>146</v>
      </c>
      <c r="J518" t="s">
        <v>276</v>
      </c>
      <c r="K518" t="s">
        <v>244</v>
      </c>
      <c r="L518" t="s">
        <v>216</v>
      </c>
    </row>
    <row r="519" spans="1:12" x14ac:dyDescent="0.25">
      <c r="A519" t="s">
        <v>215</v>
      </c>
      <c r="B519">
        <v>46</v>
      </c>
      <c r="C519" t="s">
        <v>21</v>
      </c>
      <c r="D519">
        <v>2</v>
      </c>
      <c r="E519" t="s">
        <v>194</v>
      </c>
      <c r="F519">
        <v>0</v>
      </c>
      <c r="G519" t="s">
        <v>372</v>
      </c>
      <c r="H519">
        <v>1</v>
      </c>
      <c r="I519" t="s">
        <v>146</v>
      </c>
      <c r="J519" t="s">
        <v>276</v>
      </c>
      <c r="K519" t="s">
        <v>244</v>
      </c>
      <c r="L519" t="s">
        <v>216</v>
      </c>
    </row>
    <row r="520" spans="1:12" x14ac:dyDescent="0.25">
      <c r="A520" t="s">
        <v>215</v>
      </c>
      <c r="B520">
        <v>47</v>
      </c>
      <c r="C520" t="s">
        <v>21</v>
      </c>
      <c r="D520">
        <v>3</v>
      </c>
      <c r="E520" t="s">
        <v>194</v>
      </c>
      <c r="G520" t="s">
        <v>372</v>
      </c>
      <c r="I520" t="s">
        <v>146</v>
      </c>
      <c r="J520" t="s">
        <v>276</v>
      </c>
      <c r="K520" t="s">
        <v>244</v>
      </c>
      <c r="L520" t="s">
        <v>216</v>
      </c>
    </row>
    <row r="521" spans="1:12" x14ac:dyDescent="0.25">
      <c r="A521" t="s">
        <v>215</v>
      </c>
      <c r="B521">
        <v>48</v>
      </c>
      <c r="C521" t="s">
        <v>24</v>
      </c>
      <c r="D521">
        <v>1</v>
      </c>
      <c r="E521" t="s">
        <v>194</v>
      </c>
      <c r="G521" t="s">
        <v>372</v>
      </c>
      <c r="I521" t="s">
        <v>146</v>
      </c>
      <c r="J521" t="s">
        <v>279</v>
      </c>
      <c r="K521" t="s">
        <v>249</v>
      </c>
      <c r="L521" t="s">
        <v>216</v>
      </c>
    </row>
    <row r="522" spans="1:12" x14ac:dyDescent="0.25">
      <c r="A522" t="s">
        <v>215</v>
      </c>
      <c r="B522">
        <v>49</v>
      </c>
      <c r="C522" t="s">
        <v>24</v>
      </c>
      <c r="D522">
        <v>2</v>
      </c>
      <c r="E522" t="s">
        <v>194</v>
      </c>
      <c r="G522" t="s">
        <v>372</v>
      </c>
      <c r="I522" t="s">
        <v>146</v>
      </c>
      <c r="J522" t="s">
        <v>279</v>
      </c>
      <c r="K522" t="s">
        <v>249</v>
      </c>
      <c r="L522" t="s">
        <v>216</v>
      </c>
    </row>
    <row r="523" spans="1:12" x14ac:dyDescent="0.25">
      <c r="A523" t="s">
        <v>215</v>
      </c>
      <c r="B523">
        <v>50</v>
      </c>
      <c r="C523" t="s">
        <v>24</v>
      </c>
      <c r="D523">
        <v>3</v>
      </c>
      <c r="E523" t="s">
        <v>194</v>
      </c>
      <c r="G523" t="s">
        <v>372</v>
      </c>
      <c r="I523" t="s">
        <v>146</v>
      </c>
      <c r="J523" t="s">
        <v>279</v>
      </c>
      <c r="K523" t="s">
        <v>249</v>
      </c>
      <c r="L523" t="s">
        <v>216</v>
      </c>
    </row>
    <row r="524" spans="1:12" x14ac:dyDescent="0.25">
      <c r="A524" t="s">
        <v>215</v>
      </c>
      <c r="B524">
        <v>51</v>
      </c>
      <c r="C524" t="s">
        <v>27</v>
      </c>
      <c r="D524">
        <v>1</v>
      </c>
      <c r="E524" t="s">
        <v>194</v>
      </c>
      <c r="G524" t="s">
        <v>372</v>
      </c>
      <c r="I524" t="s">
        <v>146</v>
      </c>
      <c r="J524" t="s">
        <v>282</v>
      </c>
      <c r="K524" t="s">
        <v>254</v>
      </c>
      <c r="L524" t="s">
        <v>216</v>
      </c>
    </row>
    <row r="525" spans="1:12" x14ac:dyDescent="0.25">
      <c r="A525" t="s">
        <v>215</v>
      </c>
      <c r="B525">
        <v>52</v>
      </c>
      <c r="C525" t="s">
        <v>27</v>
      </c>
      <c r="D525">
        <v>2</v>
      </c>
      <c r="E525" t="s">
        <v>194</v>
      </c>
      <c r="G525" t="s">
        <v>372</v>
      </c>
      <c r="I525" t="s">
        <v>146</v>
      </c>
      <c r="J525" t="s">
        <v>282</v>
      </c>
      <c r="K525" t="s">
        <v>254</v>
      </c>
      <c r="L525" t="s">
        <v>216</v>
      </c>
    </row>
    <row r="526" spans="1:12" x14ac:dyDescent="0.25">
      <c r="A526" t="s">
        <v>215</v>
      </c>
      <c r="B526">
        <v>53</v>
      </c>
      <c r="C526" t="s">
        <v>27</v>
      </c>
      <c r="D526">
        <v>3</v>
      </c>
      <c r="E526" t="s">
        <v>194</v>
      </c>
      <c r="G526" t="s">
        <v>372</v>
      </c>
      <c r="I526" t="s">
        <v>146</v>
      </c>
      <c r="J526" t="s">
        <v>282</v>
      </c>
      <c r="K526" t="s">
        <v>254</v>
      </c>
      <c r="L526" t="s">
        <v>216</v>
      </c>
    </row>
    <row r="527" spans="1:12" x14ac:dyDescent="0.25">
      <c r="A527" t="s">
        <v>215</v>
      </c>
      <c r="B527">
        <v>57</v>
      </c>
      <c r="C527" t="s">
        <v>12</v>
      </c>
      <c r="D527">
        <v>1</v>
      </c>
      <c r="E527" t="s">
        <v>147</v>
      </c>
      <c r="F527">
        <v>21</v>
      </c>
      <c r="G527" t="s">
        <v>372</v>
      </c>
      <c r="H527">
        <v>23</v>
      </c>
      <c r="I527" t="s">
        <v>168</v>
      </c>
      <c r="J527" t="s">
        <v>272</v>
      </c>
      <c r="K527" t="s">
        <v>232</v>
      </c>
      <c r="L527" t="s">
        <v>216</v>
      </c>
    </row>
    <row r="528" spans="1:12" x14ac:dyDescent="0.25">
      <c r="A528" t="s">
        <v>215</v>
      </c>
      <c r="B528">
        <v>58</v>
      </c>
      <c r="C528" t="s">
        <v>12</v>
      </c>
      <c r="D528">
        <v>2</v>
      </c>
      <c r="E528" t="s">
        <v>147</v>
      </c>
      <c r="F528">
        <v>21</v>
      </c>
      <c r="G528" t="s">
        <v>372</v>
      </c>
      <c r="H528">
        <v>15</v>
      </c>
      <c r="I528" t="s">
        <v>168</v>
      </c>
      <c r="J528" t="s">
        <v>272</v>
      </c>
      <c r="K528" t="s">
        <v>232</v>
      </c>
      <c r="L528" t="s">
        <v>216</v>
      </c>
    </row>
    <row r="529" spans="1:12" x14ac:dyDescent="0.25">
      <c r="A529" t="s">
        <v>215</v>
      </c>
      <c r="B529">
        <v>59</v>
      </c>
      <c r="C529" t="s">
        <v>12</v>
      </c>
      <c r="D529">
        <v>3</v>
      </c>
      <c r="E529" t="s">
        <v>147</v>
      </c>
      <c r="F529">
        <v>21</v>
      </c>
      <c r="G529" t="s">
        <v>372</v>
      </c>
      <c r="H529">
        <v>16</v>
      </c>
      <c r="I529" t="s">
        <v>168</v>
      </c>
      <c r="J529" t="s">
        <v>272</v>
      </c>
      <c r="K529" t="s">
        <v>232</v>
      </c>
      <c r="L529" t="s">
        <v>216</v>
      </c>
    </row>
    <row r="530" spans="1:12" x14ac:dyDescent="0.25">
      <c r="A530" t="s">
        <v>215</v>
      </c>
      <c r="B530">
        <v>60</v>
      </c>
      <c r="C530" t="s">
        <v>18</v>
      </c>
      <c r="D530">
        <v>1</v>
      </c>
      <c r="E530" t="s">
        <v>147</v>
      </c>
      <c r="F530">
        <v>17</v>
      </c>
      <c r="G530" t="s">
        <v>372</v>
      </c>
      <c r="H530">
        <v>21</v>
      </c>
      <c r="I530" t="s">
        <v>168</v>
      </c>
      <c r="J530" t="s">
        <v>275</v>
      </c>
      <c r="K530" t="s">
        <v>237</v>
      </c>
      <c r="L530" t="s">
        <v>216</v>
      </c>
    </row>
    <row r="531" spans="1:12" x14ac:dyDescent="0.25">
      <c r="A531" t="s">
        <v>215</v>
      </c>
      <c r="B531">
        <v>61</v>
      </c>
      <c r="C531" t="s">
        <v>18</v>
      </c>
      <c r="D531">
        <v>2</v>
      </c>
      <c r="E531" t="s">
        <v>147</v>
      </c>
      <c r="F531">
        <v>21</v>
      </c>
      <c r="G531" t="s">
        <v>372</v>
      </c>
      <c r="H531">
        <v>18</v>
      </c>
      <c r="I531" t="s">
        <v>168</v>
      </c>
      <c r="J531" t="s">
        <v>275</v>
      </c>
      <c r="K531" t="s">
        <v>237</v>
      </c>
      <c r="L531" t="s">
        <v>216</v>
      </c>
    </row>
    <row r="532" spans="1:12" x14ac:dyDescent="0.25">
      <c r="A532" t="s">
        <v>215</v>
      </c>
      <c r="B532">
        <v>62</v>
      </c>
      <c r="C532" t="s">
        <v>18</v>
      </c>
      <c r="D532">
        <v>3</v>
      </c>
      <c r="E532" t="s">
        <v>147</v>
      </c>
      <c r="F532">
        <v>16</v>
      </c>
      <c r="G532" t="s">
        <v>372</v>
      </c>
      <c r="H532">
        <v>21</v>
      </c>
      <c r="I532" t="s">
        <v>168</v>
      </c>
      <c r="J532" t="s">
        <v>275</v>
      </c>
      <c r="K532" t="s">
        <v>237</v>
      </c>
      <c r="L532" t="s">
        <v>216</v>
      </c>
    </row>
    <row r="533" spans="1:12" x14ac:dyDescent="0.25">
      <c r="A533" t="s">
        <v>215</v>
      </c>
      <c r="B533">
        <v>63</v>
      </c>
      <c r="C533" t="s">
        <v>21</v>
      </c>
      <c r="D533">
        <v>1</v>
      </c>
      <c r="E533" t="s">
        <v>147</v>
      </c>
      <c r="F533">
        <v>21</v>
      </c>
      <c r="G533" t="s">
        <v>372</v>
      </c>
      <c r="H533">
        <v>19</v>
      </c>
      <c r="I533" t="s">
        <v>168</v>
      </c>
      <c r="J533" t="s">
        <v>278</v>
      </c>
      <c r="K533" t="s">
        <v>242</v>
      </c>
      <c r="L533" t="s">
        <v>216</v>
      </c>
    </row>
    <row r="534" spans="1:12" x14ac:dyDescent="0.25">
      <c r="A534" t="s">
        <v>215</v>
      </c>
      <c r="B534">
        <v>64</v>
      </c>
      <c r="C534" t="s">
        <v>21</v>
      </c>
      <c r="D534">
        <v>2</v>
      </c>
      <c r="E534" t="s">
        <v>147</v>
      </c>
      <c r="F534">
        <v>16</v>
      </c>
      <c r="G534" t="s">
        <v>372</v>
      </c>
      <c r="H534">
        <v>21</v>
      </c>
      <c r="I534" t="s">
        <v>168</v>
      </c>
      <c r="J534" t="s">
        <v>278</v>
      </c>
      <c r="K534" t="s">
        <v>242</v>
      </c>
      <c r="L534" t="s">
        <v>216</v>
      </c>
    </row>
    <row r="535" spans="1:12" x14ac:dyDescent="0.25">
      <c r="A535" t="s">
        <v>215</v>
      </c>
      <c r="B535">
        <v>65</v>
      </c>
      <c r="C535" t="s">
        <v>21</v>
      </c>
      <c r="D535">
        <v>3</v>
      </c>
      <c r="E535" t="s">
        <v>147</v>
      </c>
      <c r="F535">
        <v>15</v>
      </c>
      <c r="G535" t="s">
        <v>372</v>
      </c>
      <c r="H535">
        <v>21</v>
      </c>
      <c r="I535" t="s">
        <v>168</v>
      </c>
      <c r="J535" t="s">
        <v>278</v>
      </c>
      <c r="K535" t="s">
        <v>242</v>
      </c>
      <c r="L535" t="s">
        <v>216</v>
      </c>
    </row>
    <row r="536" spans="1:12" x14ac:dyDescent="0.25">
      <c r="A536" t="s">
        <v>215</v>
      </c>
      <c r="B536">
        <v>66</v>
      </c>
      <c r="C536" t="s">
        <v>24</v>
      </c>
      <c r="D536">
        <v>1</v>
      </c>
      <c r="E536" t="s">
        <v>147</v>
      </c>
      <c r="F536">
        <v>11</v>
      </c>
      <c r="G536" t="s">
        <v>372</v>
      </c>
      <c r="H536">
        <v>21</v>
      </c>
      <c r="I536" t="s">
        <v>168</v>
      </c>
      <c r="J536" t="s">
        <v>281</v>
      </c>
      <c r="K536" t="s">
        <v>247</v>
      </c>
      <c r="L536" t="s">
        <v>216</v>
      </c>
    </row>
    <row r="537" spans="1:12" x14ac:dyDescent="0.25">
      <c r="A537" t="s">
        <v>215</v>
      </c>
      <c r="B537">
        <v>67</v>
      </c>
      <c r="C537" t="s">
        <v>24</v>
      </c>
      <c r="D537">
        <v>2</v>
      </c>
      <c r="E537" t="s">
        <v>147</v>
      </c>
      <c r="F537">
        <v>18</v>
      </c>
      <c r="G537" t="s">
        <v>372</v>
      </c>
      <c r="H537">
        <v>21</v>
      </c>
      <c r="I537" t="s">
        <v>168</v>
      </c>
      <c r="J537" t="s">
        <v>281</v>
      </c>
      <c r="K537" t="s">
        <v>247</v>
      </c>
      <c r="L537" t="s">
        <v>216</v>
      </c>
    </row>
    <row r="538" spans="1:12" x14ac:dyDescent="0.25">
      <c r="A538" t="s">
        <v>215</v>
      </c>
      <c r="B538">
        <v>68</v>
      </c>
      <c r="C538" t="s">
        <v>24</v>
      </c>
      <c r="D538">
        <v>3</v>
      </c>
      <c r="E538" t="s">
        <v>147</v>
      </c>
      <c r="G538" t="s">
        <v>372</v>
      </c>
      <c r="I538" t="s">
        <v>168</v>
      </c>
      <c r="J538" t="s">
        <v>281</v>
      </c>
      <c r="K538" t="s">
        <v>247</v>
      </c>
      <c r="L538" t="s">
        <v>216</v>
      </c>
    </row>
    <row r="539" spans="1:12" x14ac:dyDescent="0.25">
      <c r="A539" t="s">
        <v>215</v>
      </c>
      <c r="B539">
        <v>69</v>
      </c>
      <c r="C539" t="s">
        <v>27</v>
      </c>
      <c r="D539">
        <v>1</v>
      </c>
      <c r="E539" t="s">
        <v>147</v>
      </c>
      <c r="F539">
        <v>23</v>
      </c>
      <c r="G539" t="s">
        <v>372</v>
      </c>
      <c r="H539">
        <v>25</v>
      </c>
      <c r="I539" t="s">
        <v>168</v>
      </c>
      <c r="J539" t="s">
        <v>284</v>
      </c>
      <c r="K539" t="s">
        <v>252</v>
      </c>
      <c r="L539" t="s">
        <v>216</v>
      </c>
    </row>
    <row r="540" spans="1:12" x14ac:dyDescent="0.25">
      <c r="A540" t="s">
        <v>215</v>
      </c>
      <c r="B540">
        <v>70</v>
      </c>
      <c r="C540" t="s">
        <v>27</v>
      </c>
      <c r="D540">
        <v>2</v>
      </c>
      <c r="E540" t="s">
        <v>147</v>
      </c>
      <c r="F540">
        <v>15</v>
      </c>
      <c r="G540" t="s">
        <v>372</v>
      </c>
      <c r="H540">
        <v>21</v>
      </c>
      <c r="I540" t="s">
        <v>168</v>
      </c>
      <c r="J540" t="s">
        <v>284</v>
      </c>
      <c r="K540" t="s">
        <v>252</v>
      </c>
      <c r="L540" t="s">
        <v>216</v>
      </c>
    </row>
    <row r="541" spans="1:12" x14ac:dyDescent="0.25">
      <c r="A541" t="s">
        <v>215</v>
      </c>
      <c r="B541">
        <v>71</v>
      </c>
      <c r="C541" t="s">
        <v>27</v>
      </c>
      <c r="D541">
        <v>3</v>
      </c>
      <c r="E541" t="s">
        <v>147</v>
      </c>
      <c r="G541" t="s">
        <v>372</v>
      </c>
      <c r="I541" t="s">
        <v>168</v>
      </c>
      <c r="J541" t="s">
        <v>284</v>
      </c>
      <c r="K541" t="s">
        <v>252</v>
      </c>
      <c r="L541" t="s">
        <v>216</v>
      </c>
    </row>
    <row r="542" spans="1:12" x14ac:dyDescent="0.25">
      <c r="A542" t="s">
        <v>215</v>
      </c>
      <c r="B542">
        <v>75</v>
      </c>
      <c r="C542" t="s">
        <v>12</v>
      </c>
      <c r="D542">
        <v>1</v>
      </c>
      <c r="E542" t="s">
        <v>31</v>
      </c>
      <c r="F542">
        <v>1</v>
      </c>
      <c r="G542" t="s">
        <v>372</v>
      </c>
      <c r="H542">
        <v>0</v>
      </c>
      <c r="I542" t="s">
        <v>96</v>
      </c>
      <c r="J542" t="s">
        <v>290</v>
      </c>
      <c r="K542" t="s">
        <v>231</v>
      </c>
      <c r="L542" t="s">
        <v>216</v>
      </c>
    </row>
    <row r="543" spans="1:12" x14ac:dyDescent="0.25">
      <c r="A543" t="s">
        <v>215</v>
      </c>
      <c r="B543">
        <v>76</v>
      </c>
      <c r="C543" t="s">
        <v>12</v>
      </c>
      <c r="D543">
        <v>2</v>
      </c>
      <c r="E543" t="s">
        <v>31</v>
      </c>
      <c r="F543">
        <v>1</v>
      </c>
      <c r="G543" t="s">
        <v>372</v>
      </c>
      <c r="H543">
        <v>0</v>
      </c>
      <c r="I543" t="s">
        <v>96</v>
      </c>
      <c r="J543" t="s">
        <v>290</v>
      </c>
      <c r="K543" t="s">
        <v>231</v>
      </c>
      <c r="L543" t="s">
        <v>229</v>
      </c>
    </row>
    <row r="544" spans="1:12" x14ac:dyDescent="0.25">
      <c r="A544" t="s">
        <v>215</v>
      </c>
      <c r="B544">
        <v>77</v>
      </c>
      <c r="C544" t="s">
        <v>12</v>
      </c>
      <c r="D544">
        <v>3</v>
      </c>
      <c r="E544" t="s">
        <v>31</v>
      </c>
      <c r="G544" t="s">
        <v>372</v>
      </c>
      <c r="I544" t="s">
        <v>96</v>
      </c>
      <c r="J544" t="s">
        <v>290</v>
      </c>
      <c r="K544" t="s">
        <v>231</v>
      </c>
      <c r="L544" t="s">
        <v>229</v>
      </c>
    </row>
    <row r="545" spans="1:12" x14ac:dyDescent="0.25">
      <c r="A545" t="s">
        <v>215</v>
      </c>
      <c r="B545">
        <v>78</v>
      </c>
      <c r="C545" t="s">
        <v>18</v>
      </c>
      <c r="D545">
        <v>1</v>
      </c>
      <c r="E545" t="s">
        <v>31</v>
      </c>
      <c r="F545">
        <v>1</v>
      </c>
      <c r="G545" t="s">
        <v>372</v>
      </c>
      <c r="H545">
        <v>0</v>
      </c>
      <c r="I545" t="s">
        <v>96</v>
      </c>
      <c r="J545" t="s">
        <v>292</v>
      </c>
      <c r="K545" t="s">
        <v>236</v>
      </c>
      <c r="L545" t="s">
        <v>229</v>
      </c>
    </row>
    <row r="546" spans="1:12" x14ac:dyDescent="0.25">
      <c r="A546" t="s">
        <v>215</v>
      </c>
      <c r="B546">
        <v>79</v>
      </c>
      <c r="C546" t="s">
        <v>18</v>
      </c>
      <c r="D546">
        <v>2</v>
      </c>
      <c r="E546" t="s">
        <v>31</v>
      </c>
      <c r="F546">
        <v>1</v>
      </c>
      <c r="G546" t="s">
        <v>372</v>
      </c>
      <c r="H546">
        <v>0</v>
      </c>
      <c r="I546" t="s">
        <v>96</v>
      </c>
      <c r="J546" t="s">
        <v>292</v>
      </c>
      <c r="K546" t="s">
        <v>236</v>
      </c>
      <c r="L546" t="s">
        <v>229</v>
      </c>
    </row>
    <row r="547" spans="1:12" x14ac:dyDescent="0.25">
      <c r="A547" t="s">
        <v>215</v>
      </c>
      <c r="B547">
        <v>80</v>
      </c>
      <c r="C547" t="s">
        <v>18</v>
      </c>
      <c r="D547">
        <v>3</v>
      </c>
      <c r="E547" t="s">
        <v>31</v>
      </c>
      <c r="G547" t="s">
        <v>372</v>
      </c>
      <c r="I547" t="s">
        <v>96</v>
      </c>
      <c r="J547" t="s">
        <v>292</v>
      </c>
      <c r="K547" t="s">
        <v>236</v>
      </c>
      <c r="L547" t="s">
        <v>229</v>
      </c>
    </row>
    <row r="548" spans="1:12" x14ac:dyDescent="0.25">
      <c r="A548" t="s">
        <v>215</v>
      </c>
      <c r="B548">
        <v>81</v>
      </c>
      <c r="C548" t="s">
        <v>21</v>
      </c>
      <c r="D548">
        <v>1</v>
      </c>
      <c r="E548" t="s">
        <v>31</v>
      </c>
      <c r="F548">
        <v>1</v>
      </c>
      <c r="G548" t="s">
        <v>372</v>
      </c>
      <c r="H548">
        <v>0</v>
      </c>
      <c r="I548" t="s">
        <v>96</v>
      </c>
      <c r="J548" t="s">
        <v>294</v>
      </c>
      <c r="K548" t="s">
        <v>241</v>
      </c>
      <c r="L548" t="s">
        <v>229</v>
      </c>
    </row>
    <row r="549" spans="1:12" x14ac:dyDescent="0.25">
      <c r="A549" t="s">
        <v>215</v>
      </c>
      <c r="B549">
        <v>82</v>
      </c>
      <c r="C549" t="s">
        <v>21</v>
      </c>
      <c r="D549">
        <v>2</v>
      </c>
      <c r="E549" t="s">
        <v>31</v>
      </c>
      <c r="F549">
        <v>1</v>
      </c>
      <c r="G549" t="s">
        <v>372</v>
      </c>
      <c r="H549">
        <v>0</v>
      </c>
      <c r="I549" t="s">
        <v>96</v>
      </c>
      <c r="J549" t="s">
        <v>294</v>
      </c>
      <c r="K549" t="s">
        <v>241</v>
      </c>
      <c r="L549" t="s">
        <v>229</v>
      </c>
    </row>
    <row r="550" spans="1:12" x14ac:dyDescent="0.25">
      <c r="A550" t="s">
        <v>215</v>
      </c>
      <c r="B550">
        <v>83</v>
      </c>
      <c r="C550" t="s">
        <v>21</v>
      </c>
      <c r="D550">
        <v>3</v>
      </c>
      <c r="E550" t="s">
        <v>31</v>
      </c>
      <c r="G550" t="s">
        <v>372</v>
      </c>
      <c r="I550" t="s">
        <v>96</v>
      </c>
      <c r="J550" t="s">
        <v>294</v>
      </c>
      <c r="K550" t="s">
        <v>241</v>
      </c>
      <c r="L550" t="s">
        <v>229</v>
      </c>
    </row>
    <row r="551" spans="1:12" x14ac:dyDescent="0.25">
      <c r="A551" t="s">
        <v>215</v>
      </c>
      <c r="B551">
        <v>84</v>
      </c>
      <c r="C551" t="s">
        <v>24</v>
      </c>
      <c r="D551">
        <v>1</v>
      </c>
      <c r="E551" t="s">
        <v>31</v>
      </c>
      <c r="F551">
        <v>1</v>
      </c>
      <c r="G551" t="s">
        <v>372</v>
      </c>
      <c r="H551">
        <v>0</v>
      </c>
      <c r="I551" t="s">
        <v>96</v>
      </c>
      <c r="J551" t="s">
        <v>296</v>
      </c>
      <c r="K551" t="s">
        <v>246</v>
      </c>
      <c r="L551" t="s">
        <v>229</v>
      </c>
    </row>
    <row r="552" spans="1:12" x14ac:dyDescent="0.25">
      <c r="A552" t="s">
        <v>215</v>
      </c>
      <c r="B552">
        <v>85</v>
      </c>
      <c r="C552" t="s">
        <v>24</v>
      </c>
      <c r="D552">
        <v>2</v>
      </c>
      <c r="E552" t="s">
        <v>31</v>
      </c>
      <c r="F552">
        <v>1</v>
      </c>
      <c r="G552" t="s">
        <v>372</v>
      </c>
      <c r="H552">
        <v>0</v>
      </c>
      <c r="I552" t="s">
        <v>96</v>
      </c>
      <c r="J552" t="s">
        <v>296</v>
      </c>
      <c r="K552" t="s">
        <v>246</v>
      </c>
      <c r="L552" t="s">
        <v>229</v>
      </c>
    </row>
    <row r="553" spans="1:12" x14ac:dyDescent="0.25">
      <c r="A553" t="s">
        <v>215</v>
      </c>
      <c r="B553">
        <v>86</v>
      </c>
      <c r="C553" t="s">
        <v>24</v>
      </c>
      <c r="D553">
        <v>3</v>
      </c>
      <c r="E553" t="s">
        <v>31</v>
      </c>
      <c r="G553" t="s">
        <v>372</v>
      </c>
      <c r="I553" t="s">
        <v>96</v>
      </c>
      <c r="J553" t="s">
        <v>296</v>
      </c>
      <c r="K553" t="s">
        <v>246</v>
      </c>
      <c r="L553" t="s">
        <v>229</v>
      </c>
    </row>
    <row r="554" spans="1:12" x14ac:dyDescent="0.25">
      <c r="A554" t="s">
        <v>215</v>
      </c>
      <c r="B554">
        <v>87</v>
      </c>
      <c r="C554" t="s">
        <v>27</v>
      </c>
      <c r="D554">
        <v>1</v>
      </c>
      <c r="E554" t="s">
        <v>31</v>
      </c>
      <c r="F554">
        <v>0</v>
      </c>
      <c r="G554" t="s">
        <v>372</v>
      </c>
      <c r="H554">
        <v>1</v>
      </c>
      <c r="I554" t="s">
        <v>96</v>
      </c>
      <c r="J554" t="s">
        <v>298</v>
      </c>
      <c r="K554" t="s">
        <v>251</v>
      </c>
      <c r="L554" t="s">
        <v>229</v>
      </c>
    </row>
    <row r="555" spans="1:12" x14ac:dyDescent="0.25">
      <c r="A555" t="s">
        <v>215</v>
      </c>
      <c r="B555">
        <v>88</v>
      </c>
      <c r="C555" t="s">
        <v>27</v>
      </c>
      <c r="D555">
        <v>2</v>
      </c>
      <c r="E555" t="s">
        <v>31</v>
      </c>
      <c r="F555">
        <v>0</v>
      </c>
      <c r="G555" t="s">
        <v>372</v>
      </c>
      <c r="H555">
        <v>1</v>
      </c>
      <c r="I555" t="s">
        <v>96</v>
      </c>
      <c r="J555" t="s">
        <v>298</v>
      </c>
      <c r="K555" t="s">
        <v>251</v>
      </c>
      <c r="L555" t="s">
        <v>229</v>
      </c>
    </row>
    <row r="556" spans="1:12" x14ac:dyDescent="0.25">
      <c r="A556" t="s">
        <v>215</v>
      </c>
      <c r="B556">
        <v>89</v>
      </c>
      <c r="C556" t="s">
        <v>27</v>
      </c>
      <c r="D556">
        <v>3</v>
      </c>
      <c r="E556" t="s">
        <v>31</v>
      </c>
      <c r="G556" t="s">
        <v>372</v>
      </c>
      <c r="I556" t="s">
        <v>96</v>
      </c>
      <c r="J556" t="s">
        <v>298</v>
      </c>
      <c r="K556" t="s">
        <v>251</v>
      </c>
      <c r="L556" t="s">
        <v>229</v>
      </c>
    </row>
    <row r="557" spans="1:12" x14ac:dyDescent="0.25">
      <c r="A557" t="s">
        <v>215</v>
      </c>
      <c r="B557">
        <v>93</v>
      </c>
      <c r="C557" t="s">
        <v>12</v>
      </c>
      <c r="D557">
        <v>1</v>
      </c>
      <c r="E557" t="s">
        <v>57</v>
      </c>
      <c r="F557">
        <v>14</v>
      </c>
      <c r="G557" t="s">
        <v>372</v>
      </c>
      <c r="H557">
        <v>21</v>
      </c>
      <c r="I557" t="s">
        <v>169</v>
      </c>
      <c r="J557" t="s">
        <v>301</v>
      </c>
      <c r="K557" t="s">
        <v>256</v>
      </c>
      <c r="L557" t="s">
        <v>229</v>
      </c>
    </row>
    <row r="558" spans="1:12" x14ac:dyDescent="0.25">
      <c r="A558" t="s">
        <v>215</v>
      </c>
      <c r="B558">
        <v>94</v>
      </c>
      <c r="C558" t="s">
        <v>12</v>
      </c>
      <c r="D558">
        <v>2</v>
      </c>
      <c r="E558" t="s">
        <v>57</v>
      </c>
      <c r="F558">
        <v>0</v>
      </c>
      <c r="G558" t="s">
        <v>372</v>
      </c>
      <c r="H558">
        <v>1</v>
      </c>
      <c r="I558" t="s">
        <v>169</v>
      </c>
      <c r="J558" t="s">
        <v>301</v>
      </c>
      <c r="K558" t="s">
        <v>256</v>
      </c>
      <c r="L558" t="s">
        <v>229</v>
      </c>
    </row>
    <row r="559" spans="1:12" x14ac:dyDescent="0.25">
      <c r="A559" t="s">
        <v>215</v>
      </c>
      <c r="B559">
        <v>95</v>
      </c>
      <c r="C559" t="s">
        <v>12</v>
      </c>
      <c r="D559">
        <v>3</v>
      </c>
      <c r="E559" t="s">
        <v>57</v>
      </c>
      <c r="G559" t="s">
        <v>372</v>
      </c>
      <c r="I559" t="s">
        <v>169</v>
      </c>
      <c r="J559" t="s">
        <v>301</v>
      </c>
      <c r="K559" t="s">
        <v>256</v>
      </c>
      <c r="L559" t="s">
        <v>229</v>
      </c>
    </row>
    <row r="560" spans="1:12" x14ac:dyDescent="0.25">
      <c r="A560" t="s">
        <v>215</v>
      </c>
      <c r="B560">
        <v>96</v>
      </c>
      <c r="C560" t="s">
        <v>18</v>
      </c>
      <c r="D560">
        <v>1</v>
      </c>
      <c r="E560" t="s">
        <v>57</v>
      </c>
      <c r="F560">
        <v>23</v>
      </c>
      <c r="G560" t="s">
        <v>372</v>
      </c>
      <c r="H560">
        <v>21</v>
      </c>
      <c r="I560" t="s">
        <v>169</v>
      </c>
      <c r="J560" t="s">
        <v>303</v>
      </c>
      <c r="K560" t="s">
        <v>259</v>
      </c>
      <c r="L560" t="s">
        <v>229</v>
      </c>
    </row>
    <row r="561" spans="1:12" x14ac:dyDescent="0.25">
      <c r="A561" t="s">
        <v>215</v>
      </c>
      <c r="B561">
        <v>97</v>
      </c>
      <c r="C561" t="s">
        <v>18</v>
      </c>
      <c r="D561">
        <v>2</v>
      </c>
      <c r="E561" t="s">
        <v>57</v>
      </c>
      <c r="F561">
        <v>1</v>
      </c>
      <c r="G561" t="s">
        <v>372</v>
      </c>
      <c r="H561">
        <v>0</v>
      </c>
      <c r="I561" t="s">
        <v>169</v>
      </c>
      <c r="J561" t="s">
        <v>303</v>
      </c>
      <c r="K561" t="s">
        <v>259</v>
      </c>
      <c r="L561" t="s">
        <v>229</v>
      </c>
    </row>
    <row r="562" spans="1:12" x14ac:dyDescent="0.25">
      <c r="A562" t="s">
        <v>215</v>
      </c>
      <c r="B562">
        <v>98</v>
      </c>
      <c r="C562" t="s">
        <v>18</v>
      </c>
      <c r="D562">
        <v>3</v>
      </c>
      <c r="E562" t="s">
        <v>57</v>
      </c>
      <c r="G562" t="s">
        <v>372</v>
      </c>
      <c r="I562" t="s">
        <v>169</v>
      </c>
      <c r="J562" t="s">
        <v>303</v>
      </c>
      <c r="K562" t="s">
        <v>259</v>
      </c>
      <c r="L562" t="s">
        <v>229</v>
      </c>
    </row>
    <row r="563" spans="1:12" x14ac:dyDescent="0.25">
      <c r="A563" t="s">
        <v>215</v>
      </c>
      <c r="B563">
        <v>99</v>
      </c>
      <c r="C563" t="s">
        <v>21</v>
      </c>
      <c r="D563">
        <v>1</v>
      </c>
      <c r="E563" t="s">
        <v>57</v>
      </c>
      <c r="F563">
        <v>24</v>
      </c>
      <c r="G563" t="s">
        <v>372</v>
      </c>
      <c r="H563">
        <v>25</v>
      </c>
      <c r="I563" t="s">
        <v>169</v>
      </c>
      <c r="J563" t="s">
        <v>305</v>
      </c>
      <c r="K563" t="s">
        <v>262</v>
      </c>
      <c r="L563" t="s">
        <v>229</v>
      </c>
    </row>
    <row r="564" spans="1:12" x14ac:dyDescent="0.25">
      <c r="A564" t="s">
        <v>215</v>
      </c>
      <c r="B564">
        <v>100</v>
      </c>
      <c r="C564" t="s">
        <v>21</v>
      </c>
      <c r="D564">
        <v>2</v>
      </c>
      <c r="E564" t="s">
        <v>57</v>
      </c>
      <c r="F564">
        <v>0</v>
      </c>
      <c r="G564" t="s">
        <v>372</v>
      </c>
      <c r="H564">
        <v>1</v>
      </c>
      <c r="I564" t="s">
        <v>169</v>
      </c>
      <c r="J564" t="s">
        <v>305</v>
      </c>
      <c r="K564" t="s">
        <v>262</v>
      </c>
      <c r="L564" t="s">
        <v>229</v>
      </c>
    </row>
    <row r="565" spans="1:12" x14ac:dyDescent="0.25">
      <c r="A565" t="s">
        <v>215</v>
      </c>
      <c r="B565">
        <v>101</v>
      </c>
      <c r="C565" t="s">
        <v>21</v>
      </c>
      <c r="D565">
        <v>3</v>
      </c>
      <c r="E565" t="s">
        <v>57</v>
      </c>
      <c r="G565" t="s">
        <v>372</v>
      </c>
      <c r="I565" t="s">
        <v>169</v>
      </c>
      <c r="J565" t="s">
        <v>305</v>
      </c>
      <c r="K565" t="s">
        <v>262</v>
      </c>
      <c r="L565" t="s">
        <v>229</v>
      </c>
    </row>
    <row r="566" spans="1:12" x14ac:dyDescent="0.25">
      <c r="A566" t="s">
        <v>215</v>
      </c>
      <c r="B566">
        <v>102</v>
      </c>
      <c r="C566" t="s">
        <v>24</v>
      </c>
      <c r="D566">
        <v>1</v>
      </c>
      <c r="E566" t="s">
        <v>57</v>
      </c>
      <c r="F566">
        <v>21</v>
      </c>
      <c r="G566" t="s">
        <v>372</v>
      </c>
      <c r="H566">
        <v>17</v>
      </c>
      <c r="I566" t="s">
        <v>169</v>
      </c>
      <c r="J566" t="s">
        <v>307</v>
      </c>
      <c r="K566" t="s">
        <v>265</v>
      </c>
      <c r="L566" t="s">
        <v>229</v>
      </c>
    </row>
    <row r="567" spans="1:12" x14ac:dyDescent="0.25">
      <c r="A567" t="s">
        <v>215</v>
      </c>
      <c r="B567">
        <v>103</v>
      </c>
      <c r="C567" t="s">
        <v>24</v>
      </c>
      <c r="D567">
        <v>2</v>
      </c>
      <c r="E567" t="s">
        <v>57</v>
      </c>
      <c r="F567">
        <v>1</v>
      </c>
      <c r="G567" t="s">
        <v>372</v>
      </c>
      <c r="H567">
        <v>0</v>
      </c>
      <c r="I567" t="s">
        <v>169</v>
      </c>
      <c r="J567" t="s">
        <v>307</v>
      </c>
      <c r="K567" t="s">
        <v>265</v>
      </c>
      <c r="L567" t="s">
        <v>229</v>
      </c>
    </row>
    <row r="568" spans="1:12" x14ac:dyDescent="0.25">
      <c r="A568" t="s">
        <v>215</v>
      </c>
      <c r="B568">
        <v>104</v>
      </c>
      <c r="C568" t="s">
        <v>24</v>
      </c>
      <c r="D568">
        <v>3</v>
      </c>
      <c r="E568" t="s">
        <v>57</v>
      </c>
      <c r="G568" t="s">
        <v>372</v>
      </c>
      <c r="I568" t="s">
        <v>169</v>
      </c>
      <c r="J568" t="s">
        <v>307</v>
      </c>
      <c r="K568" t="s">
        <v>265</v>
      </c>
      <c r="L568" t="s">
        <v>229</v>
      </c>
    </row>
    <row r="569" spans="1:12" x14ac:dyDescent="0.25">
      <c r="A569" t="s">
        <v>215</v>
      </c>
      <c r="B569">
        <v>105</v>
      </c>
      <c r="C569" t="s">
        <v>27</v>
      </c>
      <c r="D569">
        <v>1</v>
      </c>
      <c r="E569" t="s">
        <v>57</v>
      </c>
      <c r="F569">
        <v>15</v>
      </c>
      <c r="G569" t="s">
        <v>372</v>
      </c>
      <c r="H569">
        <v>21</v>
      </c>
      <c r="I569" t="s">
        <v>169</v>
      </c>
      <c r="J569" t="s">
        <v>309</v>
      </c>
      <c r="K569" t="s">
        <v>269</v>
      </c>
      <c r="L569" t="s">
        <v>229</v>
      </c>
    </row>
    <row r="570" spans="1:12" x14ac:dyDescent="0.25">
      <c r="A570" t="s">
        <v>215</v>
      </c>
      <c r="B570">
        <v>106</v>
      </c>
      <c r="C570" t="s">
        <v>27</v>
      </c>
      <c r="D570">
        <v>2</v>
      </c>
      <c r="E570" t="s">
        <v>57</v>
      </c>
      <c r="F570">
        <v>0</v>
      </c>
      <c r="G570" t="s">
        <v>372</v>
      </c>
      <c r="H570">
        <v>1</v>
      </c>
      <c r="I570" t="s">
        <v>169</v>
      </c>
      <c r="J570" t="s">
        <v>309</v>
      </c>
      <c r="K570" t="s">
        <v>269</v>
      </c>
      <c r="L570" t="s">
        <v>229</v>
      </c>
    </row>
    <row r="571" spans="1:12" x14ac:dyDescent="0.25">
      <c r="A571" t="s">
        <v>215</v>
      </c>
      <c r="B571">
        <v>107</v>
      </c>
      <c r="C571" t="s">
        <v>27</v>
      </c>
      <c r="D571">
        <v>3</v>
      </c>
      <c r="E571" t="s">
        <v>57</v>
      </c>
      <c r="G571" t="s">
        <v>372</v>
      </c>
      <c r="I571" t="s">
        <v>169</v>
      </c>
      <c r="J571" t="s">
        <v>309</v>
      </c>
      <c r="K571" t="s">
        <v>269</v>
      </c>
      <c r="L571" t="s">
        <v>229</v>
      </c>
    </row>
    <row r="572" spans="1:12" x14ac:dyDescent="0.25">
      <c r="A572" t="s">
        <v>215</v>
      </c>
      <c r="B572">
        <v>111</v>
      </c>
      <c r="C572" t="s">
        <v>12</v>
      </c>
      <c r="D572">
        <v>1</v>
      </c>
      <c r="E572" t="s">
        <v>14</v>
      </c>
      <c r="F572">
        <v>21</v>
      </c>
      <c r="G572" t="s">
        <v>372</v>
      </c>
      <c r="H572">
        <v>16</v>
      </c>
      <c r="I572" t="s">
        <v>182</v>
      </c>
      <c r="J572" t="s">
        <v>300</v>
      </c>
      <c r="K572" t="s">
        <v>271</v>
      </c>
      <c r="L572" t="s">
        <v>229</v>
      </c>
    </row>
    <row r="573" spans="1:12" x14ac:dyDescent="0.25">
      <c r="A573" t="s">
        <v>215</v>
      </c>
      <c r="B573">
        <v>112</v>
      </c>
      <c r="C573" t="s">
        <v>12</v>
      </c>
      <c r="D573">
        <v>2</v>
      </c>
      <c r="E573" t="s">
        <v>14</v>
      </c>
      <c r="F573">
        <v>1</v>
      </c>
      <c r="G573" t="s">
        <v>372</v>
      </c>
      <c r="H573">
        <v>0</v>
      </c>
      <c r="I573" t="s">
        <v>182</v>
      </c>
      <c r="J573" t="s">
        <v>300</v>
      </c>
      <c r="K573" t="s">
        <v>271</v>
      </c>
      <c r="L573" t="s">
        <v>229</v>
      </c>
    </row>
    <row r="574" spans="1:12" x14ac:dyDescent="0.25">
      <c r="A574" t="s">
        <v>215</v>
      </c>
      <c r="B574">
        <v>113</v>
      </c>
      <c r="C574" t="s">
        <v>12</v>
      </c>
      <c r="D574">
        <v>3</v>
      </c>
      <c r="E574" t="s">
        <v>14</v>
      </c>
      <c r="G574" t="s">
        <v>372</v>
      </c>
      <c r="I574" t="s">
        <v>182</v>
      </c>
      <c r="J574" t="s">
        <v>300</v>
      </c>
      <c r="K574" t="s">
        <v>271</v>
      </c>
      <c r="L574" t="s">
        <v>229</v>
      </c>
    </row>
    <row r="575" spans="1:12" x14ac:dyDescent="0.25">
      <c r="A575" t="s">
        <v>215</v>
      </c>
      <c r="B575">
        <v>114</v>
      </c>
      <c r="C575" t="s">
        <v>18</v>
      </c>
      <c r="D575">
        <v>1</v>
      </c>
      <c r="E575" t="s">
        <v>14</v>
      </c>
      <c r="F575">
        <v>21</v>
      </c>
      <c r="G575" t="s">
        <v>372</v>
      </c>
      <c r="H575">
        <v>13</v>
      </c>
      <c r="I575" t="s">
        <v>182</v>
      </c>
      <c r="J575" t="s">
        <v>302</v>
      </c>
      <c r="K575" t="s">
        <v>274</v>
      </c>
      <c r="L575" t="s">
        <v>229</v>
      </c>
    </row>
    <row r="576" spans="1:12" x14ac:dyDescent="0.25">
      <c r="A576" t="s">
        <v>215</v>
      </c>
      <c r="B576">
        <v>115</v>
      </c>
      <c r="C576" t="s">
        <v>18</v>
      </c>
      <c r="D576">
        <v>2</v>
      </c>
      <c r="E576" t="s">
        <v>14</v>
      </c>
      <c r="F576">
        <v>1</v>
      </c>
      <c r="G576" t="s">
        <v>372</v>
      </c>
      <c r="H576">
        <v>0</v>
      </c>
      <c r="I576" t="s">
        <v>182</v>
      </c>
      <c r="J576" t="s">
        <v>302</v>
      </c>
      <c r="K576" t="s">
        <v>274</v>
      </c>
      <c r="L576" t="s">
        <v>229</v>
      </c>
    </row>
    <row r="577" spans="1:12" x14ac:dyDescent="0.25">
      <c r="A577" t="s">
        <v>215</v>
      </c>
      <c r="B577">
        <v>116</v>
      </c>
      <c r="C577" t="s">
        <v>18</v>
      </c>
      <c r="D577">
        <v>3</v>
      </c>
      <c r="E577" t="s">
        <v>14</v>
      </c>
      <c r="G577" t="s">
        <v>372</v>
      </c>
      <c r="I577" t="s">
        <v>182</v>
      </c>
      <c r="J577" t="s">
        <v>302</v>
      </c>
      <c r="K577" t="s">
        <v>274</v>
      </c>
      <c r="L577" t="s">
        <v>229</v>
      </c>
    </row>
    <row r="578" spans="1:12" x14ac:dyDescent="0.25">
      <c r="A578" t="s">
        <v>215</v>
      </c>
      <c r="B578">
        <v>117</v>
      </c>
      <c r="C578" t="s">
        <v>21</v>
      </c>
      <c r="D578">
        <v>1</v>
      </c>
      <c r="E578" t="s">
        <v>14</v>
      </c>
      <c r="F578">
        <v>16</v>
      </c>
      <c r="G578" t="s">
        <v>372</v>
      </c>
      <c r="H578">
        <v>21</v>
      </c>
      <c r="I578" t="s">
        <v>182</v>
      </c>
      <c r="J578" t="s">
        <v>304</v>
      </c>
      <c r="K578" t="s">
        <v>277</v>
      </c>
      <c r="L578" t="s">
        <v>229</v>
      </c>
    </row>
    <row r="579" spans="1:12" x14ac:dyDescent="0.25">
      <c r="A579" t="s">
        <v>215</v>
      </c>
      <c r="B579">
        <v>118</v>
      </c>
      <c r="C579" t="s">
        <v>21</v>
      </c>
      <c r="D579">
        <v>2</v>
      </c>
      <c r="E579" t="s">
        <v>14</v>
      </c>
      <c r="F579">
        <v>0</v>
      </c>
      <c r="G579" t="s">
        <v>372</v>
      </c>
      <c r="H579">
        <v>1</v>
      </c>
      <c r="I579" t="s">
        <v>182</v>
      </c>
      <c r="J579" t="s">
        <v>304</v>
      </c>
      <c r="K579" t="s">
        <v>277</v>
      </c>
      <c r="L579" t="s">
        <v>229</v>
      </c>
    </row>
    <row r="580" spans="1:12" x14ac:dyDescent="0.25">
      <c r="A580" t="s">
        <v>215</v>
      </c>
      <c r="B580">
        <v>119</v>
      </c>
      <c r="C580" t="s">
        <v>21</v>
      </c>
      <c r="D580">
        <v>3</v>
      </c>
      <c r="E580" t="s">
        <v>14</v>
      </c>
      <c r="G580" t="s">
        <v>372</v>
      </c>
      <c r="I580" t="s">
        <v>182</v>
      </c>
      <c r="J580" t="s">
        <v>304</v>
      </c>
      <c r="K580" t="s">
        <v>277</v>
      </c>
      <c r="L580" t="s">
        <v>229</v>
      </c>
    </row>
    <row r="581" spans="1:12" x14ac:dyDescent="0.25">
      <c r="A581" t="s">
        <v>215</v>
      </c>
      <c r="B581">
        <v>120</v>
      </c>
      <c r="C581" t="s">
        <v>24</v>
      </c>
      <c r="D581">
        <v>1</v>
      </c>
      <c r="E581" t="s">
        <v>14</v>
      </c>
      <c r="F581">
        <v>12</v>
      </c>
      <c r="G581" t="s">
        <v>372</v>
      </c>
      <c r="H581">
        <v>21</v>
      </c>
      <c r="I581" t="s">
        <v>182</v>
      </c>
      <c r="J581" t="s">
        <v>306</v>
      </c>
      <c r="K581" t="s">
        <v>280</v>
      </c>
      <c r="L581" t="s">
        <v>229</v>
      </c>
    </row>
    <row r="582" spans="1:12" x14ac:dyDescent="0.25">
      <c r="A582" t="s">
        <v>215</v>
      </c>
      <c r="B582">
        <v>121</v>
      </c>
      <c r="C582" t="s">
        <v>24</v>
      </c>
      <c r="D582">
        <v>2</v>
      </c>
      <c r="E582" t="s">
        <v>14</v>
      </c>
      <c r="F582">
        <v>0</v>
      </c>
      <c r="G582" t="s">
        <v>372</v>
      </c>
      <c r="H582">
        <v>1</v>
      </c>
      <c r="I582" t="s">
        <v>182</v>
      </c>
      <c r="J582" t="s">
        <v>306</v>
      </c>
      <c r="K582" t="s">
        <v>280</v>
      </c>
      <c r="L582" t="s">
        <v>229</v>
      </c>
    </row>
    <row r="583" spans="1:12" x14ac:dyDescent="0.25">
      <c r="A583" t="s">
        <v>215</v>
      </c>
      <c r="B583">
        <v>122</v>
      </c>
      <c r="C583" t="s">
        <v>24</v>
      </c>
      <c r="D583">
        <v>3</v>
      </c>
      <c r="E583" t="s">
        <v>14</v>
      </c>
      <c r="G583" t="s">
        <v>372</v>
      </c>
      <c r="I583" t="s">
        <v>182</v>
      </c>
      <c r="J583" t="s">
        <v>306</v>
      </c>
      <c r="K583" t="s">
        <v>280</v>
      </c>
      <c r="L583" t="s">
        <v>229</v>
      </c>
    </row>
    <row r="584" spans="1:12" x14ac:dyDescent="0.25">
      <c r="A584" t="s">
        <v>215</v>
      </c>
      <c r="B584">
        <v>123</v>
      </c>
      <c r="C584" t="s">
        <v>27</v>
      </c>
      <c r="D584">
        <v>1</v>
      </c>
      <c r="E584" t="s">
        <v>14</v>
      </c>
      <c r="F584">
        <v>19</v>
      </c>
      <c r="G584" t="s">
        <v>372</v>
      </c>
      <c r="H584">
        <v>21</v>
      </c>
      <c r="I584" t="s">
        <v>182</v>
      </c>
      <c r="J584" t="s">
        <v>308</v>
      </c>
      <c r="K584" t="s">
        <v>283</v>
      </c>
      <c r="L584" t="s">
        <v>229</v>
      </c>
    </row>
    <row r="585" spans="1:12" x14ac:dyDescent="0.25">
      <c r="A585" t="s">
        <v>215</v>
      </c>
      <c r="B585">
        <v>124</v>
      </c>
      <c r="C585" t="s">
        <v>27</v>
      </c>
      <c r="D585">
        <v>2</v>
      </c>
      <c r="E585" t="s">
        <v>14</v>
      </c>
      <c r="F585">
        <v>0</v>
      </c>
      <c r="G585" t="s">
        <v>372</v>
      </c>
      <c r="H585">
        <v>1</v>
      </c>
      <c r="I585" t="s">
        <v>182</v>
      </c>
      <c r="J585" t="s">
        <v>308</v>
      </c>
      <c r="K585" t="s">
        <v>283</v>
      </c>
      <c r="L585" t="s">
        <v>229</v>
      </c>
    </row>
    <row r="586" spans="1:12" x14ac:dyDescent="0.25">
      <c r="A586" t="s">
        <v>215</v>
      </c>
      <c r="B586">
        <v>125</v>
      </c>
      <c r="C586" t="s">
        <v>27</v>
      </c>
      <c r="D586">
        <v>3</v>
      </c>
      <c r="E586" t="s">
        <v>14</v>
      </c>
      <c r="G586" t="s">
        <v>372</v>
      </c>
      <c r="I586" t="s">
        <v>182</v>
      </c>
      <c r="J586" t="s">
        <v>308</v>
      </c>
      <c r="K586" t="s">
        <v>283</v>
      </c>
      <c r="L586" t="s">
        <v>229</v>
      </c>
    </row>
    <row r="587" spans="1:12" x14ac:dyDescent="0.25">
      <c r="A587" t="s">
        <v>215</v>
      </c>
      <c r="B587">
        <v>129</v>
      </c>
      <c r="C587" t="s">
        <v>12</v>
      </c>
      <c r="D587">
        <v>1</v>
      </c>
      <c r="E587" t="s">
        <v>181</v>
      </c>
      <c r="F587">
        <v>25</v>
      </c>
      <c r="G587" t="s">
        <v>372</v>
      </c>
      <c r="H587">
        <v>24</v>
      </c>
      <c r="I587" t="s">
        <v>95</v>
      </c>
      <c r="J587" t="s">
        <v>291</v>
      </c>
      <c r="K587" t="s">
        <v>285</v>
      </c>
      <c r="L587" t="s">
        <v>229</v>
      </c>
    </row>
    <row r="588" spans="1:12" x14ac:dyDescent="0.25">
      <c r="A588" t="s">
        <v>215</v>
      </c>
      <c r="B588">
        <v>130</v>
      </c>
      <c r="C588" t="s">
        <v>12</v>
      </c>
      <c r="D588">
        <v>2</v>
      </c>
      <c r="E588" t="s">
        <v>181</v>
      </c>
      <c r="F588">
        <v>1</v>
      </c>
      <c r="G588" t="s">
        <v>372</v>
      </c>
      <c r="H588">
        <v>0</v>
      </c>
      <c r="I588" t="s">
        <v>95</v>
      </c>
      <c r="J588" t="s">
        <v>291</v>
      </c>
      <c r="K588" t="s">
        <v>285</v>
      </c>
      <c r="L588" t="s">
        <v>229</v>
      </c>
    </row>
    <row r="589" spans="1:12" x14ac:dyDescent="0.25">
      <c r="A589" t="s">
        <v>215</v>
      </c>
      <c r="B589">
        <v>131</v>
      </c>
      <c r="C589" t="s">
        <v>12</v>
      </c>
      <c r="D589">
        <v>3</v>
      </c>
      <c r="E589" t="s">
        <v>181</v>
      </c>
      <c r="G589" t="s">
        <v>372</v>
      </c>
      <c r="I589" t="s">
        <v>95</v>
      </c>
      <c r="J589" t="s">
        <v>291</v>
      </c>
      <c r="K589" t="s">
        <v>285</v>
      </c>
      <c r="L589" t="s">
        <v>229</v>
      </c>
    </row>
    <row r="590" spans="1:12" x14ac:dyDescent="0.25">
      <c r="A590" t="s">
        <v>215</v>
      </c>
      <c r="B590">
        <v>132</v>
      </c>
      <c r="C590" t="s">
        <v>18</v>
      </c>
      <c r="D590">
        <v>1</v>
      </c>
      <c r="E590" t="s">
        <v>181</v>
      </c>
      <c r="F590">
        <v>13</v>
      </c>
      <c r="G590" t="s">
        <v>372</v>
      </c>
      <c r="H590">
        <v>21</v>
      </c>
      <c r="I590" t="s">
        <v>95</v>
      </c>
      <c r="J590" t="s">
        <v>293</v>
      </c>
      <c r="K590" t="s">
        <v>286</v>
      </c>
      <c r="L590" t="s">
        <v>229</v>
      </c>
    </row>
    <row r="591" spans="1:12" x14ac:dyDescent="0.25">
      <c r="A591" t="s">
        <v>215</v>
      </c>
      <c r="B591">
        <v>133</v>
      </c>
      <c r="C591" t="s">
        <v>18</v>
      </c>
      <c r="D591">
        <v>2</v>
      </c>
      <c r="E591" t="s">
        <v>181</v>
      </c>
      <c r="F591">
        <v>0</v>
      </c>
      <c r="G591" t="s">
        <v>372</v>
      </c>
      <c r="H591">
        <v>1</v>
      </c>
      <c r="I591" t="s">
        <v>95</v>
      </c>
      <c r="J591" t="s">
        <v>293</v>
      </c>
      <c r="K591" t="s">
        <v>286</v>
      </c>
      <c r="L591" t="s">
        <v>229</v>
      </c>
    </row>
    <row r="592" spans="1:12" x14ac:dyDescent="0.25">
      <c r="A592" t="s">
        <v>215</v>
      </c>
      <c r="B592">
        <v>134</v>
      </c>
      <c r="C592" t="s">
        <v>18</v>
      </c>
      <c r="D592">
        <v>3</v>
      </c>
      <c r="E592" t="s">
        <v>181</v>
      </c>
      <c r="G592" t="s">
        <v>372</v>
      </c>
      <c r="I592" t="s">
        <v>95</v>
      </c>
      <c r="J592" t="s">
        <v>293</v>
      </c>
      <c r="K592" t="s">
        <v>286</v>
      </c>
      <c r="L592" t="s">
        <v>229</v>
      </c>
    </row>
    <row r="593" spans="1:12" x14ac:dyDescent="0.25">
      <c r="A593" t="s">
        <v>215</v>
      </c>
      <c r="B593">
        <v>135</v>
      </c>
      <c r="C593" t="s">
        <v>21</v>
      </c>
      <c r="D593">
        <v>1</v>
      </c>
      <c r="E593" t="s">
        <v>181</v>
      </c>
      <c r="F593">
        <v>21</v>
      </c>
      <c r="G593" t="s">
        <v>372</v>
      </c>
      <c r="H593">
        <v>13</v>
      </c>
      <c r="I593" t="s">
        <v>95</v>
      </c>
      <c r="J593" t="s">
        <v>295</v>
      </c>
      <c r="K593" t="s">
        <v>287</v>
      </c>
      <c r="L593" t="s">
        <v>229</v>
      </c>
    </row>
    <row r="594" spans="1:12" x14ac:dyDescent="0.25">
      <c r="A594" t="s">
        <v>215</v>
      </c>
      <c r="B594">
        <v>136</v>
      </c>
      <c r="C594" t="s">
        <v>21</v>
      </c>
      <c r="D594">
        <v>2</v>
      </c>
      <c r="E594" t="s">
        <v>181</v>
      </c>
      <c r="F594">
        <v>1</v>
      </c>
      <c r="G594" t="s">
        <v>372</v>
      </c>
      <c r="H594">
        <v>0</v>
      </c>
      <c r="I594" t="s">
        <v>95</v>
      </c>
      <c r="J594" t="s">
        <v>295</v>
      </c>
      <c r="K594" t="s">
        <v>287</v>
      </c>
      <c r="L594" t="s">
        <v>229</v>
      </c>
    </row>
    <row r="595" spans="1:12" x14ac:dyDescent="0.25">
      <c r="A595" t="s">
        <v>215</v>
      </c>
      <c r="B595">
        <v>137</v>
      </c>
      <c r="C595" t="s">
        <v>21</v>
      </c>
      <c r="D595">
        <v>3</v>
      </c>
      <c r="E595" t="s">
        <v>181</v>
      </c>
      <c r="G595" t="s">
        <v>372</v>
      </c>
      <c r="I595" t="s">
        <v>95</v>
      </c>
      <c r="J595" t="s">
        <v>295</v>
      </c>
      <c r="K595" t="s">
        <v>287</v>
      </c>
      <c r="L595" t="s">
        <v>229</v>
      </c>
    </row>
    <row r="596" spans="1:12" x14ac:dyDescent="0.25">
      <c r="A596" t="s">
        <v>215</v>
      </c>
      <c r="B596">
        <v>138</v>
      </c>
      <c r="C596" t="s">
        <v>24</v>
      </c>
      <c r="D596">
        <v>1</v>
      </c>
      <c r="E596" t="s">
        <v>181</v>
      </c>
      <c r="F596">
        <v>19</v>
      </c>
      <c r="G596" t="s">
        <v>372</v>
      </c>
      <c r="H596">
        <v>21</v>
      </c>
      <c r="I596" t="s">
        <v>95</v>
      </c>
      <c r="J596" t="s">
        <v>297</v>
      </c>
      <c r="K596" t="s">
        <v>288</v>
      </c>
      <c r="L596" t="s">
        <v>229</v>
      </c>
    </row>
    <row r="597" spans="1:12" x14ac:dyDescent="0.25">
      <c r="A597" t="s">
        <v>215</v>
      </c>
      <c r="B597">
        <v>139</v>
      </c>
      <c r="C597" t="s">
        <v>24</v>
      </c>
      <c r="D597">
        <v>2</v>
      </c>
      <c r="E597" t="s">
        <v>181</v>
      </c>
      <c r="F597">
        <v>0</v>
      </c>
      <c r="G597" t="s">
        <v>372</v>
      </c>
      <c r="H597">
        <v>1</v>
      </c>
      <c r="I597" t="s">
        <v>95</v>
      </c>
      <c r="J597" t="s">
        <v>297</v>
      </c>
      <c r="K597" t="s">
        <v>288</v>
      </c>
      <c r="L597" t="s">
        <v>229</v>
      </c>
    </row>
    <row r="598" spans="1:12" x14ac:dyDescent="0.25">
      <c r="A598" t="s">
        <v>215</v>
      </c>
      <c r="B598">
        <v>140</v>
      </c>
      <c r="C598" t="s">
        <v>24</v>
      </c>
      <c r="D598">
        <v>3</v>
      </c>
      <c r="E598" t="s">
        <v>181</v>
      </c>
      <c r="G598" t="s">
        <v>372</v>
      </c>
      <c r="I598" t="s">
        <v>95</v>
      </c>
      <c r="J598" t="s">
        <v>297</v>
      </c>
      <c r="K598" t="s">
        <v>288</v>
      </c>
      <c r="L598" t="s">
        <v>229</v>
      </c>
    </row>
    <row r="599" spans="1:12" x14ac:dyDescent="0.25">
      <c r="A599" t="s">
        <v>215</v>
      </c>
      <c r="B599">
        <v>141</v>
      </c>
      <c r="C599" t="s">
        <v>27</v>
      </c>
      <c r="D599">
        <v>1</v>
      </c>
      <c r="E599" t="s">
        <v>181</v>
      </c>
      <c r="F599">
        <v>21</v>
      </c>
      <c r="G599" t="s">
        <v>372</v>
      </c>
      <c r="H599">
        <v>18</v>
      </c>
      <c r="I599" t="s">
        <v>95</v>
      </c>
      <c r="J599" t="s">
        <v>299</v>
      </c>
      <c r="K599" t="s">
        <v>289</v>
      </c>
      <c r="L599" t="s">
        <v>229</v>
      </c>
    </row>
    <row r="600" spans="1:12" x14ac:dyDescent="0.25">
      <c r="A600" t="s">
        <v>215</v>
      </c>
      <c r="B600">
        <v>142</v>
      </c>
      <c r="C600" t="s">
        <v>27</v>
      </c>
      <c r="D600">
        <v>2</v>
      </c>
      <c r="E600" t="s">
        <v>181</v>
      </c>
      <c r="F600">
        <v>1</v>
      </c>
      <c r="G600" t="s">
        <v>372</v>
      </c>
      <c r="H600">
        <v>0</v>
      </c>
      <c r="I600" t="s">
        <v>95</v>
      </c>
      <c r="J600" t="s">
        <v>299</v>
      </c>
      <c r="K600" t="s">
        <v>289</v>
      </c>
      <c r="L600" t="s">
        <v>229</v>
      </c>
    </row>
    <row r="601" spans="1:12" x14ac:dyDescent="0.25">
      <c r="A601" t="s">
        <v>215</v>
      </c>
      <c r="B601">
        <v>143</v>
      </c>
      <c r="C601" t="s">
        <v>27</v>
      </c>
      <c r="D601">
        <v>3</v>
      </c>
      <c r="E601" t="s">
        <v>181</v>
      </c>
      <c r="G601" t="s">
        <v>372</v>
      </c>
      <c r="I601" t="s">
        <v>95</v>
      </c>
      <c r="J601" t="s">
        <v>299</v>
      </c>
      <c r="K601" t="s">
        <v>289</v>
      </c>
      <c r="L601" t="s">
        <v>229</v>
      </c>
    </row>
    <row r="602" spans="1:12" x14ac:dyDescent="0.25">
      <c r="A602" t="s">
        <v>215</v>
      </c>
      <c r="B602">
        <v>147</v>
      </c>
      <c r="C602" t="s">
        <v>12</v>
      </c>
      <c r="D602">
        <v>1</v>
      </c>
      <c r="E602" t="s">
        <v>82</v>
      </c>
      <c r="F602">
        <v>18</v>
      </c>
      <c r="G602" t="s">
        <v>372</v>
      </c>
      <c r="H602">
        <v>21</v>
      </c>
      <c r="I602" t="s">
        <v>134</v>
      </c>
      <c r="J602" t="s">
        <v>316</v>
      </c>
      <c r="K602" t="s">
        <v>318</v>
      </c>
      <c r="L602" t="s">
        <v>221</v>
      </c>
    </row>
    <row r="603" spans="1:12" x14ac:dyDescent="0.25">
      <c r="A603" t="s">
        <v>215</v>
      </c>
      <c r="B603">
        <v>148</v>
      </c>
      <c r="C603" t="s">
        <v>12</v>
      </c>
      <c r="D603">
        <v>2</v>
      </c>
      <c r="E603" t="s">
        <v>82</v>
      </c>
      <c r="F603">
        <v>0</v>
      </c>
      <c r="G603" t="s">
        <v>372</v>
      </c>
      <c r="H603">
        <v>1</v>
      </c>
      <c r="I603" t="s">
        <v>134</v>
      </c>
      <c r="J603" t="s">
        <v>316</v>
      </c>
      <c r="K603" t="s">
        <v>318</v>
      </c>
      <c r="L603" t="s">
        <v>221</v>
      </c>
    </row>
    <row r="604" spans="1:12" x14ac:dyDescent="0.25">
      <c r="A604" t="s">
        <v>215</v>
      </c>
      <c r="B604">
        <v>149</v>
      </c>
      <c r="C604" t="s">
        <v>12</v>
      </c>
      <c r="D604">
        <v>3</v>
      </c>
      <c r="E604" t="s">
        <v>82</v>
      </c>
      <c r="G604" t="s">
        <v>372</v>
      </c>
      <c r="I604" t="s">
        <v>134</v>
      </c>
      <c r="J604" t="s">
        <v>316</v>
      </c>
      <c r="K604" t="s">
        <v>318</v>
      </c>
      <c r="L604" t="s">
        <v>221</v>
      </c>
    </row>
    <row r="605" spans="1:12" x14ac:dyDescent="0.25">
      <c r="A605" t="s">
        <v>215</v>
      </c>
      <c r="B605">
        <v>150</v>
      </c>
      <c r="C605" t="s">
        <v>18</v>
      </c>
      <c r="D605">
        <v>1</v>
      </c>
      <c r="E605" t="s">
        <v>82</v>
      </c>
      <c r="F605">
        <v>21</v>
      </c>
      <c r="G605" t="s">
        <v>372</v>
      </c>
      <c r="H605">
        <v>9</v>
      </c>
      <c r="I605" t="s">
        <v>134</v>
      </c>
      <c r="J605" t="s">
        <v>321</v>
      </c>
      <c r="K605" t="s">
        <v>320</v>
      </c>
      <c r="L605" t="s">
        <v>221</v>
      </c>
    </row>
    <row r="606" spans="1:12" x14ac:dyDescent="0.25">
      <c r="A606" t="s">
        <v>215</v>
      </c>
      <c r="B606">
        <v>151</v>
      </c>
      <c r="C606" t="s">
        <v>18</v>
      </c>
      <c r="D606">
        <v>2</v>
      </c>
      <c r="E606" t="s">
        <v>82</v>
      </c>
      <c r="F606">
        <v>1</v>
      </c>
      <c r="G606" t="s">
        <v>372</v>
      </c>
      <c r="H606">
        <v>0</v>
      </c>
      <c r="I606" t="s">
        <v>134</v>
      </c>
      <c r="J606" t="s">
        <v>321</v>
      </c>
      <c r="K606" t="s">
        <v>320</v>
      </c>
      <c r="L606" t="s">
        <v>221</v>
      </c>
    </row>
    <row r="607" spans="1:12" x14ac:dyDescent="0.25">
      <c r="A607" t="s">
        <v>215</v>
      </c>
      <c r="B607">
        <v>152</v>
      </c>
      <c r="C607" t="s">
        <v>18</v>
      </c>
      <c r="D607">
        <v>3</v>
      </c>
      <c r="E607" t="s">
        <v>82</v>
      </c>
      <c r="G607" t="s">
        <v>372</v>
      </c>
      <c r="I607" t="s">
        <v>134</v>
      </c>
      <c r="J607" t="s">
        <v>321</v>
      </c>
      <c r="K607" t="s">
        <v>320</v>
      </c>
      <c r="L607" t="s">
        <v>221</v>
      </c>
    </row>
    <row r="608" spans="1:12" x14ac:dyDescent="0.25">
      <c r="A608" t="s">
        <v>215</v>
      </c>
      <c r="B608">
        <v>153</v>
      </c>
      <c r="C608" t="s">
        <v>21</v>
      </c>
      <c r="D608">
        <v>1</v>
      </c>
      <c r="E608" t="s">
        <v>82</v>
      </c>
      <c r="F608">
        <v>21</v>
      </c>
      <c r="G608" t="s">
        <v>372</v>
      </c>
      <c r="H608">
        <v>23</v>
      </c>
      <c r="I608" t="s">
        <v>134</v>
      </c>
      <c r="J608" t="s">
        <v>324</v>
      </c>
      <c r="K608" t="s">
        <v>326</v>
      </c>
      <c r="L608" t="s">
        <v>221</v>
      </c>
    </row>
    <row r="609" spans="1:12" x14ac:dyDescent="0.25">
      <c r="A609" t="s">
        <v>215</v>
      </c>
      <c r="B609">
        <v>154</v>
      </c>
      <c r="C609" t="s">
        <v>21</v>
      </c>
      <c r="D609">
        <v>2</v>
      </c>
      <c r="E609" t="s">
        <v>82</v>
      </c>
      <c r="F609">
        <v>0</v>
      </c>
      <c r="G609" t="s">
        <v>372</v>
      </c>
      <c r="H609">
        <v>1</v>
      </c>
      <c r="I609" t="s">
        <v>134</v>
      </c>
      <c r="J609" t="s">
        <v>324</v>
      </c>
      <c r="K609" t="s">
        <v>326</v>
      </c>
      <c r="L609" t="s">
        <v>221</v>
      </c>
    </row>
    <row r="610" spans="1:12" x14ac:dyDescent="0.25">
      <c r="A610" t="s">
        <v>215</v>
      </c>
      <c r="B610">
        <v>155</v>
      </c>
      <c r="C610" t="s">
        <v>21</v>
      </c>
      <c r="D610">
        <v>3</v>
      </c>
      <c r="E610" t="s">
        <v>82</v>
      </c>
      <c r="G610" t="s">
        <v>372</v>
      </c>
      <c r="I610" t="s">
        <v>134</v>
      </c>
      <c r="J610" t="s">
        <v>324</v>
      </c>
      <c r="K610" t="s">
        <v>326</v>
      </c>
      <c r="L610" t="s">
        <v>221</v>
      </c>
    </row>
    <row r="611" spans="1:12" x14ac:dyDescent="0.25">
      <c r="A611" t="s">
        <v>215</v>
      </c>
      <c r="B611">
        <v>156</v>
      </c>
      <c r="C611" t="s">
        <v>24</v>
      </c>
      <c r="D611">
        <v>1</v>
      </c>
      <c r="E611" t="s">
        <v>82</v>
      </c>
      <c r="F611">
        <v>21</v>
      </c>
      <c r="G611" t="s">
        <v>372</v>
      </c>
      <c r="H611">
        <v>6</v>
      </c>
      <c r="I611" t="s">
        <v>134</v>
      </c>
      <c r="J611" t="s">
        <v>329</v>
      </c>
      <c r="K611" t="s">
        <v>328</v>
      </c>
      <c r="L611" t="s">
        <v>221</v>
      </c>
    </row>
    <row r="612" spans="1:12" x14ac:dyDescent="0.25">
      <c r="A612" t="s">
        <v>215</v>
      </c>
      <c r="B612">
        <v>157</v>
      </c>
      <c r="C612" t="s">
        <v>24</v>
      </c>
      <c r="D612">
        <v>2</v>
      </c>
      <c r="E612" t="s">
        <v>82</v>
      </c>
      <c r="F612">
        <v>1</v>
      </c>
      <c r="G612" t="s">
        <v>372</v>
      </c>
      <c r="H612">
        <v>0</v>
      </c>
      <c r="I612" t="s">
        <v>134</v>
      </c>
      <c r="J612" t="s">
        <v>329</v>
      </c>
      <c r="K612" t="s">
        <v>328</v>
      </c>
      <c r="L612" t="s">
        <v>221</v>
      </c>
    </row>
    <row r="613" spans="1:12" x14ac:dyDescent="0.25">
      <c r="A613" t="s">
        <v>215</v>
      </c>
      <c r="B613">
        <v>158</v>
      </c>
      <c r="C613" t="s">
        <v>24</v>
      </c>
      <c r="D613">
        <v>3</v>
      </c>
      <c r="E613" t="s">
        <v>82</v>
      </c>
      <c r="G613" t="s">
        <v>372</v>
      </c>
      <c r="I613" t="s">
        <v>134</v>
      </c>
      <c r="J613" t="s">
        <v>329</v>
      </c>
      <c r="K613" t="s">
        <v>328</v>
      </c>
      <c r="L613" t="s">
        <v>221</v>
      </c>
    </row>
    <row r="614" spans="1:12" x14ac:dyDescent="0.25">
      <c r="A614" t="s">
        <v>215</v>
      </c>
      <c r="B614">
        <v>159</v>
      </c>
      <c r="C614" t="s">
        <v>27</v>
      </c>
      <c r="D614">
        <v>1</v>
      </c>
      <c r="E614" t="s">
        <v>82</v>
      </c>
      <c r="F614">
        <v>1</v>
      </c>
      <c r="G614" t="s">
        <v>372</v>
      </c>
      <c r="H614">
        <v>0</v>
      </c>
      <c r="I614" t="s">
        <v>134</v>
      </c>
      <c r="J614" t="s">
        <v>377</v>
      </c>
      <c r="L614" t="s">
        <v>221</v>
      </c>
    </row>
    <row r="615" spans="1:12" x14ac:dyDescent="0.25">
      <c r="A615" t="s">
        <v>215</v>
      </c>
      <c r="B615">
        <v>160</v>
      </c>
      <c r="C615" t="s">
        <v>27</v>
      </c>
      <c r="D615">
        <v>2</v>
      </c>
      <c r="E615" t="s">
        <v>82</v>
      </c>
      <c r="F615">
        <v>1</v>
      </c>
      <c r="G615" t="s">
        <v>372</v>
      </c>
      <c r="H615">
        <v>0</v>
      </c>
      <c r="I615" t="s">
        <v>134</v>
      </c>
      <c r="J615" t="s">
        <v>377</v>
      </c>
      <c r="L615" t="s">
        <v>221</v>
      </c>
    </row>
    <row r="616" spans="1:12" x14ac:dyDescent="0.25">
      <c r="A616" t="s">
        <v>215</v>
      </c>
      <c r="B616">
        <v>161</v>
      </c>
      <c r="C616" t="s">
        <v>27</v>
      </c>
      <c r="D616">
        <v>3</v>
      </c>
      <c r="E616" t="s">
        <v>82</v>
      </c>
      <c r="G616" t="s">
        <v>372</v>
      </c>
      <c r="I616" t="s">
        <v>134</v>
      </c>
      <c r="J616" t="s">
        <v>377</v>
      </c>
      <c r="L616" t="s">
        <v>221</v>
      </c>
    </row>
    <row r="617" spans="1:12" x14ac:dyDescent="0.25">
      <c r="A617" t="s">
        <v>215</v>
      </c>
      <c r="B617">
        <v>165</v>
      </c>
      <c r="C617" t="s">
        <v>12</v>
      </c>
      <c r="D617">
        <v>1</v>
      </c>
      <c r="E617" t="s">
        <v>13</v>
      </c>
      <c r="F617">
        <v>12</v>
      </c>
      <c r="G617" t="s">
        <v>372</v>
      </c>
      <c r="H617">
        <v>21</v>
      </c>
      <c r="I617" t="s">
        <v>83</v>
      </c>
      <c r="J617" t="s">
        <v>335</v>
      </c>
      <c r="K617" t="s">
        <v>336</v>
      </c>
      <c r="L617" t="s">
        <v>221</v>
      </c>
    </row>
    <row r="618" spans="1:12" x14ac:dyDescent="0.25">
      <c r="A618" t="s">
        <v>215</v>
      </c>
      <c r="B618">
        <v>166</v>
      </c>
      <c r="C618" t="s">
        <v>12</v>
      </c>
      <c r="D618">
        <v>2</v>
      </c>
      <c r="E618" t="s">
        <v>13</v>
      </c>
      <c r="F618">
        <v>0</v>
      </c>
      <c r="G618" t="s">
        <v>372</v>
      </c>
      <c r="H618">
        <v>1</v>
      </c>
      <c r="I618" t="s">
        <v>83</v>
      </c>
      <c r="J618" t="s">
        <v>335</v>
      </c>
      <c r="K618" t="s">
        <v>336</v>
      </c>
      <c r="L618" t="s">
        <v>221</v>
      </c>
    </row>
    <row r="619" spans="1:12" x14ac:dyDescent="0.25">
      <c r="A619" t="s">
        <v>215</v>
      </c>
      <c r="B619">
        <v>167</v>
      </c>
      <c r="C619" t="s">
        <v>12</v>
      </c>
      <c r="D619">
        <v>3</v>
      </c>
      <c r="E619" t="s">
        <v>13</v>
      </c>
      <c r="G619" t="s">
        <v>372</v>
      </c>
      <c r="I619" t="s">
        <v>83</v>
      </c>
      <c r="J619" t="s">
        <v>335</v>
      </c>
      <c r="K619" t="s">
        <v>336</v>
      </c>
      <c r="L619" t="s">
        <v>221</v>
      </c>
    </row>
    <row r="620" spans="1:12" x14ac:dyDescent="0.25">
      <c r="A620" t="s">
        <v>215</v>
      </c>
      <c r="B620">
        <v>168</v>
      </c>
      <c r="C620" t="s">
        <v>18</v>
      </c>
      <c r="D620">
        <v>1</v>
      </c>
      <c r="E620" t="s">
        <v>13</v>
      </c>
      <c r="F620">
        <v>21</v>
      </c>
      <c r="G620" t="s">
        <v>372</v>
      </c>
      <c r="H620">
        <v>14</v>
      </c>
      <c r="I620" t="s">
        <v>83</v>
      </c>
      <c r="J620" t="s">
        <v>337</v>
      </c>
      <c r="K620" t="s">
        <v>338</v>
      </c>
      <c r="L620" t="s">
        <v>221</v>
      </c>
    </row>
    <row r="621" spans="1:12" x14ac:dyDescent="0.25">
      <c r="A621" t="s">
        <v>215</v>
      </c>
      <c r="B621">
        <v>169</v>
      </c>
      <c r="C621" t="s">
        <v>18</v>
      </c>
      <c r="D621">
        <v>2</v>
      </c>
      <c r="E621" t="s">
        <v>13</v>
      </c>
      <c r="F621">
        <v>1</v>
      </c>
      <c r="G621" t="s">
        <v>372</v>
      </c>
      <c r="H621">
        <v>0</v>
      </c>
      <c r="I621" t="s">
        <v>83</v>
      </c>
      <c r="J621" t="s">
        <v>337</v>
      </c>
      <c r="K621" t="s">
        <v>338</v>
      </c>
      <c r="L621" t="s">
        <v>221</v>
      </c>
    </row>
    <row r="622" spans="1:12" x14ac:dyDescent="0.25">
      <c r="A622" t="s">
        <v>215</v>
      </c>
      <c r="B622">
        <v>170</v>
      </c>
      <c r="C622" t="s">
        <v>18</v>
      </c>
      <c r="D622">
        <v>3</v>
      </c>
      <c r="E622" t="s">
        <v>13</v>
      </c>
      <c r="G622" t="s">
        <v>372</v>
      </c>
      <c r="I622" t="s">
        <v>83</v>
      </c>
      <c r="J622" t="s">
        <v>337</v>
      </c>
      <c r="K622" t="s">
        <v>338</v>
      </c>
      <c r="L622" t="s">
        <v>221</v>
      </c>
    </row>
    <row r="623" spans="1:12" x14ac:dyDescent="0.25">
      <c r="A623" t="s">
        <v>215</v>
      </c>
      <c r="B623">
        <v>171</v>
      </c>
      <c r="C623" t="s">
        <v>21</v>
      </c>
      <c r="D623">
        <v>1</v>
      </c>
      <c r="E623" t="s">
        <v>13</v>
      </c>
      <c r="F623">
        <v>21</v>
      </c>
      <c r="G623" t="s">
        <v>372</v>
      </c>
      <c r="H623">
        <v>7</v>
      </c>
      <c r="I623" t="s">
        <v>83</v>
      </c>
      <c r="J623" t="s">
        <v>339</v>
      </c>
      <c r="K623" t="s">
        <v>340</v>
      </c>
      <c r="L623" t="s">
        <v>221</v>
      </c>
    </row>
    <row r="624" spans="1:12" x14ac:dyDescent="0.25">
      <c r="A624" t="s">
        <v>215</v>
      </c>
      <c r="B624">
        <v>172</v>
      </c>
      <c r="C624" t="s">
        <v>21</v>
      </c>
      <c r="D624">
        <v>2</v>
      </c>
      <c r="E624" t="s">
        <v>13</v>
      </c>
      <c r="F624">
        <v>1</v>
      </c>
      <c r="G624" t="s">
        <v>372</v>
      </c>
      <c r="H624">
        <v>0</v>
      </c>
      <c r="I624" t="s">
        <v>83</v>
      </c>
      <c r="J624" t="s">
        <v>339</v>
      </c>
      <c r="K624" t="s">
        <v>340</v>
      </c>
      <c r="L624" t="s">
        <v>221</v>
      </c>
    </row>
    <row r="625" spans="1:12" x14ac:dyDescent="0.25">
      <c r="A625" t="s">
        <v>215</v>
      </c>
      <c r="B625">
        <v>173</v>
      </c>
      <c r="C625" t="s">
        <v>21</v>
      </c>
      <c r="D625">
        <v>3</v>
      </c>
      <c r="E625" t="s">
        <v>13</v>
      </c>
      <c r="G625" t="s">
        <v>372</v>
      </c>
      <c r="I625" t="s">
        <v>83</v>
      </c>
      <c r="J625" t="s">
        <v>339</v>
      </c>
      <c r="K625" t="s">
        <v>340</v>
      </c>
      <c r="L625" t="s">
        <v>221</v>
      </c>
    </row>
    <row r="626" spans="1:12" x14ac:dyDescent="0.25">
      <c r="A626" t="s">
        <v>215</v>
      </c>
      <c r="B626">
        <v>174</v>
      </c>
      <c r="C626" t="s">
        <v>24</v>
      </c>
      <c r="D626">
        <v>1</v>
      </c>
      <c r="E626" t="s">
        <v>13</v>
      </c>
      <c r="F626">
        <v>21</v>
      </c>
      <c r="G626" t="s">
        <v>372</v>
      </c>
      <c r="H626">
        <v>10</v>
      </c>
      <c r="I626" t="s">
        <v>83</v>
      </c>
      <c r="J626" t="s">
        <v>341</v>
      </c>
      <c r="K626" t="s">
        <v>342</v>
      </c>
      <c r="L626" t="s">
        <v>221</v>
      </c>
    </row>
    <row r="627" spans="1:12" x14ac:dyDescent="0.25">
      <c r="A627" t="s">
        <v>215</v>
      </c>
      <c r="B627">
        <v>175</v>
      </c>
      <c r="C627" t="s">
        <v>24</v>
      </c>
      <c r="D627">
        <v>2</v>
      </c>
      <c r="E627" t="s">
        <v>13</v>
      </c>
      <c r="F627">
        <v>1</v>
      </c>
      <c r="G627" t="s">
        <v>372</v>
      </c>
      <c r="H627">
        <v>0</v>
      </c>
      <c r="I627" t="s">
        <v>83</v>
      </c>
      <c r="J627" t="s">
        <v>341</v>
      </c>
      <c r="K627" t="s">
        <v>342</v>
      </c>
      <c r="L627" t="s">
        <v>221</v>
      </c>
    </row>
    <row r="628" spans="1:12" x14ac:dyDescent="0.25">
      <c r="A628" t="s">
        <v>215</v>
      </c>
      <c r="B628">
        <v>176</v>
      </c>
      <c r="C628" t="s">
        <v>24</v>
      </c>
      <c r="D628">
        <v>3</v>
      </c>
      <c r="E628" t="s">
        <v>13</v>
      </c>
      <c r="G628" t="s">
        <v>372</v>
      </c>
      <c r="I628" t="s">
        <v>83</v>
      </c>
      <c r="J628" t="s">
        <v>341</v>
      </c>
      <c r="K628" t="s">
        <v>342</v>
      </c>
      <c r="L628" t="s">
        <v>221</v>
      </c>
    </row>
    <row r="629" spans="1:12" x14ac:dyDescent="0.25">
      <c r="A629" t="s">
        <v>215</v>
      </c>
      <c r="B629">
        <v>177</v>
      </c>
      <c r="C629" t="s">
        <v>27</v>
      </c>
      <c r="D629">
        <v>1</v>
      </c>
      <c r="E629" t="s">
        <v>13</v>
      </c>
      <c r="F629">
        <v>15</v>
      </c>
      <c r="G629" t="s">
        <v>372</v>
      </c>
      <c r="H629">
        <v>21</v>
      </c>
      <c r="I629" t="s">
        <v>83</v>
      </c>
      <c r="J629" t="s">
        <v>343</v>
      </c>
      <c r="K629" t="s">
        <v>344</v>
      </c>
      <c r="L629" t="s">
        <v>221</v>
      </c>
    </row>
    <row r="630" spans="1:12" x14ac:dyDescent="0.25">
      <c r="A630" t="s">
        <v>215</v>
      </c>
      <c r="B630">
        <v>178</v>
      </c>
      <c r="C630" t="s">
        <v>27</v>
      </c>
      <c r="D630">
        <v>2</v>
      </c>
      <c r="E630" t="s">
        <v>13</v>
      </c>
      <c r="F630">
        <v>0</v>
      </c>
      <c r="G630" t="s">
        <v>372</v>
      </c>
      <c r="H630">
        <v>1</v>
      </c>
      <c r="I630" t="s">
        <v>83</v>
      </c>
      <c r="J630" t="s">
        <v>343</v>
      </c>
      <c r="K630" t="s">
        <v>344</v>
      </c>
      <c r="L630" t="s">
        <v>221</v>
      </c>
    </row>
    <row r="631" spans="1:12" x14ac:dyDescent="0.25">
      <c r="A631" t="s">
        <v>215</v>
      </c>
      <c r="B631">
        <v>179</v>
      </c>
      <c r="C631" t="s">
        <v>27</v>
      </c>
      <c r="D631">
        <v>3</v>
      </c>
      <c r="E631" t="s">
        <v>13</v>
      </c>
      <c r="G631" t="s">
        <v>372</v>
      </c>
      <c r="I631" t="s">
        <v>83</v>
      </c>
      <c r="J631" t="s">
        <v>343</v>
      </c>
      <c r="K631" t="s">
        <v>344</v>
      </c>
      <c r="L631" t="s">
        <v>221</v>
      </c>
    </row>
    <row r="632" spans="1:12" x14ac:dyDescent="0.25">
      <c r="A632" t="s">
        <v>215</v>
      </c>
      <c r="B632">
        <v>183</v>
      </c>
      <c r="C632" t="s">
        <v>12</v>
      </c>
      <c r="D632">
        <v>1</v>
      </c>
      <c r="E632" t="s">
        <v>44</v>
      </c>
      <c r="F632">
        <v>1</v>
      </c>
      <c r="G632" t="s">
        <v>372</v>
      </c>
      <c r="H632">
        <v>0</v>
      </c>
      <c r="I632" t="s">
        <v>43</v>
      </c>
      <c r="J632" t="s">
        <v>317</v>
      </c>
      <c r="K632" t="s">
        <v>345</v>
      </c>
      <c r="L632" t="s">
        <v>221</v>
      </c>
    </row>
    <row r="633" spans="1:12" x14ac:dyDescent="0.25">
      <c r="A633" t="s">
        <v>215</v>
      </c>
      <c r="B633">
        <v>184</v>
      </c>
      <c r="C633" t="s">
        <v>12</v>
      </c>
      <c r="D633">
        <v>2</v>
      </c>
      <c r="E633" t="s">
        <v>44</v>
      </c>
      <c r="F633">
        <v>1</v>
      </c>
      <c r="G633" t="s">
        <v>372</v>
      </c>
      <c r="H633">
        <v>0</v>
      </c>
      <c r="I633" t="s">
        <v>43</v>
      </c>
      <c r="J633" t="s">
        <v>317</v>
      </c>
      <c r="K633" t="s">
        <v>345</v>
      </c>
      <c r="L633" t="s">
        <v>221</v>
      </c>
    </row>
    <row r="634" spans="1:12" x14ac:dyDescent="0.25">
      <c r="A634" t="s">
        <v>215</v>
      </c>
      <c r="B634">
        <v>185</v>
      </c>
      <c r="C634" t="s">
        <v>12</v>
      </c>
      <c r="D634">
        <v>3</v>
      </c>
      <c r="E634" t="s">
        <v>44</v>
      </c>
      <c r="G634" t="s">
        <v>372</v>
      </c>
      <c r="I634" t="s">
        <v>43</v>
      </c>
      <c r="J634" t="s">
        <v>317</v>
      </c>
      <c r="K634" t="s">
        <v>345</v>
      </c>
      <c r="L634" t="s">
        <v>221</v>
      </c>
    </row>
    <row r="635" spans="1:12" x14ac:dyDescent="0.25">
      <c r="A635" t="s">
        <v>215</v>
      </c>
      <c r="B635">
        <v>186</v>
      </c>
      <c r="C635" t="s">
        <v>18</v>
      </c>
      <c r="D635">
        <v>1</v>
      </c>
      <c r="E635" t="s">
        <v>44</v>
      </c>
      <c r="F635">
        <v>1</v>
      </c>
      <c r="G635" t="s">
        <v>372</v>
      </c>
      <c r="H635">
        <v>0</v>
      </c>
      <c r="I635" t="s">
        <v>43</v>
      </c>
      <c r="J635" t="s">
        <v>322</v>
      </c>
      <c r="K635" t="s">
        <v>347</v>
      </c>
      <c r="L635" t="s">
        <v>221</v>
      </c>
    </row>
    <row r="636" spans="1:12" x14ac:dyDescent="0.25">
      <c r="A636" t="s">
        <v>215</v>
      </c>
      <c r="B636">
        <v>187</v>
      </c>
      <c r="C636" t="s">
        <v>18</v>
      </c>
      <c r="D636">
        <v>2</v>
      </c>
      <c r="E636" t="s">
        <v>44</v>
      </c>
      <c r="F636">
        <v>1</v>
      </c>
      <c r="G636" t="s">
        <v>372</v>
      </c>
      <c r="H636">
        <v>0</v>
      </c>
      <c r="I636" t="s">
        <v>43</v>
      </c>
      <c r="J636" t="s">
        <v>322</v>
      </c>
      <c r="K636" t="s">
        <v>347</v>
      </c>
      <c r="L636" t="s">
        <v>221</v>
      </c>
    </row>
    <row r="637" spans="1:12" x14ac:dyDescent="0.25">
      <c r="A637" t="s">
        <v>215</v>
      </c>
      <c r="B637">
        <v>188</v>
      </c>
      <c r="C637" t="s">
        <v>18</v>
      </c>
      <c r="D637">
        <v>3</v>
      </c>
      <c r="E637" t="s">
        <v>44</v>
      </c>
      <c r="G637" t="s">
        <v>372</v>
      </c>
      <c r="I637" t="s">
        <v>43</v>
      </c>
      <c r="J637" t="s">
        <v>322</v>
      </c>
      <c r="K637" t="s">
        <v>347</v>
      </c>
      <c r="L637" t="s">
        <v>221</v>
      </c>
    </row>
    <row r="638" spans="1:12" x14ac:dyDescent="0.25">
      <c r="A638" t="s">
        <v>215</v>
      </c>
      <c r="B638">
        <v>189</v>
      </c>
      <c r="C638" t="s">
        <v>21</v>
      </c>
      <c r="D638">
        <v>1</v>
      </c>
      <c r="E638" t="s">
        <v>44</v>
      </c>
      <c r="F638">
        <v>1</v>
      </c>
      <c r="G638" t="s">
        <v>372</v>
      </c>
      <c r="H638">
        <v>0</v>
      </c>
      <c r="I638" t="s">
        <v>43</v>
      </c>
      <c r="J638" t="s">
        <v>327</v>
      </c>
      <c r="K638" t="s">
        <v>349</v>
      </c>
      <c r="L638" t="s">
        <v>221</v>
      </c>
    </row>
    <row r="639" spans="1:12" x14ac:dyDescent="0.25">
      <c r="A639" t="s">
        <v>215</v>
      </c>
      <c r="B639">
        <v>190</v>
      </c>
      <c r="C639" t="s">
        <v>21</v>
      </c>
      <c r="D639">
        <v>2</v>
      </c>
      <c r="E639" t="s">
        <v>44</v>
      </c>
      <c r="F639">
        <v>1</v>
      </c>
      <c r="G639" t="s">
        <v>372</v>
      </c>
      <c r="H639">
        <v>0</v>
      </c>
      <c r="I639" t="s">
        <v>43</v>
      </c>
      <c r="J639" t="s">
        <v>327</v>
      </c>
      <c r="K639" t="s">
        <v>349</v>
      </c>
      <c r="L639" t="s">
        <v>221</v>
      </c>
    </row>
    <row r="640" spans="1:12" x14ac:dyDescent="0.25">
      <c r="A640" t="s">
        <v>215</v>
      </c>
      <c r="B640">
        <v>191</v>
      </c>
      <c r="C640" t="s">
        <v>21</v>
      </c>
      <c r="D640">
        <v>3</v>
      </c>
      <c r="E640" t="s">
        <v>44</v>
      </c>
      <c r="G640" t="s">
        <v>372</v>
      </c>
      <c r="I640" t="s">
        <v>43</v>
      </c>
      <c r="J640" t="s">
        <v>327</v>
      </c>
      <c r="K640" t="s">
        <v>349</v>
      </c>
      <c r="L640" t="s">
        <v>221</v>
      </c>
    </row>
    <row r="641" spans="1:12" x14ac:dyDescent="0.25">
      <c r="A641" t="s">
        <v>215</v>
      </c>
      <c r="B641">
        <v>192</v>
      </c>
      <c r="C641" t="s">
        <v>24</v>
      </c>
      <c r="D641">
        <v>1</v>
      </c>
      <c r="E641" t="s">
        <v>44</v>
      </c>
      <c r="F641">
        <v>1</v>
      </c>
      <c r="G641" t="s">
        <v>372</v>
      </c>
      <c r="H641">
        <v>0</v>
      </c>
      <c r="I641" t="s">
        <v>43</v>
      </c>
      <c r="J641" t="s">
        <v>331</v>
      </c>
      <c r="K641" t="s">
        <v>351</v>
      </c>
      <c r="L641" t="s">
        <v>221</v>
      </c>
    </row>
    <row r="642" spans="1:12" x14ac:dyDescent="0.25">
      <c r="A642" t="s">
        <v>215</v>
      </c>
      <c r="B642">
        <v>193</v>
      </c>
      <c r="C642" t="s">
        <v>24</v>
      </c>
      <c r="D642">
        <v>2</v>
      </c>
      <c r="E642" t="s">
        <v>44</v>
      </c>
      <c r="F642">
        <v>1</v>
      </c>
      <c r="G642" t="s">
        <v>372</v>
      </c>
      <c r="H642">
        <v>0</v>
      </c>
      <c r="I642" t="s">
        <v>43</v>
      </c>
      <c r="J642" t="s">
        <v>331</v>
      </c>
      <c r="K642" t="s">
        <v>351</v>
      </c>
      <c r="L642" t="s">
        <v>221</v>
      </c>
    </row>
    <row r="643" spans="1:12" x14ac:dyDescent="0.25">
      <c r="A643" t="s">
        <v>215</v>
      </c>
      <c r="B643">
        <v>194</v>
      </c>
      <c r="C643" t="s">
        <v>24</v>
      </c>
      <c r="D643">
        <v>3</v>
      </c>
      <c r="E643" t="s">
        <v>44</v>
      </c>
      <c r="G643" t="s">
        <v>372</v>
      </c>
      <c r="I643" t="s">
        <v>43</v>
      </c>
      <c r="J643" t="s">
        <v>331</v>
      </c>
      <c r="K643" t="s">
        <v>351</v>
      </c>
      <c r="L643" t="s">
        <v>221</v>
      </c>
    </row>
    <row r="644" spans="1:12" x14ac:dyDescent="0.25">
      <c r="A644" t="s">
        <v>215</v>
      </c>
      <c r="B644">
        <v>195</v>
      </c>
      <c r="C644" t="s">
        <v>27</v>
      </c>
      <c r="D644">
        <v>1</v>
      </c>
      <c r="E644" t="s">
        <v>44</v>
      </c>
      <c r="F644">
        <v>1</v>
      </c>
      <c r="G644" t="s">
        <v>372</v>
      </c>
      <c r="H644">
        <v>0</v>
      </c>
      <c r="I644" t="s">
        <v>43</v>
      </c>
      <c r="J644" t="s">
        <v>334</v>
      </c>
      <c r="L644" t="s">
        <v>221</v>
      </c>
    </row>
    <row r="645" spans="1:12" x14ac:dyDescent="0.25">
      <c r="A645" t="s">
        <v>215</v>
      </c>
      <c r="B645">
        <v>196</v>
      </c>
      <c r="C645" t="s">
        <v>27</v>
      </c>
      <c r="D645">
        <v>2</v>
      </c>
      <c r="E645" t="s">
        <v>44</v>
      </c>
      <c r="F645">
        <v>1</v>
      </c>
      <c r="G645" t="s">
        <v>372</v>
      </c>
      <c r="H645">
        <v>0</v>
      </c>
      <c r="I645" t="s">
        <v>43</v>
      </c>
      <c r="J645" t="s">
        <v>334</v>
      </c>
      <c r="L645" t="s">
        <v>221</v>
      </c>
    </row>
    <row r="646" spans="1:12" x14ac:dyDescent="0.25">
      <c r="A646" t="s">
        <v>215</v>
      </c>
      <c r="B646">
        <v>197</v>
      </c>
      <c r="C646" t="s">
        <v>27</v>
      </c>
      <c r="D646">
        <v>3</v>
      </c>
      <c r="E646" t="s">
        <v>44</v>
      </c>
      <c r="G646" t="s">
        <v>372</v>
      </c>
      <c r="I646" t="s">
        <v>43</v>
      </c>
      <c r="J646" t="s">
        <v>334</v>
      </c>
      <c r="L646" t="s">
        <v>221</v>
      </c>
    </row>
    <row r="647" spans="1:12" x14ac:dyDescent="0.25">
      <c r="A647" t="s">
        <v>215</v>
      </c>
      <c r="B647">
        <v>201</v>
      </c>
      <c r="C647" t="s">
        <v>12</v>
      </c>
      <c r="D647">
        <v>1</v>
      </c>
      <c r="E647" t="s">
        <v>109</v>
      </c>
      <c r="F647">
        <v>0</v>
      </c>
      <c r="G647" t="s">
        <v>372</v>
      </c>
      <c r="H647">
        <v>1</v>
      </c>
      <c r="I647" t="s">
        <v>56</v>
      </c>
      <c r="J647" t="s">
        <v>346</v>
      </c>
      <c r="K647" t="s">
        <v>319</v>
      </c>
      <c r="L647" t="s">
        <v>221</v>
      </c>
    </row>
    <row r="648" spans="1:12" x14ac:dyDescent="0.25">
      <c r="A648" t="s">
        <v>215</v>
      </c>
      <c r="B648">
        <v>202</v>
      </c>
      <c r="C648" t="s">
        <v>12</v>
      </c>
      <c r="D648">
        <v>2</v>
      </c>
      <c r="E648" t="s">
        <v>109</v>
      </c>
      <c r="F648">
        <v>0</v>
      </c>
      <c r="G648" t="s">
        <v>372</v>
      </c>
      <c r="H648">
        <v>1</v>
      </c>
      <c r="I648" t="s">
        <v>56</v>
      </c>
      <c r="J648" t="s">
        <v>346</v>
      </c>
      <c r="K648" t="s">
        <v>319</v>
      </c>
      <c r="L648" t="s">
        <v>221</v>
      </c>
    </row>
    <row r="649" spans="1:12" x14ac:dyDescent="0.25">
      <c r="A649" t="s">
        <v>215</v>
      </c>
      <c r="B649">
        <v>203</v>
      </c>
      <c r="C649" t="s">
        <v>12</v>
      </c>
      <c r="D649">
        <v>3</v>
      </c>
      <c r="E649" t="s">
        <v>109</v>
      </c>
      <c r="G649" t="s">
        <v>372</v>
      </c>
      <c r="I649" t="s">
        <v>56</v>
      </c>
      <c r="J649" t="s">
        <v>346</v>
      </c>
      <c r="K649" t="s">
        <v>319</v>
      </c>
      <c r="L649" t="s">
        <v>221</v>
      </c>
    </row>
    <row r="650" spans="1:12" x14ac:dyDescent="0.25">
      <c r="A650" t="s">
        <v>215</v>
      </c>
      <c r="B650">
        <v>204</v>
      </c>
      <c r="C650" t="s">
        <v>18</v>
      </c>
      <c r="D650">
        <v>1</v>
      </c>
      <c r="E650" t="s">
        <v>109</v>
      </c>
      <c r="F650">
        <v>0</v>
      </c>
      <c r="G650" t="s">
        <v>372</v>
      </c>
      <c r="H650">
        <v>1</v>
      </c>
      <c r="I650" t="s">
        <v>56</v>
      </c>
      <c r="J650" t="s">
        <v>348</v>
      </c>
      <c r="K650" t="s">
        <v>323</v>
      </c>
      <c r="L650" t="s">
        <v>221</v>
      </c>
    </row>
    <row r="651" spans="1:12" x14ac:dyDescent="0.25">
      <c r="A651" t="s">
        <v>215</v>
      </c>
      <c r="B651">
        <v>205</v>
      </c>
      <c r="C651" t="s">
        <v>18</v>
      </c>
      <c r="D651">
        <v>2</v>
      </c>
      <c r="E651" t="s">
        <v>109</v>
      </c>
      <c r="F651">
        <v>0</v>
      </c>
      <c r="G651" t="s">
        <v>372</v>
      </c>
      <c r="H651">
        <v>1</v>
      </c>
      <c r="I651" t="s">
        <v>56</v>
      </c>
      <c r="J651" t="s">
        <v>348</v>
      </c>
      <c r="K651" t="s">
        <v>323</v>
      </c>
      <c r="L651" t="s">
        <v>221</v>
      </c>
    </row>
    <row r="652" spans="1:12" x14ac:dyDescent="0.25">
      <c r="A652" t="s">
        <v>215</v>
      </c>
      <c r="B652">
        <v>206</v>
      </c>
      <c r="C652" t="s">
        <v>18</v>
      </c>
      <c r="D652">
        <v>3</v>
      </c>
      <c r="E652" t="s">
        <v>109</v>
      </c>
      <c r="G652" t="s">
        <v>372</v>
      </c>
      <c r="I652" t="s">
        <v>56</v>
      </c>
      <c r="J652" t="s">
        <v>348</v>
      </c>
      <c r="K652" t="s">
        <v>323</v>
      </c>
      <c r="L652" t="s">
        <v>221</v>
      </c>
    </row>
    <row r="653" spans="1:12" x14ac:dyDescent="0.25">
      <c r="A653" t="s">
        <v>215</v>
      </c>
      <c r="B653">
        <v>207</v>
      </c>
      <c r="C653" t="s">
        <v>21</v>
      </c>
      <c r="D653">
        <v>1</v>
      </c>
      <c r="E653" t="s">
        <v>109</v>
      </c>
      <c r="F653">
        <v>0</v>
      </c>
      <c r="G653" t="s">
        <v>372</v>
      </c>
      <c r="H653">
        <v>1</v>
      </c>
      <c r="I653" t="s">
        <v>56</v>
      </c>
      <c r="J653" t="s">
        <v>350</v>
      </c>
      <c r="K653" t="s">
        <v>325</v>
      </c>
      <c r="L653" t="s">
        <v>221</v>
      </c>
    </row>
    <row r="654" spans="1:12" x14ac:dyDescent="0.25">
      <c r="A654" t="s">
        <v>215</v>
      </c>
      <c r="B654">
        <v>208</v>
      </c>
      <c r="C654" t="s">
        <v>21</v>
      </c>
      <c r="D654">
        <v>2</v>
      </c>
      <c r="E654" t="s">
        <v>109</v>
      </c>
      <c r="F654">
        <v>0</v>
      </c>
      <c r="G654" t="s">
        <v>372</v>
      </c>
      <c r="H654">
        <v>1</v>
      </c>
      <c r="I654" t="s">
        <v>56</v>
      </c>
      <c r="J654" t="s">
        <v>350</v>
      </c>
      <c r="K654" t="s">
        <v>325</v>
      </c>
      <c r="L654" t="s">
        <v>221</v>
      </c>
    </row>
    <row r="655" spans="1:12" x14ac:dyDescent="0.25">
      <c r="A655" t="s">
        <v>215</v>
      </c>
      <c r="B655">
        <v>209</v>
      </c>
      <c r="C655" t="s">
        <v>21</v>
      </c>
      <c r="D655">
        <v>3</v>
      </c>
      <c r="E655" t="s">
        <v>109</v>
      </c>
      <c r="G655" t="s">
        <v>372</v>
      </c>
      <c r="I655" t="s">
        <v>56</v>
      </c>
      <c r="J655" t="s">
        <v>350</v>
      </c>
      <c r="K655" t="s">
        <v>325</v>
      </c>
      <c r="L655" t="s">
        <v>221</v>
      </c>
    </row>
    <row r="656" spans="1:12" x14ac:dyDescent="0.25">
      <c r="A656" t="s">
        <v>215</v>
      </c>
      <c r="B656">
        <v>210</v>
      </c>
      <c r="C656" t="s">
        <v>24</v>
      </c>
      <c r="D656">
        <v>1</v>
      </c>
      <c r="E656" t="s">
        <v>109</v>
      </c>
      <c r="F656">
        <v>0</v>
      </c>
      <c r="G656" t="s">
        <v>372</v>
      </c>
      <c r="H656">
        <v>1</v>
      </c>
      <c r="I656" t="s">
        <v>56</v>
      </c>
      <c r="J656" t="s">
        <v>352</v>
      </c>
      <c r="K656" t="s">
        <v>330</v>
      </c>
      <c r="L656" t="s">
        <v>221</v>
      </c>
    </row>
    <row r="657" spans="1:12" x14ac:dyDescent="0.25">
      <c r="A657" t="s">
        <v>215</v>
      </c>
      <c r="B657">
        <v>211</v>
      </c>
      <c r="C657" t="s">
        <v>24</v>
      </c>
      <c r="D657">
        <v>2</v>
      </c>
      <c r="E657" t="s">
        <v>109</v>
      </c>
      <c r="F657">
        <v>0</v>
      </c>
      <c r="G657" t="s">
        <v>372</v>
      </c>
      <c r="H657">
        <v>1</v>
      </c>
      <c r="I657" t="s">
        <v>56</v>
      </c>
      <c r="J657" t="s">
        <v>352</v>
      </c>
      <c r="K657" t="s">
        <v>330</v>
      </c>
      <c r="L657" t="s">
        <v>221</v>
      </c>
    </row>
    <row r="658" spans="1:12" x14ac:dyDescent="0.25">
      <c r="A658" t="s">
        <v>215</v>
      </c>
      <c r="B658">
        <v>212</v>
      </c>
      <c r="C658" t="s">
        <v>24</v>
      </c>
      <c r="D658">
        <v>3</v>
      </c>
      <c r="E658" t="s">
        <v>109</v>
      </c>
      <c r="G658" t="s">
        <v>372</v>
      </c>
      <c r="I658" t="s">
        <v>56</v>
      </c>
      <c r="J658" t="s">
        <v>352</v>
      </c>
      <c r="K658" t="s">
        <v>330</v>
      </c>
      <c r="L658" t="s">
        <v>221</v>
      </c>
    </row>
    <row r="659" spans="1:12" x14ac:dyDescent="0.25">
      <c r="A659" t="s">
        <v>215</v>
      </c>
      <c r="B659">
        <v>213</v>
      </c>
      <c r="C659" t="s">
        <v>27</v>
      </c>
      <c r="D659">
        <v>1</v>
      </c>
      <c r="E659" t="s">
        <v>109</v>
      </c>
      <c r="F659">
        <v>1</v>
      </c>
      <c r="G659" t="s">
        <v>372</v>
      </c>
      <c r="H659">
        <v>0</v>
      </c>
      <c r="I659" t="s">
        <v>56</v>
      </c>
      <c r="J659" t="s">
        <v>353</v>
      </c>
      <c r="K659" t="s">
        <v>333</v>
      </c>
      <c r="L659" t="s">
        <v>221</v>
      </c>
    </row>
    <row r="660" spans="1:12" x14ac:dyDescent="0.25">
      <c r="A660" t="s">
        <v>215</v>
      </c>
      <c r="B660">
        <v>214</v>
      </c>
      <c r="C660" t="s">
        <v>27</v>
      </c>
      <c r="D660">
        <v>2</v>
      </c>
      <c r="E660" t="s">
        <v>109</v>
      </c>
      <c r="F660">
        <v>1</v>
      </c>
      <c r="G660" t="s">
        <v>372</v>
      </c>
      <c r="H660">
        <v>0</v>
      </c>
      <c r="I660" t="s">
        <v>56</v>
      </c>
      <c r="J660" t="s">
        <v>353</v>
      </c>
      <c r="K660" t="s">
        <v>333</v>
      </c>
      <c r="L660" t="s">
        <v>221</v>
      </c>
    </row>
    <row r="661" spans="1:12" x14ac:dyDescent="0.25">
      <c r="A661" t="s">
        <v>215</v>
      </c>
      <c r="B661">
        <v>215</v>
      </c>
      <c r="C661" t="s">
        <v>27</v>
      </c>
      <c r="D661">
        <v>3</v>
      </c>
      <c r="E661" t="s">
        <v>109</v>
      </c>
      <c r="G661" t="s">
        <v>372</v>
      </c>
      <c r="I661" t="s">
        <v>56</v>
      </c>
      <c r="J661" t="s">
        <v>353</v>
      </c>
      <c r="K661" t="s">
        <v>333</v>
      </c>
      <c r="L661" t="s">
        <v>221</v>
      </c>
    </row>
    <row r="662" spans="1:12" x14ac:dyDescent="0.25">
      <c r="A662" t="s">
        <v>217</v>
      </c>
      <c r="B662">
        <v>3</v>
      </c>
      <c r="C662" t="s">
        <v>12</v>
      </c>
      <c r="D662">
        <v>1</v>
      </c>
      <c r="E662" t="s">
        <v>195</v>
      </c>
      <c r="F662">
        <v>1</v>
      </c>
      <c r="G662" t="s">
        <v>372</v>
      </c>
      <c r="H662">
        <v>0</v>
      </c>
      <c r="I662" t="s">
        <v>168</v>
      </c>
      <c r="J662" t="s">
        <v>230</v>
      </c>
      <c r="K662" t="s">
        <v>232</v>
      </c>
      <c r="L662" t="s">
        <v>218</v>
      </c>
    </row>
    <row r="663" spans="1:12" x14ac:dyDescent="0.25">
      <c r="A663" t="s">
        <v>217</v>
      </c>
      <c r="B663">
        <v>4</v>
      </c>
      <c r="C663" t="s">
        <v>12</v>
      </c>
      <c r="D663">
        <v>2</v>
      </c>
      <c r="E663" t="s">
        <v>195</v>
      </c>
      <c r="F663">
        <v>1</v>
      </c>
      <c r="G663" t="s">
        <v>372</v>
      </c>
      <c r="H663">
        <v>0</v>
      </c>
      <c r="I663" t="s">
        <v>168</v>
      </c>
      <c r="J663" t="s">
        <v>230</v>
      </c>
      <c r="K663" t="s">
        <v>232</v>
      </c>
      <c r="L663" t="s">
        <v>218</v>
      </c>
    </row>
    <row r="664" spans="1:12" x14ac:dyDescent="0.25">
      <c r="A664" t="s">
        <v>217</v>
      </c>
      <c r="B664">
        <v>5</v>
      </c>
      <c r="C664" t="s">
        <v>12</v>
      </c>
      <c r="D664">
        <v>3</v>
      </c>
      <c r="E664" t="s">
        <v>195</v>
      </c>
      <c r="G664" t="s">
        <v>372</v>
      </c>
      <c r="I664" t="s">
        <v>168</v>
      </c>
      <c r="J664" t="s">
        <v>230</v>
      </c>
      <c r="K664" t="s">
        <v>232</v>
      </c>
      <c r="L664" t="s">
        <v>218</v>
      </c>
    </row>
    <row r="665" spans="1:12" x14ac:dyDescent="0.25">
      <c r="A665" t="s">
        <v>217</v>
      </c>
      <c r="B665">
        <v>6</v>
      </c>
      <c r="C665" t="s">
        <v>18</v>
      </c>
      <c r="D665">
        <v>1</v>
      </c>
      <c r="E665" t="s">
        <v>195</v>
      </c>
      <c r="F665">
        <v>1</v>
      </c>
      <c r="G665" t="s">
        <v>372</v>
      </c>
      <c r="H665">
        <v>0</v>
      </c>
      <c r="I665" t="s">
        <v>168</v>
      </c>
      <c r="J665" t="s">
        <v>235</v>
      </c>
      <c r="K665" t="s">
        <v>237</v>
      </c>
      <c r="L665" t="s">
        <v>218</v>
      </c>
    </row>
    <row r="666" spans="1:12" x14ac:dyDescent="0.25">
      <c r="A666" t="s">
        <v>217</v>
      </c>
      <c r="B666">
        <v>7</v>
      </c>
      <c r="C666" t="s">
        <v>18</v>
      </c>
      <c r="D666">
        <v>2</v>
      </c>
      <c r="E666" t="s">
        <v>195</v>
      </c>
      <c r="F666">
        <v>1</v>
      </c>
      <c r="G666" t="s">
        <v>372</v>
      </c>
      <c r="H666">
        <v>0</v>
      </c>
      <c r="I666" t="s">
        <v>168</v>
      </c>
      <c r="J666" t="s">
        <v>235</v>
      </c>
      <c r="K666" t="s">
        <v>237</v>
      </c>
      <c r="L666" t="s">
        <v>218</v>
      </c>
    </row>
    <row r="667" spans="1:12" x14ac:dyDescent="0.25">
      <c r="A667" t="s">
        <v>217</v>
      </c>
      <c r="B667">
        <v>8</v>
      </c>
      <c r="C667" t="s">
        <v>18</v>
      </c>
      <c r="D667">
        <v>3</v>
      </c>
      <c r="E667" t="s">
        <v>195</v>
      </c>
      <c r="G667" t="s">
        <v>372</v>
      </c>
      <c r="I667" t="s">
        <v>168</v>
      </c>
      <c r="J667" t="s">
        <v>235</v>
      </c>
      <c r="K667" t="s">
        <v>237</v>
      </c>
      <c r="L667" t="s">
        <v>218</v>
      </c>
    </row>
    <row r="668" spans="1:12" x14ac:dyDescent="0.25">
      <c r="A668" t="s">
        <v>217</v>
      </c>
      <c r="B668">
        <v>9</v>
      </c>
      <c r="C668" t="s">
        <v>21</v>
      </c>
      <c r="D668">
        <v>1</v>
      </c>
      <c r="E668" t="s">
        <v>195</v>
      </c>
      <c r="F668">
        <v>1</v>
      </c>
      <c r="G668" t="s">
        <v>372</v>
      </c>
      <c r="H668">
        <v>0</v>
      </c>
      <c r="I668" t="s">
        <v>168</v>
      </c>
      <c r="J668" t="s">
        <v>240</v>
      </c>
      <c r="K668" t="s">
        <v>242</v>
      </c>
      <c r="L668" t="s">
        <v>218</v>
      </c>
    </row>
    <row r="669" spans="1:12" x14ac:dyDescent="0.25">
      <c r="A669" t="s">
        <v>217</v>
      </c>
      <c r="B669">
        <v>10</v>
      </c>
      <c r="C669" t="s">
        <v>21</v>
      </c>
      <c r="D669">
        <v>2</v>
      </c>
      <c r="E669" t="s">
        <v>195</v>
      </c>
      <c r="F669">
        <v>0</v>
      </c>
      <c r="G669" t="s">
        <v>372</v>
      </c>
      <c r="H669">
        <v>1</v>
      </c>
      <c r="I669" t="s">
        <v>168</v>
      </c>
      <c r="J669" t="s">
        <v>240</v>
      </c>
      <c r="K669" t="s">
        <v>242</v>
      </c>
      <c r="L669" t="s">
        <v>218</v>
      </c>
    </row>
    <row r="670" spans="1:12" x14ac:dyDescent="0.25">
      <c r="A670" t="s">
        <v>217</v>
      </c>
      <c r="B670">
        <v>11</v>
      </c>
      <c r="C670" t="s">
        <v>21</v>
      </c>
      <c r="D670">
        <v>3</v>
      </c>
      <c r="E670" t="s">
        <v>195</v>
      </c>
      <c r="G670" t="s">
        <v>372</v>
      </c>
      <c r="I670" t="s">
        <v>168</v>
      </c>
      <c r="J670" t="s">
        <v>240</v>
      </c>
      <c r="K670" t="s">
        <v>242</v>
      </c>
      <c r="L670" t="s">
        <v>218</v>
      </c>
    </row>
    <row r="671" spans="1:12" x14ac:dyDescent="0.25">
      <c r="A671" t="s">
        <v>217</v>
      </c>
      <c r="B671">
        <v>12</v>
      </c>
      <c r="C671" t="s">
        <v>24</v>
      </c>
      <c r="D671">
        <v>1</v>
      </c>
      <c r="E671" t="s">
        <v>195</v>
      </c>
      <c r="F671">
        <v>1</v>
      </c>
      <c r="G671" t="s">
        <v>372</v>
      </c>
      <c r="H671">
        <v>0</v>
      </c>
      <c r="I671" t="s">
        <v>168</v>
      </c>
      <c r="J671" t="s">
        <v>245</v>
      </c>
      <c r="K671" t="s">
        <v>247</v>
      </c>
      <c r="L671" t="s">
        <v>218</v>
      </c>
    </row>
    <row r="672" spans="1:12" x14ac:dyDescent="0.25">
      <c r="A672" t="s">
        <v>217</v>
      </c>
      <c r="B672">
        <v>13</v>
      </c>
      <c r="C672" t="s">
        <v>24</v>
      </c>
      <c r="D672">
        <v>2</v>
      </c>
      <c r="E672" t="s">
        <v>195</v>
      </c>
      <c r="F672">
        <v>1</v>
      </c>
      <c r="G672" t="s">
        <v>372</v>
      </c>
      <c r="H672">
        <v>0</v>
      </c>
      <c r="I672" t="s">
        <v>168</v>
      </c>
      <c r="J672" t="s">
        <v>245</v>
      </c>
      <c r="K672" t="s">
        <v>247</v>
      </c>
      <c r="L672" t="s">
        <v>218</v>
      </c>
    </row>
    <row r="673" spans="1:12" x14ac:dyDescent="0.25">
      <c r="A673" t="s">
        <v>217</v>
      </c>
      <c r="B673">
        <v>14</v>
      </c>
      <c r="C673" t="s">
        <v>24</v>
      </c>
      <c r="D673">
        <v>3</v>
      </c>
      <c r="E673" t="s">
        <v>195</v>
      </c>
      <c r="G673" t="s">
        <v>372</v>
      </c>
      <c r="I673" t="s">
        <v>168</v>
      </c>
      <c r="J673" t="s">
        <v>245</v>
      </c>
      <c r="K673" t="s">
        <v>247</v>
      </c>
      <c r="L673" t="s">
        <v>218</v>
      </c>
    </row>
    <row r="674" spans="1:12" x14ac:dyDescent="0.25">
      <c r="A674" t="s">
        <v>217</v>
      </c>
      <c r="B674">
        <v>15</v>
      </c>
      <c r="C674" t="s">
        <v>27</v>
      </c>
      <c r="D674">
        <v>1</v>
      </c>
      <c r="E674" t="s">
        <v>195</v>
      </c>
      <c r="F674">
        <v>1</v>
      </c>
      <c r="G674" t="s">
        <v>372</v>
      </c>
      <c r="H674">
        <v>0</v>
      </c>
      <c r="I674" t="s">
        <v>168</v>
      </c>
      <c r="J674" t="s">
        <v>250</v>
      </c>
      <c r="K674" t="s">
        <v>252</v>
      </c>
      <c r="L674" t="s">
        <v>218</v>
      </c>
    </row>
    <row r="675" spans="1:12" x14ac:dyDescent="0.25">
      <c r="A675" t="s">
        <v>217</v>
      </c>
      <c r="B675">
        <v>16</v>
      </c>
      <c r="C675" t="s">
        <v>27</v>
      </c>
      <c r="D675">
        <v>2</v>
      </c>
      <c r="E675" t="s">
        <v>195</v>
      </c>
      <c r="F675">
        <v>1</v>
      </c>
      <c r="G675" t="s">
        <v>372</v>
      </c>
      <c r="H675">
        <v>0</v>
      </c>
      <c r="I675" t="s">
        <v>168</v>
      </c>
      <c r="J675" t="s">
        <v>250</v>
      </c>
      <c r="K675" t="s">
        <v>252</v>
      </c>
      <c r="L675" t="s">
        <v>218</v>
      </c>
    </row>
    <row r="676" spans="1:12" x14ac:dyDescent="0.25">
      <c r="A676" t="s">
        <v>217</v>
      </c>
      <c r="B676">
        <v>17</v>
      </c>
      <c r="C676" t="s">
        <v>27</v>
      </c>
      <c r="D676">
        <v>3</v>
      </c>
      <c r="E676" t="s">
        <v>195</v>
      </c>
      <c r="G676" t="s">
        <v>372</v>
      </c>
      <c r="I676" t="s">
        <v>168</v>
      </c>
      <c r="J676" t="s">
        <v>250</v>
      </c>
      <c r="K676" t="s">
        <v>252</v>
      </c>
      <c r="L676" t="s">
        <v>218</v>
      </c>
    </row>
    <row r="677" spans="1:12" x14ac:dyDescent="0.25">
      <c r="A677" t="s">
        <v>217</v>
      </c>
      <c r="B677">
        <v>21</v>
      </c>
      <c r="C677" t="s">
        <v>12</v>
      </c>
      <c r="D677">
        <v>1</v>
      </c>
      <c r="E677" t="s">
        <v>156</v>
      </c>
      <c r="F677">
        <v>33</v>
      </c>
      <c r="G677" t="s">
        <v>372</v>
      </c>
      <c r="H677">
        <v>31</v>
      </c>
      <c r="I677" t="s">
        <v>146</v>
      </c>
      <c r="J677" t="s">
        <v>255</v>
      </c>
      <c r="K677" t="s">
        <v>234</v>
      </c>
      <c r="L677" t="s">
        <v>218</v>
      </c>
    </row>
    <row r="678" spans="1:12" x14ac:dyDescent="0.25">
      <c r="A678" t="s">
        <v>217</v>
      </c>
      <c r="B678">
        <v>22</v>
      </c>
      <c r="C678" t="s">
        <v>12</v>
      </c>
      <c r="D678">
        <v>2</v>
      </c>
      <c r="E678" t="s">
        <v>156</v>
      </c>
      <c r="F678">
        <v>7</v>
      </c>
      <c r="G678" t="s">
        <v>372</v>
      </c>
      <c r="H678">
        <v>3</v>
      </c>
      <c r="I678" t="s">
        <v>146</v>
      </c>
      <c r="J678" t="s">
        <v>255</v>
      </c>
      <c r="K678" t="s">
        <v>234</v>
      </c>
      <c r="L678" t="s">
        <v>218</v>
      </c>
    </row>
    <row r="679" spans="1:12" x14ac:dyDescent="0.25">
      <c r="A679" t="s">
        <v>217</v>
      </c>
      <c r="B679">
        <v>23</v>
      </c>
      <c r="C679" t="s">
        <v>12</v>
      </c>
      <c r="D679">
        <v>3</v>
      </c>
      <c r="E679" t="s">
        <v>156</v>
      </c>
      <c r="G679" t="s">
        <v>372</v>
      </c>
      <c r="I679" t="s">
        <v>146</v>
      </c>
      <c r="J679" t="s">
        <v>255</v>
      </c>
      <c r="K679" t="s">
        <v>234</v>
      </c>
      <c r="L679" t="s">
        <v>218</v>
      </c>
    </row>
    <row r="680" spans="1:12" x14ac:dyDescent="0.25">
      <c r="A680" t="s">
        <v>217</v>
      </c>
      <c r="B680">
        <v>24</v>
      </c>
      <c r="C680" t="s">
        <v>18</v>
      </c>
      <c r="D680">
        <v>1</v>
      </c>
      <c r="E680" t="s">
        <v>156</v>
      </c>
      <c r="F680">
        <v>20</v>
      </c>
      <c r="G680" t="s">
        <v>372</v>
      </c>
      <c r="H680">
        <v>22</v>
      </c>
      <c r="I680" t="s">
        <v>146</v>
      </c>
      <c r="J680" t="s">
        <v>258</v>
      </c>
      <c r="K680" t="s">
        <v>239</v>
      </c>
      <c r="L680" t="s">
        <v>218</v>
      </c>
    </row>
    <row r="681" spans="1:12" x14ac:dyDescent="0.25">
      <c r="A681" t="s">
        <v>217</v>
      </c>
      <c r="B681">
        <v>25</v>
      </c>
      <c r="C681" t="s">
        <v>18</v>
      </c>
      <c r="D681">
        <v>2</v>
      </c>
      <c r="E681" t="s">
        <v>156</v>
      </c>
      <c r="F681">
        <v>18</v>
      </c>
      <c r="G681" t="s">
        <v>372</v>
      </c>
      <c r="H681">
        <v>21</v>
      </c>
      <c r="I681" t="s">
        <v>146</v>
      </c>
      <c r="J681" t="s">
        <v>258</v>
      </c>
      <c r="K681" t="s">
        <v>239</v>
      </c>
      <c r="L681" t="s">
        <v>218</v>
      </c>
    </row>
    <row r="682" spans="1:12" x14ac:dyDescent="0.25">
      <c r="A682" t="s">
        <v>217</v>
      </c>
      <c r="B682">
        <v>26</v>
      </c>
      <c r="C682" t="s">
        <v>18</v>
      </c>
      <c r="D682">
        <v>3</v>
      </c>
      <c r="E682" t="s">
        <v>156</v>
      </c>
      <c r="G682" t="s">
        <v>372</v>
      </c>
      <c r="I682" t="s">
        <v>146</v>
      </c>
      <c r="J682" t="s">
        <v>258</v>
      </c>
      <c r="K682" t="s">
        <v>239</v>
      </c>
      <c r="L682" t="s">
        <v>218</v>
      </c>
    </row>
    <row r="683" spans="1:12" x14ac:dyDescent="0.25">
      <c r="A683" t="s">
        <v>217</v>
      </c>
      <c r="B683">
        <v>27</v>
      </c>
      <c r="C683" t="s">
        <v>21</v>
      </c>
      <c r="D683">
        <v>1</v>
      </c>
      <c r="E683" t="s">
        <v>156</v>
      </c>
      <c r="F683">
        <v>17</v>
      </c>
      <c r="G683" t="s">
        <v>372</v>
      </c>
      <c r="H683">
        <v>21</v>
      </c>
      <c r="I683" t="s">
        <v>146</v>
      </c>
      <c r="J683" t="s">
        <v>261</v>
      </c>
      <c r="K683" t="s">
        <v>244</v>
      </c>
      <c r="L683" t="s">
        <v>218</v>
      </c>
    </row>
    <row r="684" spans="1:12" x14ac:dyDescent="0.25">
      <c r="A684" t="s">
        <v>217</v>
      </c>
      <c r="B684">
        <v>28</v>
      </c>
      <c r="C684" t="s">
        <v>21</v>
      </c>
      <c r="D684">
        <v>2</v>
      </c>
      <c r="E684" t="s">
        <v>156</v>
      </c>
      <c r="F684">
        <v>17</v>
      </c>
      <c r="G684" t="s">
        <v>372</v>
      </c>
      <c r="H684">
        <v>20</v>
      </c>
      <c r="I684" t="s">
        <v>146</v>
      </c>
      <c r="J684" t="s">
        <v>261</v>
      </c>
      <c r="K684" t="s">
        <v>244</v>
      </c>
      <c r="L684" t="s">
        <v>218</v>
      </c>
    </row>
    <row r="685" spans="1:12" x14ac:dyDescent="0.25">
      <c r="A685" t="s">
        <v>217</v>
      </c>
      <c r="B685">
        <v>29</v>
      </c>
      <c r="C685" t="s">
        <v>21</v>
      </c>
      <c r="D685">
        <v>3</v>
      </c>
      <c r="E685" t="s">
        <v>156</v>
      </c>
      <c r="G685" t="s">
        <v>372</v>
      </c>
      <c r="I685" t="s">
        <v>146</v>
      </c>
      <c r="J685" t="s">
        <v>261</v>
      </c>
      <c r="K685" t="s">
        <v>244</v>
      </c>
      <c r="L685" t="s">
        <v>218</v>
      </c>
    </row>
    <row r="686" spans="1:12" x14ac:dyDescent="0.25">
      <c r="A686" t="s">
        <v>217</v>
      </c>
      <c r="B686">
        <v>30</v>
      </c>
      <c r="C686" t="s">
        <v>24</v>
      </c>
      <c r="D686">
        <v>1</v>
      </c>
      <c r="E686" t="s">
        <v>156</v>
      </c>
      <c r="F686">
        <v>22</v>
      </c>
      <c r="G686" t="s">
        <v>372</v>
      </c>
      <c r="H686">
        <v>24</v>
      </c>
      <c r="I686" t="s">
        <v>146</v>
      </c>
      <c r="J686" t="s">
        <v>264</v>
      </c>
      <c r="K686" t="s">
        <v>249</v>
      </c>
      <c r="L686" t="s">
        <v>218</v>
      </c>
    </row>
    <row r="687" spans="1:12" x14ac:dyDescent="0.25">
      <c r="A687" t="s">
        <v>217</v>
      </c>
      <c r="B687">
        <v>31</v>
      </c>
      <c r="C687" t="s">
        <v>24</v>
      </c>
      <c r="D687">
        <v>2</v>
      </c>
      <c r="E687" t="s">
        <v>156</v>
      </c>
      <c r="F687">
        <v>15</v>
      </c>
      <c r="G687" t="s">
        <v>372</v>
      </c>
      <c r="H687">
        <v>21</v>
      </c>
      <c r="I687" t="s">
        <v>146</v>
      </c>
      <c r="J687" t="s">
        <v>264</v>
      </c>
      <c r="K687" t="s">
        <v>249</v>
      </c>
      <c r="L687" t="s">
        <v>218</v>
      </c>
    </row>
    <row r="688" spans="1:12" x14ac:dyDescent="0.25">
      <c r="A688" t="s">
        <v>217</v>
      </c>
      <c r="B688">
        <v>32</v>
      </c>
      <c r="C688" t="s">
        <v>24</v>
      </c>
      <c r="D688">
        <v>3</v>
      </c>
      <c r="E688" t="s">
        <v>156</v>
      </c>
      <c r="G688" t="s">
        <v>372</v>
      </c>
      <c r="I688" t="s">
        <v>146</v>
      </c>
      <c r="J688" t="s">
        <v>264</v>
      </c>
      <c r="K688" t="s">
        <v>249</v>
      </c>
      <c r="L688" t="s">
        <v>218</v>
      </c>
    </row>
    <row r="689" spans="1:12" x14ac:dyDescent="0.25">
      <c r="A689" t="s">
        <v>217</v>
      </c>
      <c r="B689">
        <v>33</v>
      </c>
      <c r="C689" t="s">
        <v>27</v>
      </c>
      <c r="D689">
        <v>1</v>
      </c>
      <c r="E689" t="s">
        <v>156</v>
      </c>
      <c r="F689">
        <v>17</v>
      </c>
      <c r="G689" t="s">
        <v>372</v>
      </c>
      <c r="H689">
        <v>21</v>
      </c>
      <c r="I689" t="s">
        <v>146</v>
      </c>
      <c r="J689" t="s">
        <v>267</v>
      </c>
      <c r="K689" t="s">
        <v>254</v>
      </c>
      <c r="L689" t="s">
        <v>218</v>
      </c>
    </row>
    <row r="690" spans="1:12" x14ac:dyDescent="0.25">
      <c r="A690" t="s">
        <v>217</v>
      </c>
      <c r="B690">
        <v>34</v>
      </c>
      <c r="C690" t="s">
        <v>27</v>
      </c>
      <c r="D690">
        <v>2</v>
      </c>
      <c r="E690" t="s">
        <v>156</v>
      </c>
      <c r="F690">
        <v>17</v>
      </c>
      <c r="G690" t="s">
        <v>372</v>
      </c>
      <c r="H690">
        <v>21</v>
      </c>
      <c r="I690" t="s">
        <v>146</v>
      </c>
      <c r="J690" t="s">
        <v>267</v>
      </c>
      <c r="K690" t="s">
        <v>254</v>
      </c>
      <c r="L690" t="s">
        <v>218</v>
      </c>
    </row>
    <row r="691" spans="1:12" x14ac:dyDescent="0.25">
      <c r="A691" t="s">
        <v>217</v>
      </c>
      <c r="B691">
        <v>35</v>
      </c>
      <c r="C691" t="s">
        <v>27</v>
      </c>
      <c r="D691">
        <v>3</v>
      </c>
      <c r="E691" t="s">
        <v>156</v>
      </c>
      <c r="G691" t="s">
        <v>372</v>
      </c>
      <c r="I691" t="s">
        <v>146</v>
      </c>
      <c r="J691" t="s">
        <v>267</v>
      </c>
      <c r="K691" t="s">
        <v>254</v>
      </c>
      <c r="L691" t="s">
        <v>218</v>
      </c>
    </row>
    <row r="692" spans="1:12" x14ac:dyDescent="0.25">
      <c r="A692" t="s">
        <v>217</v>
      </c>
      <c r="B692">
        <v>39</v>
      </c>
      <c r="C692" t="s">
        <v>12</v>
      </c>
      <c r="D692">
        <v>1</v>
      </c>
      <c r="E692" t="s">
        <v>147</v>
      </c>
      <c r="F692">
        <v>21</v>
      </c>
      <c r="G692" t="s">
        <v>372</v>
      </c>
      <c r="H692">
        <v>14</v>
      </c>
      <c r="I692" t="s">
        <v>30</v>
      </c>
      <c r="J692" t="s">
        <v>272</v>
      </c>
      <c r="K692" t="s">
        <v>233</v>
      </c>
      <c r="L692" t="s">
        <v>227</v>
      </c>
    </row>
    <row r="693" spans="1:12" x14ac:dyDescent="0.25">
      <c r="A693" t="s">
        <v>217</v>
      </c>
      <c r="B693">
        <v>40</v>
      </c>
      <c r="C693" t="s">
        <v>12</v>
      </c>
      <c r="D693">
        <v>2</v>
      </c>
      <c r="E693" t="s">
        <v>147</v>
      </c>
      <c r="F693">
        <v>1</v>
      </c>
      <c r="G693" t="s">
        <v>372</v>
      </c>
      <c r="H693">
        <v>0</v>
      </c>
      <c r="I693" t="s">
        <v>30</v>
      </c>
      <c r="J693" t="s">
        <v>272</v>
      </c>
      <c r="K693" t="s">
        <v>233</v>
      </c>
      <c r="L693" t="s">
        <v>227</v>
      </c>
    </row>
    <row r="694" spans="1:12" x14ac:dyDescent="0.25">
      <c r="A694" t="s">
        <v>217</v>
      </c>
      <c r="B694">
        <v>41</v>
      </c>
      <c r="C694" t="s">
        <v>12</v>
      </c>
      <c r="D694">
        <v>3</v>
      </c>
      <c r="E694" t="s">
        <v>147</v>
      </c>
      <c r="G694" t="s">
        <v>372</v>
      </c>
      <c r="I694" t="s">
        <v>30</v>
      </c>
      <c r="J694" t="s">
        <v>272</v>
      </c>
      <c r="K694" t="s">
        <v>233</v>
      </c>
      <c r="L694" t="s">
        <v>227</v>
      </c>
    </row>
    <row r="695" spans="1:12" x14ac:dyDescent="0.25">
      <c r="A695" t="s">
        <v>217</v>
      </c>
      <c r="B695">
        <v>42</v>
      </c>
      <c r="C695" t="s">
        <v>18</v>
      </c>
      <c r="D695">
        <v>1</v>
      </c>
      <c r="E695" t="s">
        <v>147</v>
      </c>
      <c r="F695">
        <v>19</v>
      </c>
      <c r="G695" t="s">
        <v>372</v>
      </c>
      <c r="H695">
        <v>21</v>
      </c>
      <c r="I695" t="s">
        <v>30</v>
      </c>
      <c r="J695" t="s">
        <v>275</v>
      </c>
      <c r="K695" t="s">
        <v>238</v>
      </c>
      <c r="L695" t="s">
        <v>227</v>
      </c>
    </row>
    <row r="696" spans="1:12" x14ac:dyDescent="0.25">
      <c r="A696" t="s">
        <v>217</v>
      </c>
      <c r="B696">
        <v>43</v>
      </c>
      <c r="C696" t="s">
        <v>18</v>
      </c>
      <c r="D696">
        <v>2</v>
      </c>
      <c r="E696" t="s">
        <v>147</v>
      </c>
      <c r="F696">
        <v>0</v>
      </c>
      <c r="G696" t="s">
        <v>372</v>
      </c>
      <c r="H696">
        <v>1</v>
      </c>
      <c r="I696" t="s">
        <v>30</v>
      </c>
      <c r="J696" t="s">
        <v>275</v>
      </c>
      <c r="K696" t="s">
        <v>238</v>
      </c>
      <c r="L696" t="s">
        <v>227</v>
      </c>
    </row>
    <row r="697" spans="1:12" x14ac:dyDescent="0.25">
      <c r="A697" t="s">
        <v>217</v>
      </c>
      <c r="B697">
        <v>44</v>
      </c>
      <c r="C697" t="s">
        <v>18</v>
      </c>
      <c r="D697">
        <v>3</v>
      </c>
      <c r="E697" t="s">
        <v>147</v>
      </c>
      <c r="G697" t="s">
        <v>372</v>
      </c>
      <c r="I697" t="s">
        <v>30</v>
      </c>
      <c r="J697" t="s">
        <v>275</v>
      </c>
      <c r="K697" t="s">
        <v>238</v>
      </c>
      <c r="L697" t="s">
        <v>227</v>
      </c>
    </row>
    <row r="698" spans="1:12" x14ac:dyDescent="0.25">
      <c r="A698" t="s">
        <v>217</v>
      </c>
      <c r="B698">
        <v>45</v>
      </c>
      <c r="C698" t="s">
        <v>21</v>
      </c>
      <c r="D698">
        <v>1</v>
      </c>
      <c r="E698" t="s">
        <v>147</v>
      </c>
      <c r="F698">
        <v>15</v>
      </c>
      <c r="G698" t="s">
        <v>372</v>
      </c>
      <c r="H698">
        <v>21</v>
      </c>
      <c r="I698" t="s">
        <v>30</v>
      </c>
      <c r="J698" t="s">
        <v>278</v>
      </c>
      <c r="K698" t="s">
        <v>243</v>
      </c>
      <c r="L698" t="s">
        <v>227</v>
      </c>
    </row>
    <row r="699" spans="1:12" x14ac:dyDescent="0.25">
      <c r="A699" t="s">
        <v>217</v>
      </c>
      <c r="B699">
        <v>46</v>
      </c>
      <c r="C699" t="s">
        <v>21</v>
      </c>
      <c r="D699">
        <v>2</v>
      </c>
      <c r="E699" t="s">
        <v>147</v>
      </c>
      <c r="F699">
        <v>0</v>
      </c>
      <c r="G699" t="s">
        <v>372</v>
      </c>
      <c r="H699">
        <v>1</v>
      </c>
      <c r="I699" t="s">
        <v>30</v>
      </c>
      <c r="J699" t="s">
        <v>278</v>
      </c>
      <c r="K699" t="s">
        <v>243</v>
      </c>
      <c r="L699" t="s">
        <v>227</v>
      </c>
    </row>
    <row r="700" spans="1:12" x14ac:dyDescent="0.25">
      <c r="A700" t="s">
        <v>217</v>
      </c>
      <c r="B700">
        <v>47</v>
      </c>
      <c r="C700" t="s">
        <v>21</v>
      </c>
      <c r="D700">
        <v>3</v>
      </c>
      <c r="E700" t="s">
        <v>147</v>
      </c>
      <c r="G700" t="s">
        <v>372</v>
      </c>
      <c r="I700" t="s">
        <v>30</v>
      </c>
      <c r="J700" t="s">
        <v>278</v>
      </c>
      <c r="K700" t="s">
        <v>243</v>
      </c>
      <c r="L700" t="s">
        <v>227</v>
      </c>
    </row>
    <row r="701" spans="1:12" x14ac:dyDescent="0.25">
      <c r="A701" t="s">
        <v>217</v>
      </c>
      <c r="B701">
        <v>48</v>
      </c>
      <c r="C701" t="s">
        <v>24</v>
      </c>
      <c r="D701">
        <v>1</v>
      </c>
      <c r="E701" t="s">
        <v>147</v>
      </c>
      <c r="F701">
        <v>17</v>
      </c>
      <c r="G701" t="s">
        <v>372</v>
      </c>
      <c r="H701">
        <v>21</v>
      </c>
      <c r="I701" t="s">
        <v>30</v>
      </c>
      <c r="J701" t="s">
        <v>281</v>
      </c>
      <c r="K701" t="s">
        <v>248</v>
      </c>
      <c r="L701" t="s">
        <v>227</v>
      </c>
    </row>
    <row r="702" spans="1:12" x14ac:dyDescent="0.25">
      <c r="A702" t="s">
        <v>217</v>
      </c>
      <c r="B702">
        <v>49</v>
      </c>
      <c r="C702" t="s">
        <v>24</v>
      </c>
      <c r="D702">
        <v>2</v>
      </c>
      <c r="E702" t="s">
        <v>147</v>
      </c>
      <c r="F702">
        <v>0</v>
      </c>
      <c r="G702" t="s">
        <v>372</v>
      </c>
      <c r="H702">
        <v>1</v>
      </c>
      <c r="I702" t="s">
        <v>30</v>
      </c>
      <c r="J702" t="s">
        <v>281</v>
      </c>
      <c r="K702" t="s">
        <v>248</v>
      </c>
      <c r="L702" t="s">
        <v>227</v>
      </c>
    </row>
    <row r="703" spans="1:12" x14ac:dyDescent="0.25">
      <c r="A703" t="s">
        <v>217</v>
      </c>
      <c r="B703">
        <v>50</v>
      </c>
      <c r="C703" t="s">
        <v>24</v>
      </c>
      <c r="D703">
        <v>3</v>
      </c>
      <c r="E703" t="s">
        <v>147</v>
      </c>
      <c r="G703" t="s">
        <v>372</v>
      </c>
      <c r="I703" t="s">
        <v>30</v>
      </c>
      <c r="J703" t="s">
        <v>281</v>
      </c>
      <c r="K703" t="s">
        <v>248</v>
      </c>
      <c r="L703" t="s">
        <v>227</v>
      </c>
    </row>
    <row r="704" spans="1:12" x14ac:dyDescent="0.25">
      <c r="A704" t="s">
        <v>217</v>
      </c>
      <c r="B704">
        <v>51</v>
      </c>
      <c r="C704" t="s">
        <v>27</v>
      </c>
      <c r="D704">
        <v>1</v>
      </c>
      <c r="E704" t="s">
        <v>147</v>
      </c>
      <c r="F704">
        <v>21</v>
      </c>
      <c r="G704" t="s">
        <v>372</v>
      </c>
      <c r="H704">
        <v>16</v>
      </c>
      <c r="I704" t="s">
        <v>30</v>
      </c>
      <c r="J704" t="s">
        <v>284</v>
      </c>
      <c r="K704" t="s">
        <v>253</v>
      </c>
      <c r="L704" t="s">
        <v>227</v>
      </c>
    </row>
    <row r="705" spans="1:12" x14ac:dyDescent="0.25">
      <c r="A705" t="s">
        <v>217</v>
      </c>
      <c r="B705">
        <v>52</v>
      </c>
      <c r="C705" t="s">
        <v>27</v>
      </c>
      <c r="D705">
        <v>2</v>
      </c>
      <c r="E705" t="s">
        <v>147</v>
      </c>
      <c r="F705">
        <v>1</v>
      </c>
      <c r="G705" t="s">
        <v>372</v>
      </c>
      <c r="H705">
        <v>0</v>
      </c>
      <c r="I705" t="s">
        <v>30</v>
      </c>
      <c r="J705" t="s">
        <v>284</v>
      </c>
      <c r="K705" t="s">
        <v>253</v>
      </c>
      <c r="L705" t="s">
        <v>227</v>
      </c>
    </row>
    <row r="706" spans="1:12" x14ac:dyDescent="0.25">
      <c r="A706" t="s">
        <v>217</v>
      </c>
      <c r="B706">
        <v>53</v>
      </c>
      <c r="C706" t="s">
        <v>27</v>
      </c>
      <c r="D706">
        <v>3</v>
      </c>
      <c r="E706" t="s">
        <v>147</v>
      </c>
      <c r="G706" t="s">
        <v>372</v>
      </c>
      <c r="I706" t="s">
        <v>30</v>
      </c>
      <c r="J706" t="s">
        <v>284</v>
      </c>
      <c r="K706" t="s">
        <v>253</v>
      </c>
      <c r="L706" t="s">
        <v>227</v>
      </c>
    </row>
    <row r="707" spans="1:12" x14ac:dyDescent="0.25">
      <c r="A707" t="s">
        <v>217</v>
      </c>
      <c r="B707">
        <v>57</v>
      </c>
      <c r="C707" t="s">
        <v>12</v>
      </c>
      <c r="D707">
        <v>1</v>
      </c>
      <c r="E707" t="s">
        <v>194</v>
      </c>
      <c r="F707">
        <v>25</v>
      </c>
      <c r="G707" t="s">
        <v>372</v>
      </c>
      <c r="H707">
        <v>23</v>
      </c>
      <c r="I707" t="s">
        <v>155</v>
      </c>
      <c r="J707" t="s">
        <v>270</v>
      </c>
      <c r="K707" t="s">
        <v>257</v>
      </c>
      <c r="L707" t="s">
        <v>227</v>
      </c>
    </row>
    <row r="708" spans="1:12" x14ac:dyDescent="0.25">
      <c r="A708" t="s">
        <v>217</v>
      </c>
      <c r="B708">
        <v>58</v>
      </c>
      <c r="C708" t="s">
        <v>12</v>
      </c>
      <c r="D708">
        <v>2</v>
      </c>
      <c r="E708" t="s">
        <v>194</v>
      </c>
      <c r="F708">
        <v>1</v>
      </c>
      <c r="G708" t="s">
        <v>372</v>
      </c>
      <c r="H708">
        <v>0</v>
      </c>
      <c r="I708" t="s">
        <v>155</v>
      </c>
      <c r="J708" t="s">
        <v>270</v>
      </c>
      <c r="K708" t="s">
        <v>257</v>
      </c>
      <c r="L708" t="s">
        <v>227</v>
      </c>
    </row>
    <row r="709" spans="1:12" x14ac:dyDescent="0.25">
      <c r="A709" t="s">
        <v>217</v>
      </c>
      <c r="B709">
        <v>59</v>
      </c>
      <c r="C709" t="s">
        <v>12</v>
      </c>
      <c r="D709">
        <v>3</v>
      </c>
      <c r="E709" t="s">
        <v>194</v>
      </c>
      <c r="G709" t="s">
        <v>372</v>
      </c>
      <c r="I709" t="s">
        <v>155</v>
      </c>
      <c r="J709" t="s">
        <v>270</v>
      </c>
      <c r="K709" t="s">
        <v>257</v>
      </c>
      <c r="L709" t="s">
        <v>227</v>
      </c>
    </row>
    <row r="710" spans="1:12" x14ac:dyDescent="0.25">
      <c r="A710" t="s">
        <v>217</v>
      </c>
      <c r="B710">
        <v>60</v>
      </c>
      <c r="C710" t="s">
        <v>18</v>
      </c>
      <c r="D710">
        <v>1</v>
      </c>
      <c r="E710" t="s">
        <v>194</v>
      </c>
      <c r="F710">
        <v>21</v>
      </c>
      <c r="G710" t="s">
        <v>372</v>
      </c>
      <c r="H710">
        <v>19</v>
      </c>
      <c r="I710" t="s">
        <v>155</v>
      </c>
      <c r="J710" t="s">
        <v>273</v>
      </c>
      <c r="K710" t="s">
        <v>260</v>
      </c>
      <c r="L710" t="s">
        <v>227</v>
      </c>
    </row>
    <row r="711" spans="1:12" x14ac:dyDescent="0.25">
      <c r="A711" t="s">
        <v>217</v>
      </c>
      <c r="B711">
        <v>61</v>
      </c>
      <c r="C711" t="s">
        <v>18</v>
      </c>
      <c r="D711">
        <v>2</v>
      </c>
      <c r="E711" t="s">
        <v>194</v>
      </c>
      <c r="F711">
        <v>1</v>
      </c>
      <c r="G711" t="s">
        <v>372</v>
      </c>
      <c r="H711">
        <v>0</v>
      </c>
      <c r="I711" t="s">
        <v>155</v>
      </c>
      <c r="J711" t="s">
        <v>273</v>
      </c>
      <c r="K711" t="s">
        <v>260</v>
      </c>
      <c r="L711" t="s">
        <v>227</v>
      </c>
    </row>
    <row r="712" spans="1:12" x14ac:dyDescent="0.25">
      <c r="A712" t="s">
        <v>217</v>
      </c>
      <c r="B712">
        <v>62</v>
      </c>
      <c r="C712" t="s">
        <v>18</v>
      </c>
      <c r="D712">
        <v>3</v>
      </c>
      <c r="E712" t="s">
        <v>194</v>
      </c>
      <c r="G712" t="s">
        <v>372</v>
      </c>
      <c r="I712" t="s">
        <v>155</v>
      </c>
      <c r="J712" t="s">
        <v>273</v>
      </c>
      <c r="K712" t="s">
        <v>260</v>
      </c>
      <c r="L712" t="s">
        <v>227</v>
      </c>
    </row>
    <row r="713" spans="1:12" x14ac:dyDescent="0.25">
      <c r="A713" t="s">
        <v>217</v>
      </c>
      <c r="B713">
        <v>63</v>
      </c>
      <c r="C713" t="s">
        <v>21</v>
      </c>
      <c r="D713">
        <v>1</v>
      </c>
      <c r="E713" t="s">
        <v>194</v>
      </c>
      <c r="F713">
        <v>21</v>
      </c>
      <c r="G713" t="s">
        <v>372</v>
      </c>
      <c r="H713">
        <v>12</v>
      </c>
      <c r="I713" t="s">
        <v>155</v>
      </c>
      <c r="J713" t="s">
        <v>276</v>
      </c>
      <c r="K713" t="s">
        <v>263</v>
      </c>
      <c r="L713" t="s">
        <v>227</v>
      </c>
    </row>
    <row r="714" spans="1:12" x14ac:dyDescent="0.25">
      <c r="A714" t="s">
        <v>217</v>
      </c>
      <c r="B714">
        <v>64</v>
      </c>
      <c r="C714" t="s">
        <v>21</v>
      </c>
      <c r="D714">
        <v>2</v>
      </c>
      <c r="E714" t="s">
        <v>194</v>
      </c>
      <c r="F714">
        <v>1</v>
      </c>
      <c r="G714" t="s">
        <v>372</v>
      </c>
      <c r="H714">
        <v>0</v>
      </c>
      <c r="I714" t="s">
        <v>155</v>
      </c>
      <c r="J714" t="s">
        <v>276</v>
      </c>
      <c r="K714" t="s">
        <v>263</v>
      </c>
      <c r="L714" t="s">
        <v>227</v>
      </c>
    </row>
    <row r="715" spans="1:12" x14ac:dyDescent="0.25">
      <c r="A715" t="s">
        <v>217</v>
      </c>
      <c r="B715">
        <v>65</v>
      </c>
      <c r="C715" t="s">
        <v>21</v>
      </c>
      <c r="D715">
        <v>3</v>
      </c>
      <c r="E715" t="s">
        <v>194</v>
      </c>
      <c r="G715" t="s">
        <v>372</v>
      </c>
      <c r="I715" t="s">
        <v>155</v>
      </c>
      <c r="J715" t="s">
        <v>276</v>
      </c>
      <c r="K715" t="s">
        <v>263</v>
      </c>
      <c r="L715" t="s">
        <v>227</v>
      </c>
    </row>
    <row r="716" spans="1:12" x14ac:dyDescent="0.25">
      <c r="A716" t="s">
        <v>217</v>
      </c>
      <c r="B716">
        <v>66</v>
      </c>
      <c r="C716" t="s">
        <v>24</v>
      </c>
      <c r="D716">
        <v>1</v>
      </c>
      <c r="E716" t="s">
        <v>194</v>
      </c>
      <c r="F716">
        <v>21</v>
      </c>
      <c r="G716" t="s">
        <v>372</v>
      </c>
      <c r="H716">
        <v>18</v>
      </c>
      <c r="I716" t="s">
        <v>155</v>
      </c>
      <c r="J716" t="s">
        <v>279</v>
      </c>
      <c r="K716" t="s">
        <v>266</v>
      </c>
      <c r="L716" t="s">
        <v>227</v>
      </c>
    </row>
    <row r="717" spans="1:12" x14ac:dyDescent="0.25">
      <c r="A717" t="s">
        <v>217</v>
      </c>
      <c r="B717">
        <v>67</v>
      </c>
      <c r="C717" t="s">
        <v>24</v>
      </c>
      <c r="D717">
        <v>2</v>
      </c>
      <c r="E717" t="s">
        <v>194</v>
      </c>
      <c r="F717">
        <v>1</v>
      </c>
      <c r="G717" t="s">
        <v>372</v>
      </c>
      <c r="H717">
        <v>0</v>
      </c>
      <c r="I717" t="s">
        <v>155</v>
      </c>
      <c r="J717" t="s">
        <v>279</v>
      </c>
      <c r="K717" t="s">
        <v>266</v>
      </c>
      <c r="L717" t="s">
        <v>227</v>
      </c>
    </row>
    <row r="718" spans="1:12" x14ac:dyDescent="0.25">
      <c r="A718" t="s">
        <v>217</v>
      </c>
      <c r="B718">
        <v>68</v>
      </c>
      <c r="C718" t="s">
        <v>24</v>
      </c>
      <c r="D718">
        <v>3</v>
      </c>
      <c r="E718" t="s">
        <v>194</v>
      </c>
      <c r="G718" t="s">
        <v>372</v>
      </c>
      <c r="I718" t="s">
        <v>155</v>
      </c>
      <c r="J718" t="s">
        <v>279</v>
      </c>
      <c r="K718" t="s">
        <v>266</v>
      </c>
      <c r="L718" t="s">
        <v>227</v>
      </c>
    </row>
    <row r="719" spans="1:12" x14ac:dyDescent="0.25">
      <c r="A719" t="s">
        <v>217</v>
      </c>
      <c r="B719">
        <v>69</v>
      </c>
      <c r="C719" t="s">
        <v>27</v>
      </c>
      <c r="D719">
        <v>1</v>
      </c>
      <c r="E719" t="s">
        <v>194</v>
      </c>
      <c r="F719">
        <v>21</v>
      </c>
      <c r="G719" t="s">
        <v>372</v>
      </c>
      <c r="H719">
        <v>15</v>
      </c>
      <c r="I719" t="s">
        <v>155</v>
      </c>
      <c r="J719" t="s">
        <v>282</v>
      </c>
      <c r="K719" t="s">
        <v>268</v>
      </c>
      <c r="L719" t="s">
        <v>227</v>
      </c>
    </row>
    <row r="720" spans="1:12" x14ac:dyDescent="0.25">
      <c r="A720" t="s">
        <v>217</v>
      </c>
      <c r="B720">
        <v>70</v>
      </c>
      <c r="C720" t="s">
        <v>27</v>
      </c>
      <c r="D720">
        <v>2</v>
      </c>
      <c r="E720" t="s">
        <v>194</v>
      </c>
      <c r="F720">
        <v>1</v>
      </c>
      <c r="G720" t="s">
        <v>372</v>
      </c>
      <c r="H720">
        <v>0</v>
      </c>
      <c r="I720" t="s">
        <v>155</v>
      </c>
      <c r="J720" t="s">
        <v>282</v>
      </c>
      <c r="K720" t="s">
        <v>268</v>
      </c>
      <c r="L720" t="s">
        <v>227</v>
      </c>
    </row>
    <row r="721" spans="1:12" x14ac:dyDescent="0.25">
      <c r="A721" t="s">
        <v>217</v>
      </c>
      <c r="B721">
        <v>71</v>
      </c>
      <c r="C721" t="s">
        <v>27</v>
      </c>
      <c r="D721">
        <v>3</v>
      </c>
      <c r="E721" t="s">
        <v>194</v>
      </c>
      <c r="G721" t="s">
        <v>372</v>
      </c>
      <c r="I721" t="s">
        <v>155</v>
      </c>
      <c r="J721" t="s">
        <v>282</v>
      </c>
      <c r="K721" t="s">
        <v>268</v>
      </c>
      <c r="L721" t="s">
        <v>227</v>
      </c>
    </row>
    <row r="722" spans="1:12" x14ac:dyDescent="0.25">
      <c r="A722" t="s">
        <v>217</v>
      </c>
      <c r="B722">
        <v>75</v>
      </c>
      <c r="C722" t="s">
        <v>12</v>
      </c>
      <c r="D722">
        <v>1</v>
      </c>
      <c r="E722" t="s">
        <v>31</v>
      </c>
      <c r="F722">
        <v>0</v>
      </c>
      <c r="G722" t="s">
        <v>372</v>
      </c>
      <c r="H722">
        <v>1</v>
      </c>
      <c r="I722" t="s">
        <v>181</v>
      </c>
      <c r="J722" t="s">
        <v>290</v>
      </c>
      <c r="K722" t="s">
        <v>291</v>
      </c>
      <c r="L722" t="s">
        <v>228</v>
      </c>
    </row>
    <row r="723" spans="1:12" x14ac:dyDescent="0.25">
      <c r="A723" t="s">
        <v>217</v>
      </c>
      <c r="B723">
        <v>76</v>
      </c>
      <c r="C723" t="s">
        <v>12</v>
      </c>
      <c r="D723">
        <v>2</v>
      </c>
      <c r="E723" t="s">
        <v>31</v>
      </c>
      <c r="F723">
        <v>0</v>
      </c>
      <c r="G723" t="s">
        <v>372</v>
      </c>
      <c r="H723">
        <v>1</v>
      </c>
      <c r="I723" t="s">
        <v>181</v>
      </c>
      <c r="J723" t="s">
        <v>290</v>
      </c>
      <c r="K723" t="s">
        <v>291</v>
      </c>
      <c r="L723" t="s">
        <v>228</v>
      </c>
    </row>
    <row r="724" spans="1:12" x14ac:dyDescent="0.25">
      <c r="A724" t="s">
        <v>217</v>
      </c>
      <c r="B724">
        <v>77</v>
      </c>
      <c r="C724" t="s">
        <v>12</v>
      </c>
      <c r="D724">
        <v>3</v>
      </c>
      <c r="E724" t="s">
        <v>31</v>
      </c>
      <c r="G724" t="s">
        <v>372</v>
      </c>
      <c r="I724" t="s">
        <v>181</v>
      </c>
      <c r="J724" t="s">
        <v>290</v>
      </c>
      <c r="K724" t="s">
        <v>291</v>
      </c>
      <c r="L724" t="s">
        <v>228</v>
      </c>
    </row>
    <row r="725" spans="1:12" x14ac:dyDescent="0.25">
      <c r="A725" t="s">
        <v>217</v>
      </c>
      <c r="B725">
        <v>78</v>
      </c>
      <c r="C725" t="s">
        <v>18</v>
      </c>
      <c r="D725">
        <v>1</v>
      </c>
      <c r="E725" t="s">
        <v>31</v>
      </c>
      <c r="F725">
        <v>0</v>
      </c>
      <c r="G725" t="s">
        <v>372</v>
      </c>
      <c r="H725">
        <v>1</v>
      </c>
      <c r="I725" t="s">
        <v>181</v>
      </c>
      <c r="J725" t="s">
        <v>292</v>
      </c>
      <c r="K725" t="s">
        <v>293</v>
      </c>
      <c r="L725" t="s">
        <v>228</v>
      </c>
    </row>
    <row r="726" spans="1:12" x14ac:dyDescent="0.25">
      <c r="A726" t="s">
        <v>217</v>
      </c>
      <c r="B726">
        <v>79</v>
      </c>
      <c r="C726" t="s">
        <v>18</v>
      </c>
      <c r="D726">
        <v>2</v>
      </c>
      <c r="E726" t="s">
        <v>31</v>
      </c>
      <c r="F726">
        <v>0</v>
      </c>
      <c r="G726" t="s">
        <v>372</v>
      </c>
      <c r="H726">
        <v>1</v>
      </c>
      <c r="I726" t="s">
        <v>181</v>
      </c>
      <c r="J726" t="s">
        <v>292</v>
      </c>
      <c r="K726" t="s">
        <v>293</v>
      </c>
      <c r="L726" t="s">
        <v>228</v>
      </c>
    </row>
    <row r="727" spans="1:12" x14ac:dyDescent="0.25">
      <c r="A727" t="s">
        <v>217</v>
      </c>
      <c r="B727">
        <v>80</v>
      </c>
      <c r="C727" t="s">
        <v>18</v>
      </c>
      <c r="D727">
        <v>3</v>
      </c>
      <c r="E727" t="s">
        <v>31</v>
      </c>
      <c r="G727" t="s">
        <v>372</v>
      </c>
      <c r="I727" t="s">
        <v>181</v>
      </c>
      <c r="J727" t="s">
        <v>292</v>
      </c>
      <c r="K727" t="s">
        <v>293</v>
      </c>
      <c r="L727" t="s">
        <v>228</v>
      </c>
    </row>
    <row r="728" spans="1:12" x14ac:dyDescent="0.25">
      <c r="A728" t="s">
        <v>217</v>
      </c>
      <c r="B728">
        <v>81</v>
      </c>
      <c r="C728" t="s">
        <v>21</v>
      </c>
      <c r="D728">
        <v>1</v>
      </c>
      <c r="E728" t="s">
        <v>31</v>
      </c>
      <c r="F728">
        <v>0</v>
      </c>
      <c r="G728" t="s">
        <v>372</v>
      </c>
      <c r="H728">
        <v>1</v>
      </c>
      <c r="I728" t="s">
        <v>181</v>
      </c>
      <c r="J728" t="s">
        <v>294</v>
      </c>
      <c r="K728" t="s">
        <v>295</v>
      </c>
      <c r="L728" t="s">
        <v>228</v>
      </c>
    </row>
    <row r="729" spans="1:12" x14ac:dyDescent="0.25">
      <c r="A729" t="s">
        <v>217</v>
      </c>
      <c r="B729">
        <v>82</v>
      </c>
      <c r="C729" t="s">
        <v>21</v>
      </c>
      <c r="D729">
        <v>2</v>
      </c>
      <c r="E729" t="s">
        <v>31</v>
      </c>
      <c r="F729">
        <v>0</v>
      </c>
      <c r="G729" t="s">
        <v>372</v>
      </c>
      <c r="H729">
        <v>1</v>
      </c>
      <c r="I729" t="s">
        <v>181</v>
      </c>
      <c r="J729" t="s">
        <v>294</v>
      </c>
      <c r="K729" t="s">
        <v>295</v>
      </c>
      <c r="L729" t="s">
        <v>228</v>
      </c>
    </row>
    <row r="730" spans="1:12" x14ac:dyDescent="0.25">
      <c r="A730" t="s">
        <v>217</v>
      </c>
      <c r="B730">
        <v>83</v>
      </c>
      <c r="C730" t="s">
        <v>21</v>
      </c>
      <c r="D730">
        <v>3</v>
      </c>
      <c r="E730" t="s">
        <v>31</v>
      </c>
      <c r="G730" t="s">
        <v>372</v>
      </c>
      <c r="I730" t="s">
        <v>181</v>
      </c>
      <c r="J730" t="s">
        <v>294</v>
      </c>
      <c r="K730" t="s">
        <v>295</v>
      </c>
      <c r="L730" t="s">
        <v>228</v>
      </c>
    </row>
    <row r="731" spans="1:12" x14ac:dyDescent="0.25">
      <c r="A731" t="s">
        <v>217</v>
      </c>
      <c r="B731">
        <v>84</v>
      </c>
      <c r="C731" t="s">
        <v>24</v>
      </c>
      <c r="D731">
        <v>1</v>
      </c>
      <c r="E731" t="s">
        <v>31</v>
      </c>
      <c r="F731">
        <v>1</v>
      </c>
      <c r="G731" t="s">
        <v>372</v>
      </c>
      <c r="H731">
        <v>0</v>
      </c>
      <c r="I731" t="s">
        <v>181</v>
      </c>
      <c r="J731" t="s">
        <v>296</v>
      </c>
      <c r="K731" t="s">
        <v>297</v>
      </c>
      <c r="L731" t="s">
        <v>228</v>
      </c>
    </row>
    <row r="732" spans="1:12" x14ac:dyDescent="0.25">
      <c r="A732" t="s">
        <v>217</v>
      </c>
      <c r="B732">
        <v>85</v>
      </c>
      <c r="C732" t="s">
        <v>24</v>
      </c>
      <c r="D732">
        <v>2</v>
      </c>
      <c r="E732" t="s">
        <v>31</v>
      </c>
      <c r="F732">
        <v>1</v>
      </c>
      <c r="G732" t="s">
        <v>372</v>
      </c>
      <c r="H732">
        <v>0</v>
      </c>
      <c r="I732" t="s">
        <v>181</v>
      </c>
      <c r="J732" t="s">
        <v>296</v>
      </c>
      <c r="K732" t="s">
        <v>297</v>
      </c>
      <c r="L732" t="s">
        <v>228</v>
      </c>
    </row>
    <row r="733" spans="1:12" x14ac:dyDescent="0.25">
      <c r="A733" t="s">
        <v>217</v>
      </c>
      <c r="B733">
        <v>86</v>
      </c>
      <c r="C733" t="s">
        <v>24</v>
      </c>
      <c r="D733">
        <v>3</v>
      </c>
      <c r="E733" t="s">
        <v>31</v>
      </c>
      <c r="G733" t="s">
        <v>372</v>
      </c>
      <c r="I733" t="s">
        <v>181</v>
      </c>
      <c r="J733" t="s">
        <v>296</v>
      </c>
      <c r="K733" t="s">
        <v>297</v>
      </c>
      <c r="L733" t="s">
        <v>228</v>
      </c>
    </row>
    <row r="734" spans="1:12" x14ac:dyDescent="0.25">
      <c r="A734" t="s">
        <v>217</v>
      </c>
      <c r="B734">
        <v>87</v>
      </c>
      <c r="C734" t="s">
        <v>27</v>
      </c>
      <c r="D734">
        <v>1</v>
      </c>
      <c r="E734" t="s">
        <v>31</v>
      </c>
      <c r="F734">
        <v>1</v>
      </c>
      <c r="G734" t="s">
        <v>372</v>
      </c>
      <c r="H734">
        <v>0</v>
      </c>
      <c r="I734" t="s">
        <v>181</v>
      </c>
      <c r="J734" t="s">
        <v>298</v>
      </c>
      <c r="K734" t="s">
        <v>299</v>
      </c>
      <c r="L734" t="s">
        <v>228</v>
      </c>
    </row>
    <row r="735" spans="1:12" x14ac:dyDescent="0.25">
      <c r="A735" t="s">
        <v>217</v>
      </c>
      <c r="B735">
        <v>88</v>
      </c>
      <c r="C735" t="s">
        <v>27</v>
      </c>
      <c r="D735">
        <v>2</v>
      </c>
      <c r="E735" t="s">
        <v>31</v>
      </c>
      <c r="F735">
        <v>1</v>
      </c>
      <c r="G735" t="s">
        <v>372</v>
      </c>
      <c r="H735">
        <v>0</v>
      </c>
      <c r="I735" t="s">
        <v>181</v>
      </c>
      <c r="J735" t="s">
        <v>298</v>
      </c>
      <c r="K735" t="s">
        <v>299</v>
      </c>
      <c r="L735" t="s">
        <v>228</v>
      </c>
    </row>
    <row r="736" spans="1:12" x14ac:dyDescent="0.25">
      <c r="A736" t="s">
        <v>217</v>
      </c>
      <c r="B736">
        <v>89</v>
      </c>
      <c r="C736" t="s">
        <v>27</v>
      </c>
      <c r="D736">
        <v>3</v>
      </c>
      <c r="E736" t="s">
        <v>31</v>
      </c>
      <c r="G736" t="s">
        <v>372</v>
      </c>
      <c r="I736" t="s">
        <v>181</v>
      </c>
      <c r="J736" t="s">
        <v>298</v>
      </c>
      <c r="K736" t="s">
        <v>299</v>
      </c>
      <c r="L736" t="s">
        <v>228</v>
      </c>
    </row>
    <row r="737" spans="1:12" x14ac:dyDescent="0.25">
      <c r="A737" t="s">
        <v>217</v>
      </c>
      <c r="B737">
        <v>93</v>
      </c>
      <c r="C737" t="s">
        <v>12</v>
      </c>
      <c r="D737">
        <v>1</v>
      </c>
      <c r="E737" t="s">
        <v>169</v>
      </c>
      <c r="F737">
        <v>21</v>
      </c>
      <c r="G737" t="s">
        <v>372</v>
      </c>
      <c r="H737">
        <v>11</v>
      </c>
      <c r="I737" t="s">
        <v>182</v>
      </c>
      <c r="J737" t="s">
        <v>256</v>
      </c>
      <c r="K737" t="s">
        <v>271</v>
      </c>
      <c r="L737" t="s">
        <v>228</v>
      </c>
    </row>
    <row r="738" spans="1:12" x14ac:dyDescent="0.25">
      <c r="A738" t="s">
        <v>217</v>
      </c>
      <c r="B738">
        <v>94</v>
      </c>
      <c r="C738" t="s">
        <v>12</v>
      </c>
      <c r="D738">
        <v>2</v>
      </c>
      <c r="E738" t="s">
        <v>169</v>
      </c>
      <c r="F738">
        <v>1</v>
      </c>
      <c r="G738" t="s">
        <v>372</v>
      </c>
      <c r="H738">
        <v>0</v>
      </c>
      <c r="I738" t="s">
        <v>182</v>
      </c>
      <c r="J738" t="s">
        <v>256</v>
      </c>
      <c r="K738" t="s">
        <v>271</v>
      </c>
      <c r="L738" t="s">
        <v>228</v>
      </c>
    </row>
    <row r="739" spans="1:12" x14ac:dyDescent="0.25">
      <c r="A739" t="s">
        <v>217</v>
      </c>
      <c r="B739">
        <v>95</v>
      </c>
      <c r="C739" t="s">
        <v>12</v>
      </c>
      <c r="D739">
        <v>3</v>
      </c>
      <c r="E739" t="s">
        <v>169</v>
      </c>
      <c r="G739" t="s">
        <v>372</v>
      </c>
      <c r="I739" t="s">
        <v>182</v>
      </c>
      <c r="J739" t="s">
        <v>256</v>
      </c>
      <c r="K739" t="s">
        <v>271</v>
      </c>
      <c r="L739" t="s">
        <v>228</v>
      </c>
    </row>
    <row r="740" spans="1:12" x14ac:dyDescent="0.25">
      <c r="A740" t="s">
        <v>217</v>
      </c>
      <c r="B740">
        <v>96</v>
      </c>
      <c r="C740" t="s">
        <v>18</v>
      </c>
      <c r="D740">
        <v>1</v>
      </c>
      <c r="E740" t="s">
        <v>169</v>
      </c>
      <c r="F740">
        <v>20</v>
      </c>
      <c r="G740" t="s">
        <v>372</v>
      </c>
      <c r="H740">
        <v>22</v>
      </c>
      <c r="I740" t="s">
        <v>182</v>
      </c>
      <c r="J740" t="s">
        <v>259</v>
      </c>
      <c r="K740" t="s">
        <v>274</v>
      </c>
      <c r="L740" t="s">
        <v>228</v>
      </c>
    </row>
    <row r="741" spans="1:12" x14ac:dyDescent="0.25">
      <c r="A741" t="s">
        <v>217</v>
      </c>
      <c r="B741">
        <v>97</v>
      </c>
      <c r="C741" t="s">
        <v>18</v>
      </c>
      <c r="D741">
        <v>2</v>
      </c>
      <c r="E741" t="s">
        <v>169</v>
      </c>
      <c r="F741">
        <v>0</v>
      </c>
      <c r="G741" t="s">
        <v>372</v>
      </c>
      <c r="H741">
        <v>1</v>
      </c>
      <c r="I741" t="s">
        <v>182</v>
      </c>
      <c r="J741" t="s">
        <v>259</v>
      </c>
      <c r="K741" t="s">
        <v>274</v>
      </c>
      <c r="L741" t="s">
        <v>228</v>
      </c>
    </row>
    <row r="742" spans="1:12" x14ac:dyDescent="0.25">
      <c r="A742" t="s">
        <v>217</v>
      </c>
      <c r="B742">
        <v>98</v>
      </c>
      <c r="C742" t="s">
        <v>18</v>
      </c>
      <c r="D742">
        <v>3</v>
      </c>
      <c r="E742" t="s">
        <v>169</v>
      </c>
      <c r="G742" t="s">
        <v>372</v>
      </c>
      <c r="I742" t="s">
        <v>182</v>
      </c>
      <c r="J742" t="s">
        <v>259</v>
      </c>
      <c r="K742" t="s">
        <v>274</v>
      </c>
      <c r="L742" t="s">
        <v>228</v>
      </c>
    </row>
    <row r="743" spans="1:12" x14ac:dyDescent="0.25">
      <c r="A743" t="s">
        <v>217</v>
      </c>
      <c r="B743">
        <v>99</v>
      </c>
      <c r="C743" t="s">
        <v>21</v>
      </c>
      <c r="D743">
        <v>1</v>
      </c>
      <c r="E743" t="s">
        <v>169</v>
      </c>
      <c r="F743">
        <v>12</v>
      </c>
      <c r="G743" t="s">
        <v>372</v>
      </c>
      <c r="H743">
        <v>21</v>
      </c>
      <c r="I743" t="s">
        <v>182</v>
      </c>
      <c r="J743" t="s">
        <v>262</v>
      </c>
      <c r="K743" t="s">
        <v>277</v>
      </c>
      <c r="L743" t="s">
        <v>228</v>
      </c>
    </row>
    <row r="744" spans="1:12" x14ac:dyDescent="0.25">
      <c r="A744" t="s">
        <v>217</v>
      </c>
      <c r="B744">
        <v>100</v>
      </c>
      <c r="C744" t="s">
        <v>21</v>
      </c>
      <c r="D744">
        <v>2</v>
      </c>
      <c r="E744" t="s">
        <v>169</v>
      </c>
      <c r="F744">
        <v>0</v>
      </c>
      <c r="G744" t="s">
        <v>372</v>
      </c>
      <c r="H744">
        <v>1</v>
      </c>
      <c r="I744" t="s">
        <v>182</v>
      </c>
      <c r="J744" t="s">
        <v>262</v>
      </c>
      <c r="K744" t="s">
        <v>277</v>
      </c>
      <c r="L744" t="s">
        <v>228</v>
      </c>
    </row>
    <row r="745" spans="1:12" x14ac:dyDescent="0.25">
      <c r="A745" t="s">
        <v>217</v>
      </c>
      <c r="B745">
        <v>101</v>
      </c>
      <c r="C745" t="s">
        <v>21</v>
      </c>
      <c r="D745">
        <v>3</v>
      </c>
      <c r="E745" t="s">
        <v>169</v>
      </c>
      <c r="G745" t="s">
        <v>372</v>
      </c>
      <c r="I745" t="s">
        <v>182</v>
      </c>
      <c r="J745" t="s">
        <v>262</v>
      </c>
      <c r="K745" t="s">
        <v>277</v>
      </c>
      <c r="L745" t="s">
        <v>228</v>
      </c>
    </row>
    <row r="746" spans="1:12" x14ac:dyDescent="0.25">
      <c r="A746" t="s">
        <v>217</v>
      </c>
      <c r="B746">
        <v>102</v>
      </c>
      <c r="C746" t="s">
        <v>24</v>
      </c>
      <c r="D746">
        <v>1</v>
      </c>
      <c r="E746" t="s">
        <v>169</v>
      </c>
      <c r="F746">
        <v>10</v>
      </c>
      <c r="G746" t="s">
        <v>372</v>
      </c>
      <c r="H746">
        <v>21</v>
      </c>
      <c r="I746" t="s">
        <v>182</v>
      </c>
      <c r="J746" t="s">
        <v>265</v>
      </c>
      <c r="K746" t="s">
        <v>280</v>
      </c>
      <c r="L746" t="s">
        <v>228</v>
      </c>
    </row>
    <row r="747" spans="1:12" x14ac:dyDescent="0.25">
      <c r="A747" t="s">
        <v>217</v>
      </c>
      <c r="B747">
        <v>103</v>
      </c>
      <c r="C747" t="s">
        <v>24</v>
      </c>
      <c r="D747">
        <v>2</v>
      </c>
      <c r="E747" t="s">
        <v>169</v>
      </c>
      <c r="F747">
        <v>0</v>
      </c>
      <c r="G747" t="s">
        <v>372</v>
      </c>
      <c r="H747">
        <v>1</v>
      </c>
      <c r="I747" t="s">
        <v>182</v>
      </c>
      <c r="J747" t="s">
        <v>265</v>
      </c>
      <c r="K747" t="s">
        <v>280</v>
      </c>
      <c r="L747" t="s">
        <v>228</v>
      </c>
    </row>
    <row r="748" spans="1:12" x14ac:dyDescent="0.25">
      <c r="A748" t="s">
        <v>217</v>
      </c>
      <c r="B748">
        <v>104</v>
      </c>
      <c r="C748" t="s">
        <v>24</v>
      </c>
      <c r="D748">
        <v>3</v>
      </c>
      <c r="E748" t="s">
        <v>169</v>
      </c>
      <c r="G748" t="s">
        <v>372</v>
      </c>
      <c r="I748" t="s">
        <v>182</v>
      </c>
      <c r="J748" t="s">
        <v>265</v>
      </c>
      <c r="K748" t="s">
        <v>280</v>
      </c>
      <c r="L748" t="s">
        <v>228</v>
      </c>
    </row>
    <row r="749" spans="1:12" x14ac:dyDescent="0.25">
      <c r="A749" t="s">
        <v>217</v>
      </c>
      <c r="B749">
        <v>105</v>
      </c>
      <c r="C749" t="s">
        <v>27</v>
      </c>
      <c r="D749">
        <v>1</v>
      </c>
      <c r="E749" t="s">
        <v>169</v>
      </c>
      <c r="F749">
        <v>17</v>
      </c>
      <c r="G749" t="s">
        <v>372</v>
      </c>
      <c r="H749">
        <v>21</v>
      </c>
      <c r="I749" t="s">
        <v>182</v>
      </c>
      <c r="J749" t="s">
        <v>269</v>
      </c>
      <c r="K749" t="s">
        <v>283</v>
      </c>
      <c r="L749" t="s">
        <v>228</v>
      </c>
    </row>
    <row r="750" spans="1:12" x14ac:dyDescent="0.25">
      <c r="A750" t="s">
        <v>217</v>
      </c>
      <c r="B750">
        <v>106</v>
      </c>
      <c r="C750" t="s">
        <v>27</v>
      </c>
      <c r="D750">
        <v>2</v>
      </c>
      <c r="E750" t="s">
        <v>169</v>
      </c>
      <c r="F750">
        <v>0</v>
      </c>
      <c r="G750" t="s">
        <v>372</v>
      </c>
      <c r="H750">
        <v>1</v>
      </c>
      <c r="I750" t="s">
        <v>182</v>
      </c>
      <c r="J750" t="s">
        <v>269</v>
      </c>
      <c r="K750" t="s">
        <v>283</v>
      </c>
      <c r="L750" t="s">
        <v>228</v>
      </c>
    </row>
    <row r="751" spans="1:12" x14ac:dyDescent="0.25">
      <c r="A751" t="s">
        <v>217</v>
      </c>
      <c r="B751">
        <v>107</v>
      </c>
      <c r="C751" t="s">
        <v>27</v>
      </c>
      <c r="D751">
        <v>3</v>
      </c>
      <c r="E751" t="s">
        <v>169</v>
      </c>
      <c r="G751" t="s">
        <v>372</v>
      </c>
      <c r="I751" t="s">
        <v>182</v>
      </c>
      <c r="J751" t="s">
        <v>269</v>
      </c>
      <c r="K751" t="s">
        <v>283</v>
      </c>
      <c r="L751" t="s">
        <v>228</v>
      </c>
    </row>
    <row r="752" spans="1:12" x14ac:dyDescent="0.25">
      <c r="A752" t="s">
        <v>217</v>
      </c>
      <c r="B752">
        <v>111</v>
      </c>
      <c r="C752" t="s">
        <v>12</v>
      </c>
      <c r="D752">
        <v>1</v>
      </c>
      <c r="E752" t="s">
        <v>95</v>
      </c>
      <c r="F752">
        <v>21</v>
      </c>
      <c r="G752" t="s">
        <v>372</v>
      </c>
      <c r="H752">
        <v>14</v>
      </c>
      <c r="I752" t="s">
        <v>96</v>
      </c>
      <c r="J752" t="s">
        <v>285</v>
      </c>
      <c r="K752" t="s">
        <v>231</v>
      </c>
      <c r="L752" t="s">
        <v>219</v>
      </c>
    </row>
    <row r="753" spans="1:12" x14ac:dyDescent="0.25">
      <c r="A753" t="s">
        <v>217</v>
      </c>
      <c r="B753">
        <v>112</v>
      </c>
      <c r="C753" t="s">
        <v>12</v>
      </c>
      <c r="D753">
        <v>2</v>
      </c>
      <c r="E753" t="s">
        <v>95</v>
      </c>
      <c r="F753">
        <v>1</v>
      </c>
      <c r="G753" t="s">
        <v>372</v>
      </c>
      <c r="H753">
        <v>0</v>
      </c>
      <c r="I753" t="s">
        <v>96</v>
      </c>
      <c r="J753" t="s">
        <v>285</v>
      </c>
      <c r="K753" t="s">
        <v>231</v>
      </c>
      <c r="L753" t="s">
        <v>219</v>
      </c>
    </row>
    <row r="754" spans="1:12" x14ac:dyDescent="0.25">
      <c r="A754" t="s">
        <v>217</v>
      </c>
      <c r="B754">
        <v>113</v>
      </c>
      <c r="C754" t="s">
        <v>12</v>
      </c>
      <c r="D754">
        <v>3</v>
      </c>
      <c r="E754" t="s">
        <v>95</v>
      </c>
      <c r="G754" t="s">
        <v>372</v>
      </c>
      <c r="I754" t="s">
        <v>96</v>
      </c>
      <c r="J754" t="s">
        <v>285</v>
      </c>
      <c r="K754" t="s">
        <v>231</v>
      </c>
      <c r="L754" t="s">
        <v>219</v>
      </c>
    </row>
    <row r="755" spans="1:12" x14ac:dyDescent="0.25">
      <c r="A755" t="s">
        <v>217</v>
      </c>
      <c r="B755">
        <v>114</v>
      </c>
      <c r="C755" t="s">
        <v>18</v>
      </c>
      <c r="D755">
        <v>1</v>
      </c>
      <c r="E755" t="s">
        <v>95</v>
      </c>
      <c r="F755">
        <v>18</v>
      </c>
      <c r="G755" t="s">
        <v>372</v>
      </c>
      <c r="H755">
        <v>21</v>
      </c>
      <c r="I755" t="s">
        <v>96</v>
      </c>
      <c r="J755" t="s">
        <v>286</v>
      </c>
      <c r="K755" t="s">
        <v>236</v>
      </c>
      <c r="L755" t="s">
        <v>219</v>
      </c>
    </row>
    <row r="756" spans="1:12" x14ac:dyDescent="0.25">
      <c r="A756" t="s">
        <v>217</v>
      </c>
      <c r="B756">
        <v>115</v>
      </c>
      <c r="C756" t="s">
        <v>18</v>
      </c>
      <c r="D756">
        <v>2</v>
      </c>
      <c r="E756" t="s">
        <v>95</v>
      </c>
      <c r="F756">
        <v>0</v>
      </c>
      <c r="G756" t="s">
        <v>372</v>
      </c>
      <c r="H756">
        <v>1</v>
      </c>
      <c r="I756" t="s">
        <v>96</v>
      </c>
      <c r="J756" t="s">
        <v>286</v>
      </c>
      <c r="K756" t="s">
        <v>236</v>
      </c>
      <c r="L756" t="s">
        <v>219</v>
      </c>
    </row>
    <row r="757" spans="1:12" x14ac:dyDescent="0.25">
      <c r="A757" t="s">
        <v>217</v>
      </c>
      <c r="B757">
        <v>116</v>
      </c>
      <c r="C757" t="s">
        <v>18</v>
      </c>
      <c r="D757">
        <v>3</v>
      </c>
      <c r="E757" t="s">
        <v>95</v>
      </c>
      <c r="G757" t="s">
        <v>372</v>
      </c>
      <c r="I757" t="s">
        <v>96</v>
      </c>
      <c r="J757" t="s">
        <v>286</v>
      </c>
      <c r="K757" t="s">
        <v>236</v>
      </c>
      <c r="L757" t="s">
        <v>219</v>
      </c>
    </row>
    <row r="758" spans="1:12" x14ac:dyDescent="0.25">
      <c r="A758" t="s">
        <v>217</v>
      </c>
      <c r="B758">
        <v>117</v>
      </c>
      <c r="C758" t="s">
        <v>21</v>
      </c>
      <c r="D758">
        <v>1</v>
      </c>
      <c r="E758" t="s">
        <v>95</v>
      </c>
      <c r="F758">
        <v>21</v>
      </c>
      <c r="G758" t="s">
        <v>372</v>
      </c>
      <c r="H758">
        <v>14</v>
      </c>
      <c r="I758" t="s">
        <v>96</v>
      </c>
      <c r="J758" t="s">
        <v>287</v>
      </c>
      <c r="K758" t="s">
        <v>241</v>
      </c>
      <c r="L758" t="s">
        <v>219</v>
      </c>
    </row>
    <row r="759" spans="1:12" x14ac:dyDescent="0.25">
      <c r="A759" t="s">
        <v>217</v>
      </c>
      <c r="B759">
        <v>118</v>
      </c>
      <c r="C759" t="s">
        <v>21</v>
      </c>
      <c r="D759">
        <v>2</v>
      </c>
      <c r="E759" t="s">
        <v>95</v>
      </c>
      <c r="F759">
        <v>1</v>
      </c>
      <c r="G759" t="s">
        <v>372</v>
      </c>
      <c r="H759">
        <v>0</v>
      </c>
      <c r="I759" t="s">
        <v>96</v>
      </c>
      <c r="J759" t="s">
        <v>287</v>
      </c>
      <c r="K759" t="s">
        <v>241</v>
      </c>
      <c r="L759" t="s">
        <v>219</v>
      </c>
    </row>
    <row r="760" spans="1:12" x14ac:dyDescent="0.25">
      <c r="A760" t="s">
        <v>217</v>
      </c>
      <c r="B760">
        <v>119</v>
      </c>
      <c r="C760" t="s">
        <v>21</v>
      </c>
      <c r="D760">
        <v>3</v>
      </c>
      <c r="E760" t="s">
        <v>95</v>
      </c>
      <c r="G760" t="s">
        <v>372</v>
      </c>
      <c r="I760" t="s">
        <v>96</v>
      </c>
      <c r="J760" t="s">
        <v>287</v>
      </c>
      <c r="K760" t="s">
        <v>241</v>
      </c>
      <c r="L760" t="s">
        <v>219</v>
      </c>
    </row>
    <row r="761" spans="1:12" x14ac:dyDescent="0.25">
      <c r="A761" t="s">
        <v>217</v>
      </c>
      <c r="B761">
        <v>120</v>
      </c>
      <c r="C761" t="s">
        <v>24</v>
      </c>
      <c r="D761">
        <v>1</v>
      </c>
      <c r="E761" t="s">
        <v>95</v>
      </c>
      <c r="F761">
        <v>21</v>
      </c>
      <c r="G761" t="s">
        <v>372</v>
      </c>
      <c r="H761">
        <v>18</v>
      </c>
      <c r="I761" t="s">
        <v>96</v>
      </c>
      <c r="J761" t="s">
        <v>288</v>
      </c>
      <c r="K761" t="s">
        <v>246</v>
      </c>
      <c r="L761" t="s">
        <v>219</v>
      </c>
    </row>
    <row r="762" spans="1:12" x14ac:dyDescent="0.25">
      <c r="A762" t="s">
        <v>217</v>
      </c>
      <c r="B762">
        <v>121</v>
      </c>
      <c r="C762" t="s">
        <v>24</v>
      </c>
      <c r="D762">
        <v>2</v>
      </c>
      <c r="E762" t="s">
        <v>95</v>
      </c>
      <c r="F762">
        <v>1</v>
      </c>
      <c r="G762" t="s">
        <v>372</v>
      </c>
      <c r="H762">
        <v>0</v>
      </c>
      <c r="I762" t="s">
        <v>96</v>
      </c>
      <c r="J762" t="s">
        <v>288</v>
      </c>
      <c r="K762" t="s">
        <v>246</v>
      </c>
      <c r="L762" t="s">
        <v>219</v>
      </c>
    </row>
    <row r="763" spans="1:12" x14ac:dyDescent="0.25">
      <c r="A763" t="s">
        <v>217</v>
      </c>
      <c r="B763">
        <v>122</v>
      </c>
      <c r="C763" t="s">
        <v>24</v>
      </c>
      <c r="D763">
        <v>3</v>
      </c>
      <c r="E763" t="s">
        <v>95</v>
      </c>
      <c r="G763" t="s">
        <v>372</v>
      </c>
      <c r="I763" t="s">
        <v>96</v>
      </c>
      <c r="J763" t="s">
        <v>288</v>
      </c>
      <c r="K763" t="s">
        <v>246</v>
      </c>
      <c r="L763" t="s">
        <v>219</v>
      </c>
    </row>
    <row r="764" spans="1:12" x14ac:dyDescent="0.25">
      <c r="A764" t="s">
        <v>217</v>
      </c>
      <c r="B764">
        <v>123</v>
      </c>
      <c r="C764" t="s">
        <v>27</v>
      </c>
      <c r="D764">
        <v>1</v>
      </c>
      <c r="E764" t="s">
        <v>95</v>
      </c>
      <c r="F764">
        <v>21</v>
      </c>
      <c r="G764" t="s">
        <v>372</v>
      </c>
      <c r="H764">
        <v>13</v>
      </c>
      <c r="I764" t="s">
        <v>96</v>
      </c>
      <c r="J764" t="s">
        <v>289</v>
      </c>
      <c r="K764" t="s">
        <v>251</v>
      </c>
      <c r="L764" t="s">
        <v>219</v>
      </c>
    </row>
    <row r="765" spans="1:12" x14ac:dyDescent="0.25">
      <c r="A765" t="s">
        <v>217</v>
      </c>
      <c r="B765">
        <v>124</v>
      </c>
      <c r="C765" t="s">
        <v>27</v>
      </c>
      <c r="D765">
        <v>2</v>
      </c>
      <c r="E765" t="s">
        <v>95</v>
      </c>
      <c r="F765">
        <v>1</v>
      </c>
      <c r="G765" t="s">
        <v>372</v>
      </c>
      <c r="H765">
        <v>0</v>
      </c>
      <c r="I765" t="s">
        <v>96</v>
      </c>
      <c r="J765" t="s">
        <v>289</v>
      </c>
      <c r="K765" t="s">
        <v>251</v>
      </c>
      <c r="L765" t="s">
        <v>219</v>
      </c>
    </row>
    <row r="766" spans="1:12" x14ac:dyDescent="0.25">
      <c r="A766" t="s">
        <v>217</v>
      </c>
      <c r="B766">
        <v>125</v>
      </c>
      <c r="C766" t="s">
        <v>27</v>
      </c>
      <c r="D766">
        <v>3</v>
      </c>
      <c r="E766" t="s">
        <v>95</v>
      </c>
      <c r="G766" t="s">
        <v>372</v>
      </c>
      <c r="I766" t="s">
        <v>96</v>
      </c>
      <c r="J766" t="s">
        <v>289</v>
      </c>
      <c r="K766" t="s">
        <v>251</v>
      </c>
      <c r="L766" t="s">
        <v>219</v>
      </c>
    </row>
    <row r="767" spans="1:12" x14ac:dyDescent="0.25">
      <c r="A767" t="s">
        <v>217</v>
      </c>
      <c r="B767">
        <v>129</v>
      </c>
      <c r="C767" t="s">
        <v>12</v>
      </c>
      <c r="D767">
        <v>1</v>
      </c>
      <c r="E767" t="s">
        <v>14</v>
      </c>
      <c r="F767">
        <v>-1</v>
      </c>
      <c r="G767" t="s">
        <v>372</v>
      </c>
      <c r="H767">
        <v>2</v>
      </c>
      <c r="I767" t="s">
        <v>57</v>
      </c>
      <c r="J767" t="s">
        <v>300</v>
      </c>
      <c r="K767" t="s">
        <v>301</v>
      </c>
      <c r="L767" t="s">
        <v>219</v>
      </c>
    </row>
    <row r="768" spans="1:12" x14ac:dyDescent="0.25">
      <c r="A768" t="s">
        <v>217</v>
      </c>
      <c r="B768">
        <v>130</v>
      </c>
      <c r="C768" t="s">
        <v>12</v>
      </c>
      <c r="D768">
        <v>2</v>
      </c>
      <c r="E768" t="s">
        <v>14</v>
      </c>
      <c r="F768">
        <v>0</v>
      </c>
      <c r="G768" t="s">
        <v>372</v>
      </c>
      <c r="H768">
        <v>1</v>
      </c>
      <c r="I768" t="s">
        <v>57</v>
      </c>
      <c r="J768" t="s">
        <v>300</v>
      </c>
      <c r="K768" t="s">
        <v>301</v>
      </c>
      <c r="L768" t="s">
        <v>219</v>
      </c>
    </row>
    <row r="769" spans="1:12" x14ac:dyDescent="0.25">
      <c r="A769" t="s">
        <v>217</v>
      </c>
      <c r="B769">
        <v>131</v>
      </c>
      <c r="C769" t="s">
        <v>12</v>
      </c>
      <c r="D769">
        <v>3</v>
      </c>
      <c r="E769" t="s">
        <v>14</v>
      </c>
      <c r="G769" t="s">
        <v>372</v>
      </c>
      <c r="I769" t="s">
        <v>57</v>
      </c>
      <c r="J769" t="s">
        <v>300</v>
      </c>
      <c r="K769" t="s">
        <v>301</v>
      </c>
      <c r="L769" t="s">
        <v>219</v>
      </c>
    </row>
    <row r="770" spans="1:12" x14ac:dyDescent="0.25">
      <c r="A770" t="s">
        <v>217</v>
      </c>
      <c r="B770">
        <v>132</v>
      </c>
      <c r="C770" t="s">
        <v>18</v>
      </c>
      <c r="D770">
        <v>1</v>
      </c>
      <c r="E770" t="s">
        <v>14</v>
      </c>
      <c r="F770">
        <v>-1</v>
      </c>
      <c r="G770" t="s">
        <v>372</v>
      </c>
      <c r="H770">
        <v>2</v>
      </c>
      <c r="I770" t="s">
        <v>57</v>
      </c>
      <c r="J770" t="s">
        <v>302</v>
      </c>
      <c r="K770" t="s">
        <v>303</v>
      </c>
      <c r="L770" t="s">
        <v>219</v>
      </c>
    </row>
    <row r="771" spans="1:12" x14ac:dyDescent="0.25">
      <c r="A771" t="s">
        <v>217</v>
      </c>
      <c r="B771">
        <v>133</v>
      </c>
      <c r="C771" t="s">
        <v>18</v>
      </c>
      <c r="D771">
        <v>2</v>
      </c>
      <c r="E771" t="s">
        <v>14</v>
      </c>
      <c r="F771">
        <v>0</v>
      </c>
      <c r="G771" t="s">
        <v>372</v>
      </c>
      <c r="H771">
        <v>1</v>
      </c>
      <c r="I771" t="s">
        <v>57</v>
      </c>
      <c r="J771" t="s">
        <v>302</v>
      </c>
      <c r="K771" t="s">
        <v>303</v>
      </c>
      <c r="L771" t="s">
        <v>219</v>
      </c>
    </row>
    <row r="772" spans="1:12" x14ac:dyDescent="0.25">
      <c r="A772" t="s">
        <v>217</v>
      </c>
      <c r="B772">
        <v>134</v>
      </c>
      <c r="C772" t="s">
        <v>18</v>
      </c>
      <c r="D772">
        <v>3</v>
      </c>
      <c r="E772" t="s">
        <v>14</v>
      </c>
      <c r="G772" t="s">
        <v>372</v>
      </c>
      <c r="I772" t="s">
        <v>57</v>
      </c>
      <c r="J772" t="s">
        <v>302</v>
      </c>
      <c r="K772" t="s">
        <v>303</v>
      </c>
      <c r="L772" t="s">
        <v>219</v>
      </c>
    </row>
    <row r="773" spans="1:12" x14ac:dyDescent="0.25">
      <c r="A773" t="s">
        <v>217</v>
      </c>
      <c r="B773">
        <v>135</v>
      </c>
      <c r="C773" t="s">
        <v>21</v>
      </c>
      <c r="D773">
        <v>1</v>
      </c>
      <c r="E773" t="s">
        <v>14</v>
      </c>
      <c r="F773">
        <v>-1</v>
      </c>
      <c r="G773" t="s">
        <v>372</v>
      </c>
      <c r="H773">
        <v>2</v>
      </c>
      <c r="I773" t="s">
        <v>57</v>
      </c>
      <c r="J773" t="s">
        <v>304</v>
      </c>
      <c r="K773" t="s">
        <v>305</v>
      </c>
      <c r="L773" t="s">
        <v>219</v>
      </c>
    </row>
    <row r="774" spans="1:12" x14ac:dyDescent="0.25">
      <c r="A774" t="s">
        <v>217</v>
      </c>
      <c r="B774">
        <v>136</v>
      </c>
      <c r="C774" t="s">
        <v>21</v>
      </c>
      <c r="D774">
        <v>2</v>
      </c>
      <c r="E774" t="s">
        <v>14</v>
      </c>
      <c r="F774">
        <v>0</v>
      </c>
      <c r="G774" t="s">
        <v>372</v>
      </c>
      <c r="H774">
        <v>1</v>
      </c>
      <c r="I774" t="s">
        <v>57</v>
      </c>
      <c r="J774" t="s">
        <v>304</v>
      </c>
      <c r="K774" t="s">
        <v>305</v>
      </c>
      <c r="L774" t="s">
        <v>219</v>
      </c>
    </row>
    <row r="775" spans="1:12" x14ac:dyDescent="0.25">
      <c r="A775" t="s">
        <v>217</v>
      </c>
      <c r="B775">
        <v>137</v>
      </c>
      <c r="C775" t="s">
        <v>21</v>
      </c>
      <c r="D775">
        <v>3</v>
      </c>
      <c r="E775" t="s">
        <v>14</v>
      </c>
      <c r="G775" t="s">
        <v>372</v>
      </c>
      <c r="I775" t="s">
        <v>57</v>
      </c>
      <c r="J775" t="s">
        <v>304</v>
      </c>
      <c r="K775" t="s">
        <v>305</v>
      </c>
      <c r="L775" t="s">
        <v>219</v>
      </c>
    </row>
    <row r="776" spans="1:12" x14ac:dyDescent="0.25">
      <c r="A776" t="s">
        <v>217</v>
      </c>
      <c r="B776">
        <v>138</v>
      </c>
      <c r="C776" t="s">
        <v>24</v>
      </c>
      <c r="D776">
        <v>1</v>
      </c>
      <c r="E776" t="s">
        <v>14</v>
      </c>
      <c r="F776">
        <v>-1</v>
      </c>
      <c r="G776" t="s">
        <v>372</v>
      </c>
      <c r="H776">
        <v>2</v>
      </c>
      <c r="I776" t="s">
        <v>57</v>
      </c>
      <c r="J776" t="s">
        <v>306</v>
      </c>
      <c r="K776" t="s">
        <v>307</v>
      </c>
      <c r="L776" t="s">
        <v>219</v>
      </c>
    </row>
    <row r="777" spans="1:12" x14ac:dyDescent="0.25">
      <c r="A777" t="s">
        <v>217</v>
      </c>
      <c r="B777">
        <v>139</v>
      </c>
      <c r="C777" t="s">
        <v>24</v>
      </c>
      <c r="D777">
        <v>2</v>
      </c>
      <c r="E777" t="s">
        <v>14</v>
      </c>
      <c r="F777">
        <v>0</v>
      </c>
      <c r="G777" t="s">
        <v>372</v>
      </c>
      <c r="H777">
        <v>1</v>
      </c>
      <c r="I777" t="s">
        <v>57</v>
      </c>
      <c r="J777" t="s">
        <v>306</v>
      </c>
      <c r="K777" t="s">
        <v>307</v>
      </c>
      <c r="L777" t="s">
        <v>219</v>
      </c>
    </row>
    <row r="778" spans="1:12" x14ac:dyDescent="0.25">
      <c r="A778" t="s">
        <v>217</v>
      </c>
      <c r="B778">
        <v>140</v>
      </c>
      <c r="C778" t="s">
        <v>24</v>
      </c>
      <c r="D778">
        <v>3</v>
      </c>
      <c r="E778" t="s">
        <v>14</v>
      </c>
      <c r="G778" t="s">
        <v>372</v>
      </c>
      <c r="I778" t="s">
        <v>57</v>
      </c>
      <c r="J778" t="s">
        <v>306</v>
      </c>
      <c r="K778" t="s">
        <v>307</v>
      </c>
      <c r="L778" t="s">
        <v>219</v>
      </c>
    </row>
    <row r="779" spans="1:12" x14ac:dyDescent="0.25">
      <c r="A779" t="s">
        <v>217</v>
      </c>
      <c r="B779">
        <v>141</v>
      </c>
      <c r="C779" t="s">
        <v>27</v>
      </c>
      <c r="D779">
        <v>1</v>
      </c>
      <c r="E779" t="s">
        <v>14</v>
      </c>
      <c r="F779">
        <v>-1</v>
      </c>
      <c r="G779" t="s">
        <v>372</v>
      </c>
      <c r="H779">
        <v>2</v>
      </c>
      <c r="I779" t="s">
        <v>57</v>
      </c>
      <c r="J779" t="s">
        <v>308</v>
      </c>
      <c r="K779" t="s">
        <v>309</v>
      </c>
      <c r="L779" t="s">
        <v>219</v>
      </c>
    </row>
    <row r="780" spans="1:12" x14ac:dyDescent="0.25">
      <c r="A780" t="s">
        <v>217</v>
      </c>
      <c r="B780">
        <v>142</v>
      </c>
      <c r="C780" t="s">
        <v>27</v>
      </c>
      <c r="D780">
        <v>2</v>
      </c>
      <c r="E780" t="s">
        <v>14</v>
      </c>
      <c r="F780">
        <v>0</v>
      </c>
      <c r="G780" t="s">
        <v>372</v>
      </c>
      <c r="H780">
        <v>1</v>
      </c>
      <c r="I780" t="s">
        <v>57</v>
      </c>
      <c r="J780" t="s">
        <v>308</v>
      </c>
      <c r="K780" t="s">
        <v>309</v>
      </c>
      <c r="L780" t="s">
        <v>219</v>
      </c>
    </row>
    <row r="781" spans="1:12" x14ac:dyDescent="0.25">
      <c r="A781" t="s">
        <v>217</v>
      </c>
      <c r="B781">
        <v>143</v>
      </c>
      <c r="C781" t="s">
        <v>27</v>
      </c>
      <c r="D781">
        <v>3</v>
      </c>
      <c r="E781" t="s">
        <v>14</v>
      </c>
      <c r="G781" t="s">
        <v>372</v>
      </c>
      <c r="I781" t="s">
        <v>57</v>
      </c>
      <c r="J781" t="s">
        <v>308</v>
      </c>
      <c r="K781" t="s">
        <v>309</v>
      </c>
      <c r="L781" t="s">
        <v>219</v>
      </c>
    </row>
    <row r="782" spans="1:12" x14ac:dyDescent="0.25">
      <c r="A782" t="s">
        <v>217</v>
      </c>
      <c r="B782">
        <v>147</v>
      </c>
      <c r="C782" t="s">
        <v>12</v>
      </c>
      <c r="D782">
        <v>1</v>
      </c>
      <c r="E782" t="s">
        <v>82</v>
      </c>
      <c r="F782">
        <v>21</v>
      </c>
      <c r="G782" t="s">
        <v>372</v>
      </c>
      <c r="H782">
        <v>16</v>
      </c>
      <c r="I782" t="s">
        <v>56</v>
      </c>
      <c r="J782" t="s">
        <v>316</v>
      </c>
      <c r="K782" t="s">
        <v>319</v>
      </c>
      <c r="L782" t="s">
        <v>220</v>
      </c>
    </row>
    <row r="783" spans="1:12" x14ac:dyDescent="0.25">
      <c r="A783" t="s">
        <v>217</v>
      </c>
      <c r="B783">
        <v>148</v>
      </c>
      <c r="C783" t="s">
        <v>12</v>
      </c>
      <c r="D783">
        <v>2</v>
      </c>
      <c r="E783" t="s">
        <v>82</v>
      </c>
      <c r="F783">
        <v>1</v>
      </c>
      <c r="G783" t="s">
        <v>372</v>
      </c>
      <c r="H783">
        <v>0</v>
      </c>
      <c r="I783" t="s">
        <v>56</v>
      </c>
      <c r="J783" t="s">
        <v>316</v>
      </c>
      <c r="K783" t="s">
        <v>319</v>
      </c>
      <c r="L783" t="s">
        <v>220</v>
      </c>
    </row>
    <row r="784" spans="1:12" x14ac:dyDescent="0.25">
      <c r="A784" t="s">
        <v>217</v>
      </c>
      <c r="B784">
        <v>149</v>
      </c>
      <c r="C784" t="s">
        <v>12</v>
      </c>
      <c r="D784">
        <v>3</v>
      </c>
      <c r="E784" t="s">
        <v>82</v>
      </c>
      <c r="G784" t="s">
        <v>372</v>
      </c>
      <c r="I784" t="s">
        <v>56</v>
      </c>
      <c r="J784" t="s">
        <v>316</v>
      </c>
      <c r="K784" t="s">
        <v>319</v>
      </c>
      <c r="L784" t="s">
        <v>220</v>
      </c>
    </row>
    <row r="785" spans="1:12" x14ac:dyDescent="0.25">
      <c r="A785" t="s">
        <v>217</v>
      </c>
      <c r="B785">
        <v>150</v>
      </c>
      <c r="C785" t="s">
        <v>18</v>
      </c>
      <c r="D785">
        <v>1</v>
      </c>
      <c r="E785" t="s">
        <v>82</v>
      </c>
      <c r="F785">
        <v>15</v>
      </c>
      <c r="G785" t="s">
        <v>372</v>
      </c>
      <c r="H785">
        <v>21</v>
      </c>
      <c r="I785" t="s">
        <v>56</v>
      </c>
      <c r="J785" t="s">
        <v>321</v>
      </c>
      <c r="K785" t="s">
        <v>323</v>
      </c>
      <c r="L785" t="s">
        <v>220</v>
      </c>
    </row>
    <row r="786" spans="1:12" x14ac:dyDescent="0.25">
      <c r="A786" t="s">
        <v>217</v>
      </c>
      <c r="B786">
        <v>151</v>
      </c>
      <c r="C786" t="s">
        <v>18</v>
      </c>
      <c r="D786">
        <v>2</v>
      </c>
      <c r="E786" t="s">
        <v>82</v>
      </c>
      <c r="F786">
        <v>1</v>
      </c>
      <c r="G786" t="s">
        <v>372</v>
      </c>
      <c r="H786">
        <v>0</v>
      </c>
      <c r="I786" t="s">
        <v>56</v>
      </c>
      <c r="J786" t="s">
        <v>321</v>
      </c>
      <c r="K786" t="s">
        <v>323</v>
      </c>
      <c r="L786" t="s">
        <v>220</v>
      </c>
    </row>
    <row r="787" spans="1:12" x14ac:dyDescent="0.25">
      <c r="A787" t="s">
        <v>217</v>
      </c>
      <c r="B787">
        <v>152</v>
      </c>
      <c r="C787" t="s">
        <v>18</v>
      </c>
      <c r="D787">
        <v>3</v>
      </c>
      <c r="E787" t="s">
        <v>82</v>
      </c>
      <c r="G787" t="s">
        <v>372</v>
      </c>
      <c r="I787" t="s">
        <v>56</v>
      </c>
      <c r="J787" t="s">
        <v>321</v>
      </c>
      <c r="K787" t="s">
        <v>323</v>
      </c>
      <c r="L787" t="s">
        <v>220</v>
      </c>
    </row>
    <row r="788" spans="1:12" x14ac:dyDescent="0.25">
      <c r="A788" t="s">
        <v>217</v>
      </c>
      <c r="B788">
        <v>153</v>
      </c>
      <c r="C788" t="s">
        <v>21</v>
      </c>
      <c r="D788">
        <v>1</v>
      </c>
      <c r="E788" t="s">
        <v>82</v>
      </c>
      <c r="F788">
        <v>21</v>
      </c>
      <c r="G788" t="s">
        <v>372</v>
      </c>
      <c r="H788">
        <v>9</v>
      </c>
      <c r="I788" t="s">
        <v>56</v>
      </c>
      <c r="J788" t="s">
        <v>324</v>
      </c>
      <c r="K788" t="s">
        <v>325</v>
      </c>
      <c r="L788" t="s">
        <v>220</v>
      </c>
    </row>
    <row r="789" spans="1:12" x14ac:dyDescent="0.25">
      <c r="A789" t="s">
        <v>217</v>
      </c>
      <c r="B789">
        <v>154</v>
      </c>
      <c r="C789" t="s">
        <v>21</v>
      </c>
      <c r="D789">
        <v>2</v>
      </c>
      <c r="E789" t="s">
        <v>82</v>
      </c>
      <c r="F789">
        <v>1</v>
      </c>
      <c r="G789" t="s">
        <v>372</v>
      </c>
      <c r="H789">
        <v>0</v>
      </c>
      <c r="I789" t="s">
        <v>56</v>
      </c>
      <c r="J789" t="s">
        <v>324</v>
      </c>
      <c r="K789" t="s">
        <v>325</v>
      </c>
      <c r="L789" t="s">
        <v>220</v>
      </c>
    </row>
    <row r="790" spans="1:12" x14ac:dyDescent="0.25">
      <c r="A790" t="s">
        <v>217</v>
      </c>
      <c r="B790">
        <v>155</v>
      </c>
      <c r="C790" t="s">
        <v>21</v>
      </c>
      <c r="D790">
        <v>3</v>
      </c>
      <c r="E790" t="s">
        <v>82</v>
      </c>
      <c r="G790" t="s">
        <v>372</v>
      </c>
      <c r="I790" t="s">
        <v>56</v>
      </c>
      <c r="J790" t="s">
        <v>324</v>
      </c>
      <c r="K790" t="s">
        <v>325</v>
      </c>
      <c r="L790" t="s">
        <v>220</v>
      </c>
    </row>
    <row r="791" spans="1:12" x14ac:dyDescent="0.25">
      <c r="A791" t="s">
        <v>217</v>
      </c>
      <c r="B791">
        <v>156</v>
      </c>
      <c r="C791" t="s">
        <v>24</v>
      </c>
      <c r="D791">
        <v>1</v>
      </c>
      <c r="E791" t="s">
        <v>82</v>
      </c>
      <c r="F791">
        <v>21</v>
      </c>
      <c r="G791" t="s">
        <v>372</v>
      </c>
      <c r="H791">
        <v>14</v>
      </c>
      <c r="I791" t="s">
        <v>56</v>
      </c>
      <c r="J791" t="s">
        <v>329</v>
      </c>
      <c r="K791" t="s">
        <v>330</v>
      </c>
      <c r="L791" t="s">
        <v>220</v>
      </c>
    </row>
    <row r="792" spans="1:12" x14ac:dyDescent="0.25">
      <c r="A792" t="s">
        <v>217</v>
      </c>
      <c r="B792">
        <v>157</v>
      </c>
      <c r="C792" t="s">
        <v>24</v>
      </c>
      <c r="D792">
        <v>2</v>
      </c>
      <c r="E792" t="s">
        <v>82</v>
      </c>
      <c r="F792">
        <v>1</v>
      </c>
      <c r="G792" t="s">
        <v>372</v>
      </c>
      <c r="H792">
        <v>0</v>
      </c>
      <c r="I792" t="s">
        <v>56</v>
      </c>
      <c r="J792" t="s">
        <v>329</v>
      </c>
      <c r="K792" t="s">
        <v>330</v>
      </c>
      <c r="L792" t="s">
        <v>220</v>
      </c>
    </row>
    <row r="793" spans="1:12" x14ac:dyDescent="0.25">
      <c r="A793" t="s">
        <v>217</v>
      </c>
      <c r="B793">
        <v>158</v>
      </c>
      <c r="C793" t="s">
        <v>24</v>
      </c>
      <c r="D793">
        <v>3</v>
      </c>
      <c r="E793" t="s">
        <v>82</v>
      </c>
      <c r="G793" t="s">
        <v>372</v>
      </c>
      <c r="I793" t="s">
        <v>56</v>
      </c>
      <c r="J793" t="s">
        <v>329</v>
      </c>
      <c r="K793" t="s">
        <v>330</v>
      </c>
      <c r="L793" t="s">
        <v>220</v>
      </c>
    </row>
    <row r="794" spans="1:12" x14ac:dyDescent="0.25">
      <c r="A794" t="s">
        <v>217</v>
      </c>
      <c r="B794">
        <v>159</v>
      </c>
      <c r="C794" t="s">
        <v>27</v>
      </c>
      <c r="D794">
        <v>1</v>
      </c>
      <c r="E794" t="s">
        <v>82</v>
      </c>
      <c r="F794">
        <v>21</v>
      </c>
      <c r="G794" t="s">
        <v>372</v>
      </c>
      <c r="H794">
        <v>14</v>
      </c>
      <c r="I794" t="s">
        <v>56</v>
      </c>
      <c r="J794" t="s">
        <v>377</v>
      </c>
      <c r="K794" t="s">
        <v>333</v>
      </c>
      <c r="L794" t="s">
        <v>220</v>
      </c>
    </row>
    <row r="795" spans="1:12" x14ac:dyDescent="0.25">
      <c r="A795" t="s">
        <v>217</v>
      </c>
      <c r="B795">
        <v>160</v>
      </c>
      <c r="C795" t="s">
        <v>27</v>
      </c>
      <c r="D795">
        <v>2</v>
      </c>
      <c r="E795" t="s">
        <v>82</v>
      </c>
      <c r="F795">
        <v>0</v>
      </c>
      <c r="G795" t="s">
        <v>372</v>
      </c>
      <c r="H795">
        <v>1</v>
      </c>
      <c r="I795" t="s">
        <v>56</v>
      </c>
      <c r="J795" t="s">
        <v>377</v>
      </c>
      <c r="K795" t="s">
        <v>333</v>
      </c>
      <c r="L795" t="s">
        <v>220</v>
      </c>
    </row>
    <row r="796" spans="1:12" x14ac:dyDescent="0.25">
      <c r="A796" t="s">
        <v>217</v>
      </c>
      <c r="B796">
        <v>161</v>
      </c>
      <c r="C796" t="s">
        <v>27</v>
      </c>
      <c r="D796">
        <v>3</v>
      </c>
      <c r="E796" t="s">
        <v>82</v>
      </c>
      <c r="G796" t="s">
        <v>372</v>
      </c>
      <c r="I796" t="s">
        <v>56</v>
      </c>
      <c r="J796" t="s">
        <v>377</v>
      </c>
      <c r="K796" t="s">
        <v>333</v>
      </c>
      <c r="L796" t="s">
        <v>220</v>
      </c>
    </row>
    <row r="797" spans="1:12" x14ac:dyDescent="0.25">
      <c r="A797" t="s">
        <v>217</v>
      </c>
      <c r="B797">
        <v>165</v>
      </c>
      <c r="C797" t="s">
        <v>12</v>
      </c>
      <c r="D797">
        <v>1</v>
      </c>
      <c r="E797" t="s">
        <v>13</v>
      </c>
      <c r="F797">
        <v>12</v>
      </c>
      <c r="G797" t="s">
        <v>372</v>
      </c>
      <c r="H797">
        <v>21</v>
      </c>
      <c r="I797" t="s">
        <v>44</v>
      </c>
      <c r="J797" t="s">
        <v>335</v>
      </c>
      <c r="K797" t="s">
        <v>317</v>
      </c>
      <c r="L797" t="s">
        <v>220</v>
      </c>
    </row>
    <row r="798" spans="1:12" x14ac:dyDescent="0.25">
      <c r="A798" t="s">
        <v>217</v>
      </c>
      <c r="B798">
        <v>166</v>
      </c>
      <c r="C798" t="s">
        <v>12</v>
      </c>
      <c r="D798">
        <v>2</v>
      </c>
      <c r="E798" t="s">
        <v>13</v>
      </c>
      <c r="F798">
        <v>0</v>
      </c>
      <c r="G798" t="s">
        <v>372</v>
      </c>
      <c r="H798">
        <v>1</v>
      </c>
      <c r="I798" t="s">
        <v>44</v>
      </c>
      <c r="J798" t="s">
        <v>335</v>
      </c>
      <c r="K798" t="s">
        <v>317</v>
      </c>
      <c r="L798" t="s">
        <v>220</v>
      </c>
    </row>
    <row r="799" spans="1:12" x14ac:dyDescent="0.25">
      <c r="A799" t="s">
        <v>217</v>
      </c>
      <c r="B799">
        <v>167</v>
      </c>
      <c r="C799" t="s">
        <v>12</v>
      </c>
      <c r="D799">
        <v>3</v>
      </c>
      <c r="E799" t="s">
        <v>13</v>
      </c>
      <c r="G799" t="s">
        <v>372</v>
      </c>
      <c r="I799" t="s">
        <v>44</v>
      </c>
      <c r="J799" t="s">
        <v>335</v>
      </c>
      <c r="K799" t="s">
        <v>317</v>
      </c>
      <c r="L799" t="s">
        <v>220</v>
      </c>
    </row>
    <row r="800" spans="1:12" x14ac:dyDescent="0.25">
      <c r="A800" t="s">
        <v>217</v>
      </c>
      <c r="B800">
        <v>168</v>
      </c>
      <c r="C800" t="s">
        <v>18</v>
      </c>
      <c r="D800">
        <v>1</v>
      </c>
      <c r="E800" t="s">
        <v>13</v>
      </c>
      <c r="F800">
        <v>21</v>
      </c>
      <c r="G800" t="s">
        <v>372</v>
      </c>
      <c r="H800">
        <v>23</v>
      </c>
      <c r="I800" t="s">
        <v>44</v>
      </c>
      <c r="J800" t="s">
        <v>337</v>
      </c>
      <c r="K800" t="s">
        <v>322</v>
      </c>
      <c r="L800" t="s">
        <v>220</v>
      </c>
    </row>
    <row r="801" spans="1:12" x14ac:dyDescent="0.25">
      <c r="A801" t="s">
        <v>217</v>
      </c>
      <c r="B801">
        <v>169</v>
      </c>
      <c r="C801" t="s">
        <v>18</v>
      </c>
      <c r="D801">
        <v>2</v>
      </c>
      <c r="E801" t="s">
        <v>13</v>
      </c>
      <c r="F801">
        <v>0</v>
      </c>
      <c r="G801" t="s">
        <v>372</v>
      </c>
      <c r="H801">
        <v>1</v>
      </c>
      <c r="I801" t="s">
        <v>44</v>
      </c>
      <c r="J801" t="s">
        <v>337</v>
      </c>
      <c r="K801" t="s">
        <v>322</v>
      </c>
      <c r="L801" t="s">
        <v>220</v>
      </c>
    </row>
    <row r="802" spans="1:12" x14ac:dyDescent="0.25">
      <c r="A802" t="s">
        <v>217</v>
      </c>
      <c r="B802">
        <v>170</v>
      </c>
      <c r="C802" t="s">
        <v>18</v>
      </c>
      <c r="D802">
        <v>3</v>
      </c>
      <c r="E802" t="s">
        <v>13</v>
      </c>
      <c r="G802" t="s">
        <v>372</v>
      </c>
      <c r="I802" t="s">
        <v>44</v>
      </c>
      <c r="J802" t="s">
        <v>337</v>
      </c>
      <c r="K802" t="s">
        <v>322</v>
      </c>
      <c r="L802" t="s">
        <v>220</v>
      </c>
    </row>
    <row r="803" spans="1:12" x14ac:dyDescent="0.25">
      <c r="A803" t="s">
        <v>217</v>
      </c>
      <c r="B803">
        <v>171</v>
      </c>
      <c r="C803" t="s">
        <v>21</v>
      </c>
      <c r="D803">
        <v>1</v>
      </c>
      <c r="E803" t="s">
        <v>13</v>
      </c>
      <c r="F803">
        <v>19</v>
      </c>
      <c r="G803" t="s">
        <v>372</v>
      </c>
      <c r="H803">
        <v>21</v>
      </c>
      <c r="I803" t="s">
        <v>44</v>
      </c>
      <c r="J803" t="s">
        <v>339</v>
      </c>
      <c r="K803" t="s">
        <v>327</v>
      </c>
      <c r="L803" t="s">
        <v>220</v>
      </c>
    </row>
    <row r="804" spans="1:12" x14ac:dyDescent="0.25">
      <c r="A804" t="s">
        <v>217</v>
      </c>
      <c r="B804">
        <v>172</v>
      </c>
      <c r="C804" t="s">
        <v>21</v>
      </c>
      <c r="D804">
        <v>2</v>
      </c>
      <c r="E804" t="s">
        <v>13</v>
      </c>
      <c r="F804">
        <v>0</v>
      </c>
      <c r="G804" t="s">
        <v>372</v>
      </c>
      <c r="H804">
        <v>1</v>
      </c>
      <c r="I804" t="s">
        <v>44</v>
      </c>
      <c r="J804" t="s">
        <v>339</v>
      </c>
      <c r="K804" t="s">
        <v>327</v>
      </c>
      <c r="L804" t="s">
        <v>220</v>
      </c>
    </row>
    <row r="805" spans="1:12" x14ac:dyDescent="0.25">
      <c r="A805" t="s">
        <v>217</v>
      </c>
      <c r="B805">
        <v>173</v>
      </c>
      <c r="C805" t="s">
        <v>21</v>
      </c>
      <c r="D805">
        <v>3</v>
      </c>
      <c r="E805" t="s">
        <v>13</v>
      </c>
      <c r="G805" t="s">
        <v>372</v>
      </c>
      <c r="I805" t="s">
        <v>44</v>
      </c>
      <c r="J805" t="s">
        <v>339</v>
      </c>
      <c r="K805" t="s">
        <v>327</v>
      </c>
      <c r="L805" t="s">
        <v>220</v>
      </c>
    </row>
    <row r="806" spans="1:12" x14ac:dyDescent="0.25">
      <c r="A806" t="s">
        <v>217</v>
      </c>
      <c r="B806">
        <v>174</v>
      </c>
      <c r="C806" t="s">
        <v>24</v>
      </c>
      <c r="D806">
        <v>1</v>
      </c>
      <c r="E806" t="s">
        <v>13</v>
      </c>
      <c r="F806">
        <v>18</v>
      </c>
      <c r="G806" t="s">
        <v>372</v>
      </c>
      <c r="H806">
        <v>21</v>
      </c>
      <c r="I806" t="s">
        <v>44</v>
      </c>
      <c r="J806" t="s">
        <v>341</v>
      </c>
      <c r="K806" t="s">
        <v>331</v>
      </c>
      <c r="L806" t="s">
        <v>220</v>
      </c>
    </row>
    <row r="807" spans="1:12" x14ac:dyDescent="0.25">
      <c r="A807" t="s">
        <v>217</v>
      </c>
      <c r="B807">
        <v>175</v>
      </c>
      <c r="C807" t="s">
        <v>24</v>
      </c>
      <c r="D807">
        <v>2</v>
      </c>
      <c r="E807" t="s">
        <v>13</v>
      </c>
      <c r="F807">
        <v>0</v>
      </c>
      <c r="G807" t="s">
        <v>372</v>
      </c>
      <c r="H807">
        <v>1</v>
      </c>
      <c r="I807" t="s">
        <v>44</v>
      </c>
      <c r="J807" t="s">
        <v>341</v>
      </c>
      <c r="K807" t="s">
        <v>331</v>
      </c>
      <c r="L807" t="s">
        <v>220</v>
      </c>
    </row>
    <row r="808" spans="1:12" x14ac:dyDescent="0.25">
      <c r="A808" t="s">
        <v>217</v>
      </c>
      <c r="B808">
        <v>176</v>
      </c>
      <c r="C808" t="s">
        <v>24</v>
      </c>
      <c r="D808">
        <v>3</v>
      </c>
      <c r="E808" t="s">
        <v>13</v>
      </c>
      <c r="G808" t="s">
        <v>372</v>
      </c>
      <c r="I808" t="s">
        <v>44</v>
      </c>
      <c r="J808" t="s">
        <v>341</v>
      </c>
      <c r="K808" t="s">
        <v>331</v>
      </c>
      <c r="L808" t="s">
        <v>220</v>
      </c>
    </row>
    <row r="809" spans="1:12" x14ac:dyDescent="0.25">
      <c r="A809" t="s">
        <v>217</v>
      </c>
      <c r="B809">
        <v>177</v>
      </c>
      <c r="C809" t="s">
        <v>27</v>
      </c>
      <c r="D809">
        <v>1</v>
      </c>
      <c r="E809" t="s">
        <v>13</v>
      </c>
      <c r="F809">
        <v>21</v>
      </c>
      <c r="G809" t="s">
        <v>372</v>
      </c>
      <c r="H809">
        <v>9</v>
      </c>
      <c r="I809" t="s">
        <v>44</v>
      </c>
      <c r="J809" t="s">
        <v>343</v>
      </c>
      <c r="K809" t="s">
        <v>334</v>
      </c>
      <c r="L809" t="s">
        <v>220</v>
      </c>
    </row>
    <row r="810" spans="1:12" x14ac:dyDescent="0.25">
      <c r="A810" t="s">
        <v>217</v>
      </c>
      <c r="B810">
        <v>178</v>
      </c>
      <c r="C810" t="s">
        <v>27</v>
      </c>
      <c r="D810">
        <v>2</v>
      </c>
      <c r="E810" t="s">
        <v>13</v>
      </c>
      <c r="F810">
        <v>1</v>
      </c>
      <c r="G810" t="s">
        <v>372</v>
      </c>
      <c r="H810">
        <v>0</v>
      </c>
      <c r="I810" t="s">
        <v>44</v>
      </c>
      <c r="J810" t="s">
        <v>343</v>
      </c>
      <c r="K810" t="s">
        <v>334</v>
      </c>
      <c r="L810" t="s">
        <v>220</v>
      </c>
    </row>
    <row r="811" spans="1:12" x14ac:dyDescent="0.25">
      <c r="A811" t="s">
        <v>217</v>
      </c>
      <c r="B811">
        <v>179</v>
      </c>
      <c r="C811" t="s">
        <v>27</v>
      </c>
      <c r="D811">
        <v>3</v>
      </c>
      <c r="E811" t="s">
        <v>13</v>
      </c>
      <c r="G811" t="s">
        <v>372</v>
      </c>
      <c r="I811" t="s">
        <v>44</v>
      </c>
      <c r="J811" t="s">
        <v>343</v>
      </c>
      <c r="K811" t="s">
        <v>334</v>
      </c>
      <c r="L811" t="s">
        <v>220</v>
      </c>
    </row>
    <row r="812" spans="1:12" x14ac:dyDescent="0.25">
      <c r="A812" t="s">
        <v>217</v>
      </c>
      <c r="B812">
        <v>183</v>
      </c>
      <c r="C812" t="s">
        <v>12</v>
      </c>
      <c r="D812">
        <v>1</v>
      </c>
      <c r="E812" t="s">
        <v>109</v>
      </c>
      <c r="F812">
        <v>21</v>
      </c>
      <c r="G812" t="s">
        <v>372</v>
      </c>
      <c r="H812">
        <v>16</v>
      </c>
      <c r="I812" t="s">
        <v>134</v>
      </c>
      <c r="J812" t="s">
        <v>346</v>
      </c>
      <c r="K812" t="s">
        <v>318</v>
      </c>
      <c r="L812" t="s">
        <v>223</v>
      </c>
    </row>
    <row r="813" spans="1:12" x14ac:dyDescent="0.25">
      <c r="A813" t="s">
        <v>217</v>
      </c>
      <c r="B813">
        <v>184</v>
      </c>
      <c r="C813" t="s">
        <v>12</v>
      </c>
      <c r="D813">
        <v>2</v>
      </c>
      <c r="E813" t="s">
        <v>109</v>
      </c>
      <c r="F813">
        <v>1</v>
      </c>
      <c r="G813" t="s">
        <v>372</v>
      </c>
      <c r="H813">
        <v>0</v>
      </c>
      <c r="I813" t="s">
        <v>134</v>
      </c>
      <c r="J813" t="s">
        <v>346</v>
      </c>
      <c r="K813" t="s">
        <v>318</v>
      </c>
      <c r="L813" t="s">
        <v>223</v>
      </c>
    </row>
    <row r="814" spans="1:12" x14ac:dyDescent="0.25">
      <c r="A814" t="s">
        <v>217</v>
      </c>
      <c r="B814">
        <v>185</v>
      </c>
      <c r="C814" t="s">
        <v>12</v>
      </c>
      <c r="D814">
        <v>3</v>
      </c>
      <c r="E814" t="s">
        <v>109</v>
      </c>
      <c r="G814" t="s">
        <v>372</v>
      </c>
      <c r="I814" t="s">
        <v>134</v>
      </c>
      <c r="J814" t="s">
        <v>346</v>
      </c>
      <c r="K814" t="s">
        <v>318</v>
      </c>
      <c r="L814" t="s">
        <v>223</v>
      </c>
    </row>
    <row r="815" spans="1:12" x14ac:dyDescent="0.25">
      <c r="A815" t="s">
        <v>217</v>
      </c>
      <c r="B815">
        <v>186</v>
      </c>
      <c r="C815" t="s">
        <v>18</v>
      </c>
      <c r="D815">
        <v>1</v>
      </c>
      <c r="E815" t="s">
        <v>109</v>
      </c>
      <c r="F815">
        <v>23</v>
      </c>
      <c r="G815" t="s">
        <v>372</v>
      </c>
      <c r="H815">
        <v>25</v>
      </c>
      <c r="I815" t="s">
        <v>134</v>
      </c>
      <c r="J815" t="s">
        <v>348</v>
      </c>
      <c r="K815" t="s">
        <v>320</v>
      </c>
      <c r="L815" t="s">
        <v>223</v>
      </c>
    </row>
    <row r="816" spans="1:12" x14ac:dyDescent="0.25">
      <c r="A816" t="s">
        <v>217</v>
      </c>
      <c r="B816">
        <v>187</v>
      </c>
      <c r="C816" t="s">
        <v>18</v>
      </c>
      <c r="D816">
        <v>2</v>
      </c>
      <c r="E816" t="s">
        <v>109</v>
      </c>
      <c r="F816">
        <v>0</v>
      </c>
      <c r="G816" t="s">
        <v>372</v>
      </c>
      <c r="H816">
        <v>1</v>
      </c>
      <c r="I816" t="s">
        <v>134</v>
      </c>
      <c r="J816" t="s">
        <v>348</v>
      </c>
      <c r="K816" t="s">
        <v>320</v>
      </c>
      <c r="L816" t="s">
        <v>223</v>
      </c>
    </row>
    <row r="817" spans="1:12" x14ac:dyDescent="0.25">
      <c r="A817" t="s">
        <v>217</v>
      </c>
      <c r="B817">
        <v>188</v>
      </c>
      <c r="C817" t="s">
        <v>18</v>
      </c>
      <c r="D817">
        <v>3</v>
      </c>
      <c r="E817" t="s">
        <v>109</v>
      </c>
      <c r="G817" t="s">
        <v>372</v>
      </c>
      <c r="I817" t="s">
        <v>134</v>
      </c>
      <c r="J817" t="s">
        <v>348</v>
      </c>
      <c r="K817" t="s">
        <v>320</v>
      </c>
      <c r="L817" t="s">
        <v>223</v>
      </c>
    </row>
    <row r="818" spans="1:12" x14ac:dyDescent="0.25">
      <c r="A818" t="s">
        <v>217</v>
      </c>
      <c r="B818">
        <v>189</v>
      </c>
      <c r="C818" t="s">
        <v>21</v>
      </c>
      <c r="D818">
        <v>1</v>
      </c>
      <c r="E818" t="s">
        <v>109</v>
      </c>
      <c r="F818">
        <v>21</v>
      </c>
      <c r="G818" t="s">
        <v>372</v>
      </c>
      <c r="H818">
        <v>11</v>
      </c>
      <c r="I818" t="s">
        <v>134</v>
      </c>
      <c r="J818" t="s">
        <v>350</v>
      </c>
      <c r="K818" t="s">
        <v>326</v>
      </c>
      <c r="L818" t="s">
        <v>223</v>
      </c>
    </row>
    <row r="819" spans="1:12" x14ac:dyDescent="0.25">
      <c r="A819" t="s">
        <v>217</v>
      </c>
      <c r="B819">
        <v>190</v>
      </c>
      <c r="C819" t="s">
        <v>21</v>
      </c>
      <c r="D819">
        <v>2</v>
      </c>
      <c r="E819" t="s">
        <v>109</v>
      </c>
      <c r="F819">
        <v>1</v>
      </c>
      <c r="G819" t="s">
        <v>372</v>
      </c>
      <c r="H819">
        <v>0</v>
      </c>
      <c r="I819" t="s">
        <v>134</v>
      </c>
      <c r="J819" t="s">
        <v>350</v>
      </c>
      <c r="K819" t="s">
        <v>326</v>
      </c>
      <c r="L819" t="s">
        <v>223</v>
      </c>
    </row>
    <row r="820" spans="1:12" x14ac:dyDescent="0.25">
      <c r="A820" t="s">
        <v>217</v>
      </c>
      <c r="B820">
        <v>191</v>
      </c>
      <c r="C820" t="s">
        <v>21</v>
      </c>
      <c r="D820">
        <v>3</v>
      </c>
      <c r="E820" t="s">
        <v>109</v>
      </c>
      <c r="G820" t="s">
        <v>372</v>
      </c>
      <c r="I820" t="s">
        <v>134</v>
      </c>
      <c r="J820" t="s">
        <v>350</v>
      </c>
      <c r="K820" t="s">
        <v>326</v>
      </c>
      <c r="L820" t="s">
        <v>223</v>
      </c>
    </row>
    <row r="821" spans="1:12" x14ac:dyDescent="0.25">
      <c r="A821" t="s">
        <v>217</v>
      </c>
      <c r="B821">
        <v>192</v>
      </c>
      <c r="C821" t="s">
        <v>24</v>
      </c>
      <c r="D821">
        <v>1</v>
      </c>
      <c r="E821" t="s">
        <v>109</v>
      </c>
      <c r="F821">
        <v>21</v>
      </c>
      <c r="G821" t="s">
        <v>372</v>
      </c>
      <c r="H821">
        <v>4</v>
      </c>
      <c r="I821" t="s">
        <v>134</v>
      </c>
      <c r="J821" t="s">
        <v>352</v>
      </c>
      <c r="K821" t="s">
        <v>328</v>
      </c>
      <c r="L821" t="s">
        <v>223</v>
      </c>
    </row>
    <row r="822" spans="1:12" x14ac:dyDescent="0.25">
      <c r="A822" t="s">
        <v>217</v>
      </c>
      <c r="B822">
        <v>193</v>
      </c>
      <c r="C822" t="s">
        <v>24</v>
      </c>
      <c r="D822">
        <v>2</v>
      </c>
      <c r="E822" t="s">
        <v>109</v>
      </c>
      <c r="F822">
        <v>1</v>
      </c>
      <c r="G822" t="s">
        <v>372</v>
      </c>
      <c r="H822">
        <v>0</v>
      </c>
      <c r="I822" t="s">
        <v>134</v>
      </c>
      <c r="J822" t="s">
        <v>352</v>
      </c>
      <c r="K822" t="s">
        <v>328</v>
      </c>
      <c r="L822" t="s">
        <v>223</v>
      </c>
    </row>
    <row r="823" spans="1:12" x14ac:dyDescent="0.25">
      <c r="A823" t="s">
        <v>217</v>
      </c>
      <c r="B823">
        <v>194</v>
      </c>
      <c r="C823" t="s">
        <v>24</v>
      </c>
      <c r="D823">
        <v>3</v>
      </c>
      <c r="E823" t="s">
        <v>109</v>
      </c>
      <c r="G823" t="s">
        <v>372</v>
      </c>
      <c r="I823" t="s">
        <v>134</v>
      </c>
      <c r="J823" t="s">
        <v>352</v>
      </c>
      <c r="K823" t="s">
        <v>328</v>
      </c>
      <c r="L823" t="s">
        <v>223</v>
      </c>
    </row>
    <row r="824" spans="1:12" x14ac:dyDescent="0.25">
      <c r="A824" t="s">
        <v>217</v>
      </c>
      <c r="B824">
        <v>195</v>
      </c>
      <c r="C824" t="s">
        <v>27</v>
      </c>
      <c r="D824">
        <v>1</v>
      </c>
      <c r="E824" t="s">
        <v>109</v>
      </c>
      <c r="F824">
        <v>1</v>
      </c>
      <c r="G824" t="s">
        <v>372</v>
      </c>
      <c r="H824">
        <v>0</v>
      </c>
      <c r="I824" t="s">
        <v>134</v>
      </c>
      <c r="J824" t="s">
        <v>353</v>
      </c>
      <c r="L824" t="s">
        <v>223</v>
      </c>
    </row>
    <row r="825" spans="1:12" x14ac:dyDescent="0.25">
      <c r="A825" t="s">
        <v>217</v>
      </c>
      <c r="B825">
        <v>196</v>
      </c>
      <c r="C825" t="s">
        <v>27</v>
      </c>
      <c r="D825">
        <v>2</v>
      </c>
      <c r="E825" t="s">
        <v>109</v>
      </c>
      <c r="F825">
        <v>1</v>
      </c>
      <c r="G825" t="s">
        <v>372</v>
      </c>
      <c r="H825">
        <v>0</v>
      </c>
      <c r="I825" t="s">
        <v>134</v>
      </c>
      <c r="J825" t="s">
        <v>353</v>
      </c>
      <c r="L825" t="s">
        <v>223</v>
      </c>
    </row>
    <row r="826" spans="1:12" x14ac:dyDescent="0.25">
      <c r="A826" t="s">
        <v>217</v>
      </c>
      <c r="B826">
        <v>197</v>
      </c>
      <c r="C826" t="s">
        <v>27</v>
      </c>
      <c r="D826">
        <v>3</v>
      </c>
      <c r="E826" t="s">
        <v>109</v>
      </c>
      <c r="G826" t="s">
        <v>372</v>
      </c>
      <c r="I826" t="s">
        <v>134</v>
      </c>
      <c r="J826" t="s">
        <v>353</v>
      </c>
      <c r="L826" t="s">
        <v>223</v>
      </c>
    </row>
    <row r="827" spans="1:12" x14ac:dyDescent="0.25">
      <c r="A827" t="s">
        <v>217</v>
      </c>
      <c r="B827">
        <v>201</v>
      </c>
      <c r="C827" t="s">
        <v>12</v>
      </c>
      <c r="D827">
        <v>1</v>
      </c>
      <c r="E827" t="s">
        <v>43</v>
      </c>
      <c r="F827">
        <v>21</v>
      </c>
      <c r="G827" t="s">
        <v>372</v>
      </c>
      <c r="H827">
        <v>19</v>
      </c>
      <c r="I827" t="s">
        <v>83</v>
      </c>
      <c r="J827" t="s">
        <v>345</v>
      </c>
      <c r="K827" t="s">
        <v>336</v>
      </c>
      <c r="L827" t="s">
        <v>223</v>
      </c>
    </row>
    <row r="828" spans="1:12" x14ac:dyDescent="0.25">
      <c r="A828" t="s">
        <v>217</v>
      </c>
      <c r="B828">
        <v>202</v>
      </c>
      <c r="C828" t="s">
        <v>12</v>
      </c>
      <c r="D828">
        <v>2</v>
      </c>
      <c r="E828" t="s">
        <v>43</v>
      </c>
      <c r="F828">
        <v>1</v>
      </c>
      <c r="G828" t="s">
        <v>372</v>
      </c>
      <c r="H828">
        <v>0</v>
      </c>
      <c r="I828" t="s">
        <v>83</v>
      </c>
      <c r="J828" t="s">
        <v>345</v>
      </c>
      <c r="K828" t="s">
        <v>336</v>
      </c>
      <c r="L828" t="s">
        <v>223</v>
      </c>
    </row>
    <row r="829" spans="1:12" x14ac:dyDescent="0.25">
      <c r="A829" t="s">
        <v>217</v>
      </c>
      <c r="B829">
        <v>203</v>
      </c>
      <c r="C829" t="s">
        <v>12</v>
      </c>
      <c r="D829">
        <v>3</v>
      </c>
      <c r="E829" t="s">
        <v>43</v>
      </c>
      <c r="G829" t="s">
        <v>372</v>
      </c>
      <c r="I829" t="s">
        <v>83</v>
      </c>
      <c r="J829" t="s">
        <v>345</v>
      </c>
      <c r="K829" t="s">
        <v>336</v>
      </c>
      <c r="L829" t="s">
        <v>223</v>
      </c>
    </row>
    <row r="830" spans="1:12" x14ac:dyDescent="0.25">
      <c r="A830" t="s">
        <v>217</v>
      </c>
      <c r="B830">
        <v>204</v>
      </c>
      <c r="C830" t="s">
        <v>18</v>
      </c>
      <c r="D830">
        <v>1</v>
      </c>
      <c r="E830" t="s">
        <v>43</v>
      </c>
      <c r="F830">
        <v>25</v>
      </c>
      <c r="G830" t="s">
        <v>372</v>
      </c>
      <c r="H830">
        <v>23</v>
      </c>
      <c r="I830" t="s">
        <v>83</v>
      </c>
      <c r="J830" t="s">
        <v>347</v>
      </c>
      <c r="K830" t="s">
        <v>338</v>
      </c>
      <c r="L830" t="s">
        <v>223</v>
      </c>
    </row>
    <row r="831" spans="1:12" x14ac:dyDescent="0.25">
      <c r="A831" t="s">
        <v>217</v>
      </c>
      <c r="B831">
        <v>205</v>
      </c>
      <c r="C831" t="s">
        <v>18</v>
      </c>
      <c r="D831">
        <v>2</v>
      </c>
      <c r="E831" t="s">
        <v>43</v>
      </c>
      <c r="F831">
        <v>1</v>
      </c>
      <c r="G831" t="s">
        <v>372</v>
      </c>
      <c r="H831">
        <v>0</v>
      </c>
      <c r="I831" t="s">
        <v>83</v>
      </c>
      <c r="J831" t="s">
        <v>347</v>
      </c>
      <c r="K831" t="s">
        <v>338</v>
      </c>
      <c r="L831" t="s">
        <v>223</v>
      </c>
    </row>
    <row r="832" spans="1:12" x14ac:dyDescent="0.25">
      <c r="A832" t="s">
        <v>217</v>
      </c>
      <c r="B832">
        <v>206</v>
      </c>
      <c r="C832" t="s">
        <v>18</v>
      </c>
      <c r="D832">
        <v>3</v>
      </c>
      <c r="E832" t="s">
        <v>43</v>
      </c>
      <c r="G832" t="s">
        <v>372</v>
      </c>
      <c r="I832" t="s">
        <v>83</v>
      </c>
      <c r="J832" t="s">
        <v>347</v>
      </c>
      <c r="K832" t="s">
        <v>338</v>
      </c>
      <c r="L832" t="s">
        <v>223</v>
      </c>
    </row>
    <row r="833" spans="1:12" x14ac:dyDescent="0.25">
      <c r="A833" t="s">
        <v>217</v>
      </c>
      <c r="B833">
        <v>207</v>
      </c>
      <c r="C833" t="s">
        <v>21</v>
      </c>
      <c r="D833">
        <v>1</v>
      </c>
      <c r="E833" t="s">
        <v>43</v>
      </c>
      <c r="F833">
        <v>21</v>
      </c>
      <c r="G833" t="s">
        <v>372</v>
      </c>
      <c r="H833">
        <v>10</v>
      </c>
      <c r="I833" t="s">
        <v>83</v>
      </c>
      <c r="J833" t="s">
        <v>349</v>
      </c>
      <c r="K833" t="s">
        <v>340</v>
      </c>
      <c r="L833" t="s">
        <v>223</v>
      </c>
    </row>
    <row r="834" spans="1:12" x14ac:dyDescent="0.25">
      <c r="A834" t="s">
        <v>217</v>
      </c>
      <c r="B834">
        <v>208</v>
      </c>
      <c r="C834" t="s">
        <v>21</v>
      </c>
      <c r="D834">
        <v>2</v>
      </c>
      <c r="E834" t="s">
        <v>43</v>
      </c>
      <c r="F834">
        <v>1</v>
      </c>
      <c r="G834" t="s">
        <v>372</v>
      </c>
      <c r="H834">
        <v>0</v>
      </c>
      <c r="I834" t="s">
        <v>83</v>
      </c>
      <c r="J834" t="s">
        <v>349</v>
      </c>
      <c r="K834" t="s">
        <v>340</v>
      </c>
      <c r="L834" t="s">
        <v>223</v>
      </c>
    </row>
    <row r="835" spans="1:12" x14ac:dyDescent="0.25">
      <c r="A835" t="s">
        <v>217</v>
      </c>
      <c r="B835">
        <v>209</v>
      </c>
      <c r="C835" t="s">
        <v>21</v>
      </c>
      <c r="D835">
        <v>3</v>
      </c>
      <c r="E835" t="s">
        <v>43</v>
      </c>
      <c r="G835" t="s">
        <v>372</v>
      </c>
      <c r="I835" t="s">
        <v>83</v>
      </c>
      <c r="J835" t="s">
        <v>349</v>
      </c>
      <c r="K835" t="s">
        <v>340</v>
      </c>
      <c r="L835" t="s">
        <v>223</v>
      </c>
    </row>
    <row r="836" spans="1:12" x14ac:dyDescent="0.25">
      <c r="A836" t="s">
        <v>217</v>
      </c>
      <c r="B836">
        <v>210</v>
      </c>
      <c r="C836" t="s">
        <v>24</v>
      </c>
      <c r="D836">
        <v>1</v>
      </c>
      <c r="E836" t="s">
        <v>43</v>
      </c>
      <c r="F836">
        <v>21</v>
      </c>
      <c r="G836" t="s">
        <v>372</v>
      </c>
      <c r="H836">
        <v>6</v>
      </c>
      <c r="I836" t="s">
        <v>83</v>
      </c>
      <c r="J836" t="s">
        <v>351</v>
      </c>
      <c r="K836" t="s">
        <v>342</v>
      </c>
      <c r="L836" t="s">
        <v>223</v>
      </c>
    </row>
    <row r="837" spans="1:12" x14ac:dyDescent="0.25">
      <c r="A837" t="s">
        <v>217</v>
      </c>
      <c r="B837">
        <v>211</v>
      </c>
      <c r="C837" t="s">
        <v>24</v>
      </c>
      <c r="D837">
        <v>2</v>
      </c>
      <c r="E837" t="s">
        <v>43</v>
      </c>
      <c r="F837">
        <v>1</v>
      </c>
      <c r="G837" t="s">
        <v>372</v>
      </c>
      <c r="H837">
        <v>0</v>
      </c>
      <c r="I837" t="s">
        <v>83</v>
      </c>
      <c r="J837" t="s">
        <v>351</v>
      </c>
      <c r="K837" t="s">
        <v>342</v>
      </c>
      <c r="L837" t="s">
        <v>223</v>
      </c>
    </row>
    <row r="838" spans="1:12" x14ac:dyDescent="0.25">
      <c r="A838" t="s">
        <v>217</v>
      </c>
      <c r="B838">
        <v>212</v>
      </c>
      <c r="C838" t="s">
        <v>24</v>
      </c>
      <c r="D838">
        <v>3</v>
      </c>
      <c r="E838" t="s">
        <v>43</v>
      </c>
      <c r="G838" t="s">
        <v>372</v>
      </c>
      <c r="I838" t="s">
        <v>83</v>
      </c>
      <c r="J838" t="s">
        <v>351</v>
      </c>
      <c r="K838" t="s">
        <v>342</v>
      </c>
      <c r="L838" t="s">
        <v>223</v>
      </c>
    </row>
    <row r="839" spans="1:12" x14ac:dyDescent="0.25">
      <c r="A839" t="s">
        <v>217</v>
      </c>
      <c r="B839">
        <v>213</v>
      </c>
      <c r="C839" t="s">
        <v>27</v>
      </c>
      <c r="D839">
        <v>1</v>
      </c>
      <c r="E839" t="s">
        <v>43</v>
      </c>
      <c r="F839">
        <v>0</v>
      </c>
      <c r="G839" t="s">
        <v>372</v>
      </c>
      <c r="H839">
        <v>1</v>
      </c>
      <c r="I839" t="s">
        <v>83</v>
      </c>
      <c r="K839" t="s">
        <v>344</v>
      </c>
      <c r="L839" t="s">
        <v>223</v>
      </c>
    </row>
    <row r="840" spans="1:12" x14ac:dyDescent="0.25">
      <c r="A840" t="s">
        <v>217</v>
      </c>
      <c r="B840">
        <v>214</v>
      </c>
      <c r="C840" t="s">
        <v>27</v>
      </c>
      <c r="D840">
        <v>2</v>
      </c>
      <c r="E840" t="s">
        <v>43</v>
      </c>
      <c r="F840">
        <v>0</v>
      </c>
      <c r="G840" t="s">
        <v>372</v>
      </c>
      <c r="H840">
        <v>1</v>
      </c>
      <c r="I840" t="s">
        <v>83</v>
      </c>
      <c r="K840" t="s">
        <v>344</v>
      </c>
      <c r="L840" t="s">
        <v>223</v>
      </c>
    </row>
    <row r="841" spans="1:12" x14ac:dyDescent="0.25">
      <c r="A841" t="s">
        <v>217</v>
      </c>
      <c r="B841">
        <v>215</v>
      </c>
      <c r="C841" t="s">
        <v>27</v>
      </c>
      <c r="D841">
        <v>3</v>
      </c>
      <c r="E841" t="s">
        <v>43</v>
      </c>
      <c r="G841" t="s">
        <v>372</v>
      </c>
      <c r="I841" t="s">
        <v>83</v>
      </c>
      <c r="K841" t="s">
        <v>344</v>
      </c>
      <c r="L841" t="s">
        <v>223</v>
      </c>
    </row>
    <row r="842" spans="1:12" x14ac:dyDescent="0.25">
      <c r="A842" t="s">
        <v>11</v>
      </c>
      <c r="B842">
        <v>3</v>
      </c>
      <c r="C842" t="s">
        <v>12</v>
      </c>
      <c r="D842">
        <v>1</v>
      </c>
      <c r="E842" t="s">
        <v>195</v>
      </c>
      <c r="F842">
        <v>19</v>
      </c>
      <c r="G842" t="s">
        <v>372</v>
      </c>
      <c r="H842">
        <v>21</v>
      </c>
      <c r="I842" t="s">
        <v>146</v>
      </c>
      <c r="J842" t="s">
        <v>230</v>
      </c>
      <c r="K842" t="s">
        <v>234</v>
      </c>
      <c r="L842" t="s">
        <v>198</v>
      </c>
    </row>
    <row r="843" spans="1:12" x14ac:dyDescent="0.25">
      <c r="A843" t="s">
        <v>11</v>
      </c>
      <c r="B843">
        <v>4</v>
      </c>
      <c r="C843" t="s">
        <v>12</v>
      </c>
      <c r="D843">
        <v>2</v>
      </c>
      <c r="E843" t="s">
        <v>195</v>
      </c>
      <c r="F843">
        <v>21</v>
      </c>
      <c r="G843" t="s">
        <v>372</v>
      </c>
      <c r="H843">
        <v>16</v>
      </c>
      <c r="I843" t="s">
        <v>146</v>
      </c>
      <c r="J843" t="s">
        <v>230</v>
      </c>
      <c r="K843" t="s">
        <v>234</v>
      </c>
      <c r="L843" t="s">
        <v>198</v>
      </c>
    </row>
    <row r="844" spans="1:12" x14ac:dyDescent="0.25">
      <c r="A844" t="s">
        <v>11</v>
      </c>
      <c r="B844">
        <v>5</v>
      </c>
      <c r="C844" t="s">
        <v>12</v>
      </c>
      <c r="D844">
        <v>3</v>
      </c>
      <c r="E844" t="s">
        <v>195</v>
      </c>
      <c r="F844">
        <v>21</v>
      </c>
      <c r="G844" t="s">
        <v>372</v>
      </c>
      <c r="H844">
        <v>23</v>
      </c>
      <c r="I844" t="s">
        <v>146</v>
      </c>
      <c r="J844" t="s">
        <v>230</v>
      </c>
      <c r="K844" t="s">
        <v>234</v>
      </c>
      <c r="L844" t="s">
        <v>198</v>
      </c>
    </row>
    <row r="845" spans="1:12" x14ac:dyDescent="0.25">
      <c r="A845" t="s">
        <v>11</v>
      </c>
      <c r="B845">
        <v>6</v>
      </c>
      <c r="C845" t="s">
        <v>18</v>
      </c>
      <c r="D845">
        <v>1</v>
      </c>
      <c r="E845" t="s">
        <v>195</v>
      </c>
      <c r="F845">
        <v>21</v>
      </c>
      <c r="G845" t="s">
        <v>372</v>
      </c>
      <c r="H845">
        <v>18</v>
      </c>
      <c r="I845" t="s">
        <v>146</v>
      </c>
      <c r="J845" t="s">
        <v>235</v>
      </c>
      <c r="K845" t="s">
        <v>239</v>
      </c>
      <c r="L845" t="s">
        <v>198</v>
      </c>
    </row>
    <row r="846" spans="1:12" x14ac:dyDescent="0.25">
      <c r="A846" t="s">
        <v>11</v>
      </c>
      <c r="B846">
        <v>7</v>
      </c>
      <c r="C846" t="s">
        <v>18</v>
      </c>
      <c r="D846">
        <v>2</v>
      </c>
      <c r="E846" t="s">
        <v>195</v>
      </c>
      <c r="F846">
        <v>19</v>
      </c>
      <c r="G846" t="s">
        <v>372</v>
      </c>
      <c r="H846">
        <v>21</v>
      </c>
      <c r="I846" t="s">
        <v>146</v>
      </c>
      <c r="J846" t="s">
        <v>235</v>
      </c>
      <c r="K846" t="s">
        <v>239</v>
      </c>
      <c r="L846" t="s">
        <v>198</v>
      </c>
    </row>
    <row r="847" spans="1:12" x14ac:dyDescent="0.25">
      <c r="A847" t="s">
        <v>11</v>
      </c>
      <c r="B847">
        <v>8</v>
      </c>
      <c r="C847" t="s">
        <v>18</v>
      </c>
      <c r="D847">
        <v>3</v>
      </c>
      <c r="E847" t="s">
        <v>195</v>
      </c>
      <c r="F847">
        <v>22</v>
      </c>
      <c r="G847" t="s">
        <v>372</v>
      </c>
      <c r="H847">
        <v>20</v>
      </c>
      <c r="I847" t="s">
        <v>146</v>
      </c>
      <c r="J847" t="s">
        <v>235</v>
      </c>
      <c r="K847" t="s">
        <v>239</v>
      </c>
      <c r="L847" t="s">
        <v>198</v>
      </c>
    </row>
    <row r="848" spans="1:12" x14ac:dyDescent="0.25">
      <c r="A848" t="s">
        <v>11</v>
      </c>
      <c r="B848">
        <v>9</v>
      </c>
      <c r="C848" t="s">
        <v>21</v>
      </c>
      <c r="D848">
        <v>1</v>
      </c>
      <c r="E848" t="s">
        <v>195</v>
      </c>
      <c r="F848">
        <v>21</v>
      </c>
      <c r="G848" t="s">
        <v>372</v>
      </c>
      <c r="H848">
        <v>16</v>
      </c>
      <c r="I848" t="s">
        <v>146</v>
      </c>
      <c r="J848" t="s">
        <v>240</v>
      </c>
      <c r="K848" t="s">
        <v>244</v>
      </c>
      <c r="L848" t="s">
        <v>198</v>
      </c>
    </row>
    <row r="849" spans="1:12" x14ac:dyDescent="0.25">
      <c r="A849" t="s">
        <v>11</v>
      </c>
      <c r="B849">
        <v>10</v>
      </c>
      <c r="C849" t="s">
        <v>21</v>
      </c>
      <c r="D849">
        <v>2</v>
      </c>
      <c r="E849" t="s">
        <v>195</v>
      </c>
      <c r="F849">
        <v>29</v>
      </c>
      <c r="G849" t="s">
        <v>372</v>
      </c>
      <c r="H849">
        <v>27</v>
      </c>
      <c r="I849" t="s">
        <v>146</v>
      </c>
      <c r="J849" t="s">
        <v>240</v>
      </c>
      <c r="K849" t="s">
        <v>244</v>
      </c>
      <c r="L849" t="s">
        <v>198</v>
      </c>
    </row>
    <row r="850" spans="1:12" x14ac:dyDescent="0.25">
      <c r="A850" t="s">
        <v>11</v>
      </c>
      <c r="B850">
        <v>11</v>
      </c>
      <c r="C850" t="s">
        <v>21</v>
      </c>
      <c r="D850">
        <v>3</v>
      </c>
      <c r="E850" t="s">
        <v>195</v>
      </c>
      <c r="G850" t="s">
        <v>372</v>
      </c>
      <c r="I850" t="s">
        <v>146</v>
      </c>
      <c r="J850" t="s">
        <v>240</v>
      </c>
      <c r="K850" t="s">
        <v>244</v>
      </c>
      <c r="L850" t="s">
        <v>198</v>
      </c>
    </row>
    <row r="851" spans="1:12" x14ac:dyDescent="0.25">
      <c r="A851" t="s">
        <v>11</v>
      </c>
      <c r="B851">
        <v>12</v>
      </c>
      <c r="C851" t="s">
        <v>24</v>
      </c>
      <c r="D851">
        <v>1</v>
      </c>
      <c r="E851" t="s">
        <v>195</v>
      </c>
      <c r="F851">
        <v>21</v>
      </c>
      <c r="G851" t="s">
        <v>372</v>
      </c>
      <c r="H851">
        <v>19</v>
      </c>
      <c r="I851" t="s">
        <v>146</v>
      </c>
      <c r="J851" t="s">
        <v>245</v>
      </c>
      <c r="K851" t="s">
        <v>249</v>
      </c>
      <c r="L851" t="s">
        <v>198</v>
      </c>
    </row>
    <row r="852" spans="1:12" x14ac:dyDescent="0.25">
      <c r="A852" t="s">
        <v>11</v>
      </c>
      <c r="B852">
        <v>13</v>
      </c>
      <c r="C852" t="s">
        <v>24</v>
      </c>
      <c r="D852">
        <v>2</v>
      </c>
      <c r="E852" t="s">
        <v>195</v>
      </c>
      <c r="F852">
        <v>21</v>
      </c>
      <c r="G852" t="s">
        <v>372</v>
      </c>
      <c r="H852">
        <v>19</v>
      </c>
      <c r="I852" t="s">
        <v>146</v>
      </c>
      <c r="J852" t="s">
        <v>245</v>
      </c>
      <c r="K852" t="s">
        <v>249</v>
      </c>
      <c r="L852" t="s">
        <v>198</v>
      </c>
    </row>
    <row r="853" spans="1:12" x14ac:dyDescent="0.25">
      <c r="A853" t="s">
        <v>11</v>
      </c>
      <c r="B853">
        <v>14</v>
      </c>
      <c r="C853" t="s">
        <v>24</v>
      </c>
      <c r="D853">
        <v>3</v>
      </c>
      <c r="E853" t="s">
        <v>195</v>
      </c>
      <c r="G853" t="s">
        <v>372</v>
      </c>
      <c r="I853" t="s">
        <v>146</v>
      </c>
      <c r="J853" t="s">
        <v>245</v>
      </c>
      <c r="K853" t="s">
        <v>249</v>
      </c>
      <c r="L853" t="s">
        <v>198</v>
      </c>
    </row>
    <row r="854" spans="1:12" x14ac:dyDescent="0.25">
      <c r="A854" t="s">
        <v>11</v>
      </c>
      <c r="B854">
        <v>15</v>
      </c>
      <c r="C854" t="s">
        <v>27</v>
      </c>
      <c r="D854">
        <v>1</v>
      </c>
      <c r="E854" t="s">
        <v>195</v>
      </c>
      <c r="F854">
        <v>21</v>
      </c>
      <c r="G854" t="s">
        <v>372</v>
      </c>
      <c r="H854">
        <v>19</v>
      </c>
      <c r="I854" t="s">
        <v>146</v>
      </c>
      <c r="J854" t="s">
        <v>250</v>
      </c>
      <c r="K854" t="s">
        <v>254</v>
      </c>
      <c r="L854" t="s">
        <v>198</v>
      </c>
    </row>
    <row r="855" spans="1:12" x14ac:dyDescent="0.25">
      <c r="A855" t="s">
        <v>11</v>
      </c>
      <c r="B855">
        <v>16</v>
      </c>
      <c r="C855" t="s">
        <v>27</v>
      </c>
      <c r="D855">
        <v>2</v>
      </c>
      <c r="E855" t="s">
        <v>195</v>
      </c>
      <c r="F855">
        <v>22</v>
      </c>
      <c r="G855" t="s">
        <v>372</v>
      </c>
      <c r="H855">
        <v>20</v>
      </c>
      <c r="I855" t="s">
        <v>146</v>
      </c>
      <c r="J855" t="s">
        <v>250</v>
      </c>
      <c r="K855" t="s">
        <v>254</v>
      </c>
      <c r="L855" t="s">
        <v>198</v>
      </c>
    </row>
    <row r="856" spans="1:12" x14ac:dyDescent="0.25">
      <c r="A856" t="s">
        <v>11</v>
      </c>
      <c r="B856">
        <v>17</v>
      </c>
      <c r="C856" t="s">
        <v>27</v>
      </c>
      <c r="D856">
        <v>3</v>
      </c>
      <c r="E856" t="s">
        <v>195</v>
      </c>
      <c r="G856" t="s">
        <v>372</v>
      </c>
      <c r="I856" t="s">
        <v>146</v>
      </c>
      <c r="J856" t="s">
        <v>250</v>
      </c>
      <c r="K856" t="s">
        <v>254</v>
      </c>
      <c r="L856" t="s">
        <v>198</v>
      </c>
    </row>
    <row r="857" spans="1:12" x14ac:dyDescent="0.25">
      <c r="A857" t="s">
        <v>11</v>
      </c>
      <c r="B857">
        <v>39</v>
      </c>
      <c r="C857" t="s">
        <v>12</v>
      </c>
      <c r="D857">
        <v>1</v>
      </c>
      <c r="E857" t="s">
        <v>30</v>
      </c>
      <c r="F857">
        <v>21</v>
      </c>
      <c r="G857" t="s">
        <v>372</v>
      </c>
      <c r="H857">
        <v>16</v>
      </c>
      <c r="I857" t="s">
        <v>194</v>
      </c>
      <c r="J857" t="s">
        <v>233</v>
      </c>
      <c r="K857" t="s">
        <v>270</v>
      </c>
      <c r="L857" t="s">
        <v>159</v>
      </c>
    </row>
    <row r="858" spans="1:12" x14ac:dyDescent="0.25">
      <c r="A858" t="s">
        <v>11</v>
      </c>
      <c r="B858">
        <v>40</v>
      </c>
      <c r="C858" t="s">
        <v>12</v>
      </c>
      <c r="D858">
        <v>2</v>
      </c>
      <c r="E858" t="s">
        <v>30</v>
      </c>
      <c r="F858">
        <v>1</v>
      </c>
      <c r="G858" t="s">
        <v>372</v>
      </c>
      <c r="H858">
        <v>0</v>
      </c>
      <c r="I858" t="s">
        <v>194</v>
      </c>
      <c r="J858" t="s">
        <v>233</v>
      </c>
      <c r="K858" t="s">
        <v>270</v>
      </c>
      <c r="L858" t="s">
        <v>159</v>
      </c>
    </row>
    <row r="859" spans="1:12" x14ac:dyDescent="0.25">
      <c r="A859" t="s">
        <v>11</v>
      </c>
      <c r="B859">
        <v>41</v>
      </c>
      <c r="C859" t="s">
        <v>12</v>
      </c>
      <c r="D859">
        <v>3</v>
      </c>
      <c r="E859" t="s">
        <v>30</v>
      </c>
      <c r="G859" t="s">
        <v>372</v>
      </c>
      <c r="I859" t="s">
        <v>194</v>
      </c>
      <c r="J859" t="s">
        <v>233</v>
      </c>
      <c r="K859" t="s">
        <v>270</v>
      </c>
      <c r="L859" t="s">
        <v>159</v>
      </c>
    </row>
    <row r="860" spans="1:12" x14ac:dyDescent="0.25">
      <c r="A860" t="s">
        <v>11</v>
      </c>
      <c r="B860">
        <v>42</v>
      </c>
      <c r="C860" t="s">
        <v>18</v>
      </c>
      <c r="D860">
        <v>1</v>
      </c>
      <c r="E860" t="s">
        <v>30</v>
      </c>
      <c r="F860">
        <v>16</v>
      </c>
      <c r="G860" t="s">
        <v>372</v>
      </c>
      <c r="H860">
        <v>21</v>
      </c>
      <c r="I860" t="s">
        <v>194</v>
      </c>
      <c r="J860" t="s">
        <v>238</v>
      </c>
      <c r="K860" t="s">
        <v>273</v>
      </c>
      <c r="L860" t="s">
        <v>159</v>
      </c>
    </row>
    <row r="861" spans="1:12" x14ac:dyDescent="0.25">
      <c r="A861" t="s">
        <v>11</v>
      </c>
      <c r="B861">
        <v>43</v>
      </c>
      <c r="C861" t="s">
        <v>18</v>
      </c>
      <c r="D861">
        <v>2</v>
      </c>
      <c r="E861" t="s">
        <v>30</v>
      </c>
      <c r="F861">
        <v>0</v>
      </c>
      <c r="G861" t="s">
        <v>372</v>
      </c>
      <c r="H861">
        <v>1</v>
      </c>
      <c r="I861" t="s">
        <v>194</v>
      </c>
      <c r="J861" t="s">
        <v>238</v>
      </c>
      <c r="K861" t="s">
        <v>273</v>
      </c>
      <c r="L861" t="s">
        <v>159</v>
      </c>
    </row>
    <row r="862" spans="1:12" x14ac:dyDescent="0.25">
      <c r="A862" t="s">
        <v>11</v>
      </c>
      <c r="B862">
        <v>44</v>
      </c>
      <c r="C862" t="s">
        <v>18</v>
      </c>
      <c r="D862">
        <v>3</v>
      </c>
      <c r="E862" t="s">
        <v>30</v>
      </c>
      <c r="G862" t="s">
        <v>372</v>
      </c>
      <c r="I862" t="s">
        <v>194</v>
      </c>
      <c r="J862" t="s">
        <v>238</v>
      </c>
      <c r="K862" t="s">
        <v>273</v>
      </c>
      <c r="L862" t="s">
        <v>159</v>
      </c>
    </row>
    <row r="863" spans="1:12" x14ac:dyDescent="0.25">
      <c r="A863" t="s">
        <v>11</v>
      </c>
      <c r="B863">
        <v>45</v>
      </c>
      <c r="C863" t="s">
        <v>21</v>
      </c>
      <c r="D863">
        <v>1</v>
      </c>
      <c r="E863" t="s">
        <v>30</v>
      </c>
      <c r="F863">
        <v>15</v>
      </c>
      <c r="G863" t="s">
        <v>372</v>
      </c>
      <c r="H863">
        <v>21</v>
      </c>
      <c r="I863" t="s">
        <v>194</v>
      </c>
      <c r="J863" t="s">
        <v>243</v>
      </c>
      <c r="K863" t="s">
        <v>276</v>
      </c>
      <c r="L863" t="s">
        <v>159</v>
      </c>
    </row>
    <row r="864" spans="1:12" x14ac:dyDescent="0.25">
      <c r="A864" t="s">
        <v>11</v>
      </c>
      <c r="B864">
        <v>46</v>
      </c>
      <c r="C864" t="s">
        <v>21</v>
      </c>
      <c r="D864">
        <v>2</v>
      </c>
      <c r="E864" t="s">
        <v>30</v>
      </c>
      <c r="F864">
        <v>0</v>
      </c>
      <c r="G864" t="s">
        <v>372</v>
      </c>
      <c r="H864">
        <v>1</v>
      </c>
      <c r="I864" t="s">
        <v>194</v>
      </c>
      <c r="J864" t="s">
        <v>243</v>
      </c>
      <c r="K864" t="s">
        <v>276</v>
      </c>
      <c r="L864" t="s">
        <v>159</v>
      </c>
    </row>
    <row r="865" spans="1:12" x14ac:dyDescent="0.25">
      <c r="A865" t="s">
        <v>11</v>
      </c>
      <c r="B865">
        <v>47</v>
      </c>
      <c r="C865" t="s">
        <v>21</v>
      </c>
      <c r="D865">
        <v>3</v>
      </c>
      <c r="E865" t="s">
        <v>30</v>
      </c>
      <c r="G865" t="s">
        <v>372</v>
      </c>
      <c r="I865" t="s">
        <v>194</v>
      </c>
      <c r="J865" t="s">
        <v>243</v>
      </c>
      <c r="K865" t="s">
        <v>276</v>
      </c>
      <c r="L865" t="s">
        <v>159</v>
      </c>
    </row>
    <row r="866" spans="1:12" x14ac:dyDescent="0.25">
      <c r="A866" t="s">
        <v>11</v>
      </c>
      <c r="B866">
        <v>48</v>
      </c>
      <c r="C866" t="s">
        <v>24</v>
      </c>
      <c r="D866">
        <v>1</v>
      </c>
      <c r="E866" t="s">
        <v>30</v>
      </c>
      <c r="F866">
        <v>13</v>
      </c>
      <c r="G866" t="s">
        <v>372</v>
      </c>
      <c r="H866">
        <v>21</v>
      </c>
      <c r="I866" t="s">
        <v>194</v>
      </c>
      <c r="J866" t="s">
        <v>248</v>
      </c>
      <c r="K866" t="s">
        <v>279</v>
      </c>
      <c r="L866" t="s">
        <v>159</v>
      </c>
    </row>
    <row r="867" spans="1:12" x14ac:dyDescent="0.25">
      <c r="A867" t="s">
        <v>11</v>
      </c>
      <c r="B867">
        <v>49</v>
      </c>
      <c r="C867" t="s">
        <v>24</v>
      </c>
      <c r="D867">
        <v>2</v>
      </c>
      <c r="E867" t="s">
        <v>30</v>
      </c>
      <c r="F867">
        <v>0</v>
      </c>
      <c r="G867" t="s">
        <v>372</v>
      </c>
      <c r="H867">
        <v>1</v>
      </c>
      <c r="I867" t="s">
        <v>194</v>
      </c>
      <c r="J867" t="s">
        <v>248</v>
      </c>
      <c r="K867" t="s">
        <v>279</v>
      </c>
      <c r="L867" t="s">
        <v>159</v>
      </c>
    </row>
    <row r="868" spans="1:12" x14ac:dyDescent="0.25">
      <c r="A868" t="s">
        <v>11</v>
      </c>
      <c r="B868">
        <v>50</v>
      </c>
      <c r="C868" t="s">
        <v>24</v>
      </c>
      <c r="D868">
        <v>3</v>
      </c>
      <c r="E868" t="s">
        <v>30</v>
      </c>
      <c r="G868" t="s">
        <v>372</v>
      </c>
      <c r="I868" t="s">
        <v>194</v>
      </c>
      <c r="J868" t="s">
        <v>248</v>
      </c>
      <c r="K868" t="s">
        <v>279</v>
      </c>
      <c r="L868" t="s">
        <v>159</v>
      </c>
    </row>
    <row r="869" spans="1:12" x14ac:dyDescent="0.25">
      <c r="A869" t="s">
        <v>11</v>
      </c>
      <c r="B869">
        <v>51</v>
      </c>
      <c r="C869" t="s">
        <v>27</v>
      </c>
      <c r="D869">
        <v>1</v>
      </c>
      <c r="E869" t="s">
        <v>30</v>
      </c>
      <c r="F869">
        <v>13</v>
      </c>
      <c r="G869" t="s">
        <v>372</v>
      </c>
      <c r="H869">
        <v>21</v>
      </c>
      <c r="I869" t="s">
        <v>194</v>
      </c>
      <c r="J869" t="s">
        <v>253</v>
      </c>
      <c r="K869" t="s">
        <v>282</v>
      </c>
      <c r="L869" t="s">
        <v>159</v>
      </c>
    </row>
    <row r="870" spans="1:12" x14ac:dyDescent="0.25">
      <c r="A870" t="s">
        <v>11</v>
      </c>
      <c r="B870">
        <v>52</v>
      </c>
      <c r="C870" t="s">
        <v>27</v>
      </c>
      <c r="D870">
        <v>2</v>
      </c>
      <c r="E870" t="s">
        <v>30</v>
      </c>
      <c r="F870">
        <v>0</v>
      </c>
      <c r="G870" t="s">
        <v>372</v>
      </c>
      <c r="H870">
        <v>1</v>
      </c>
      <c r="I870" t="s">
        <v>194</v>
      </c>
      <c r="J870" t="s">
        <v>253</v>
      </c>
      <c r="K870" t="s">
        <v>282</v>
      </c>
      <c r="L870" t="s">
        <v>159</v>
      </c>
    </row>
    <row r="871" spans="1:12" x14ac:dyDescent="0.25">
      <c r="A871" t="s">
        <v>11</v>
      </c>
      <c r="B871">
        <v>53</v>
      </c>
      <c r="C871" t="s">
        <v>27</v>
      </c>
      <c r="D871">
        <v>3</v>
      </c>
      <c r="E871" t="s">
        <v>30</v>
      </c>
      <c r="G871" t="s">
        <v>372</v>
      </c>
      <c r="I871" t="s">
        <v>194</v>
      </c>
      <c r="J871" t="s">
        <v>253</v>
      </c>
      <c r="K871" t="s">
        <v>282</v>
      </c>
      <c r="L871" t="s">
        <v>159</v>
      </c>
    </row>
    <row r="872" spans="1:12" x14ac:dyDescent="0.25">
      <c r="A872" t="s">
        <v>11</v>
      </c>
      <c r="B872">
        <v>57</v>
      </c>
      <c r="C872" t="s">
        <v>12</v>
      </c>
      <c r="D872">
        <v>1</v>
      </c>
      <c r="E872" t="s">
        <v>155</v>
      </c>
      <c r="F872">
        <v>21</v>
      </c>
      <c r="G872" t="s">
        <v>372</v>
      </c>
      <c r="H872">
        <v>17</v>
      </c>
      <c r="I872" t="s">
        <v>147</v>
      </c>
      <c r="J872" t="s">
        <v>257</v>
      </c>
      <c r="K872" t="s">
        <v>272</v>
      </c>
      <c r="L872" t="s">
        <v>172</v>
      </c>
    </row>
    <row r="873" spans="1:12" x14ac:dyDescent="0.25">
      <c r="A873" t="s">
        <v>11</v>
      </c>
      <c r="B873">
        <v>58</v>
      </c>
      <c r="C873" t="s">
        <v>12</v>
      </c>
      <c r="D873">
        <v>2</v>
      </c>
      <c r="E873" t="s">
        <v>155</v>
      </c>
      <c r="F873">
        <v>1</v>
      </c>
      <c r="G873" t="s">
        <v>372</v>
      </c>
      <c r="H873">
        <v>0</v>
      </c>
      <c r="I873" t="s">
        <v>147</v>
      </c>
      <c r="J873" t="s">
        <v>257</v>
      </c>
      <c r="K873" t="s">
        <v>272</v>
      </c>
      <c r="L873" t="s">
        <v>172</v>
      </c>
    </row>
    <row r="874" spans="1:12" x14ac:dyDescent="0.25">
      <c r="A874" t="s">
        <v>11</v>
      </c>
      <c r="B874">
        <v>59</v>
      </c>
      <c r="C874" t="s">
        <v>12</v>
      </c>
      <c r="D874">
        <v>3</v>
      </c>
      <c r="E874" t="s">
        <v>155</v>
      </c>
      <c r="G874" t="s">
        <v>372</v>
      </c>
      <c r="I874" t="s">
        <v>147</v>
      </c>
      <c r="J874" t="s">
        <v>257</v>
      </c>
      <c r="K874" t="s">
        <v>272</v>
      </c>
      <c r="L874" t="s">
        <v>172</v>
      </c>
    </row>
    <row r="875" spans="1:12" x14ac:dyDescent="0.25">
      <c r="A875" t="s">
        <v>11</v>
      </c>
      <c r="B875">
        <v>60</v>
      </c>
      <c r="C875" t="s">
        <v>18</v>
      </c>
      <c r="D875">
        <v>1</v>
      </c>
      <c r="E875" t="s">
        <v>155</v>
      </c>
      <c r="F875">
        <v>19</v>
      </c>
      <c r="G875" t="s">
        <v>372</v>
      </c>
      <c r="H875">
        <v>21</v>
      </c>
      <c r="I875" t="s">
        <v>147</v>
      </c>
      <c r="J875" t="s">
        <v>260</v>
      </c>
      <c r="K875" t="s">
        <v>275</v>
      </c>
      <c r="L875" t="s">
        <v>172</v>
      </c>
    </row>
    <row r="876" spans="1:12" x14ac:dyDescent="0.25">
      <c r="A876" t="s">
        <v>11</v>
      </c>
      <c r="B876">
        <v>61</v>
      </c>
      <c r="C876" t="s">
        <v>18</v>
      </c>
      <c r="D876">
        <v>2</v>
      </c>
      <c r="E876" t="s">
        <v>155</v>
      </c>
      <c r="F876">
        <v>0</v>
      </c>
      <c r="G876" t="s">
        <v>372</v>
      </c>
      <c r="H876">
        <v>1</v>
      </c>
      <c r="I876" t="s">
        <v>147</v>
      </c>
      <c r="J876" t="s">
        <v>260</v>
      </c>
      <c r="K876" t="s">
        <v>275</v>
      </c>
      <c r="L876" t="s">
        <v>172</v>
      </c>
    </row>
    <row r="877" spans="1:12" x14ac:dyDescent="0.25">
      <c r="A877" t="s">
        <v>11</v>
      </c>
      <c r="B877">
        <v>62</v>
      </c>
      <c r="C877" t="s">
        <v>18</v>
      </c>
      <c r="D877">
        <v>3</v>
      </c>
      <c r="E877" t="s">
        <v>155</v>
      </c>
      <c r="G877" t="s">
        <v>372</v>
      </c>
      <c r="I877" t="s">
        <v>147</v>
      </c>
      <c r="J877" t="s">
        <v>260</v>
      </c>
      <c r="K877" t="s">
        <v>275</v>
      </c>
      <c r="L877" t="s">
        <v>172</v>
      </c>
    </row>
    <row r="878" spans="1:12" x14ac:dyDescent="0.25">
      <c r="A878" t="s">
        <v>11</v>
      </c>
      <c r="B878">
        <v>63</v>
      </c>
      <c r="C878" t="s">
        <v>21</v>
      </c>
      <c r="D878">
        <v>1</v>
      </c>
      <c r="E878" t="s">
        <v>155</v>
      </c>
      <c r="F878">
        <v>21</v>
      </c>
      <c r="G878" t="s">
        <v>372</v>
      </c>
      <c r="H878">
        <v>19</v>
      </c>
      <c r="I878" t="s">
        <v>147</v>
      </c>
      <c r="J878" t="s">
        <v>263</v>
      </c>
      <c r="K878" t="s">
        <v>278</v>
      </c>
      <c r="L878" t="s">
        <v>172</v>
      </c>
    </row>
    <row r="879" spans="1:12" x14ac:dyDescent="0.25">
      <c r="A879" t="s">
        <v>11</v>
      </c>
      <c r="B879">
        <v>64</v>
      </c>
      <c r="C879" t="s">
        <v>21</v>
      </c>
      <c r="D879">
        <v>2</v>
      </c>
      <c r="E879" t="s">
        <v>155</v>
      </c>
      <c r="F879">
        <v>1</v>
      </c>
      <c r="G879" t="s">
        <v>372</v>
      </c>
      <c r="H879">
        <v>0</v>
      </c>
      <c r="I879" t="s">
        <v>147</v>
      </c>
      <c r="J879" t="s">
        <v>263</v>
      </c>
      <c r="K879" t="s">
        <v>278</v>
      </c>
      <c r="L879" t="s">
        <v>172</v>
      </c>
    </row>
    <row r="880" spans="1:12" x14ac:dyDescent="0.25">
      <c r="A880" t="s">
        <v>11</v>
      </c>
      <c r="B880">
        <v>65</v>
      </c>
      <c r="C880" t="s">
        <v>21</v>
      </c>
      <c r="D880">
        <v>3</v>
      </c>
      <c r="E880" t="s">
        <v>155</v>
      </c>
      <c r="G880" t="s">
        <v>372</v>
      </c>
      <c r="I880" t="s">
        <v>147</v>
      </c>
      <c r="J880" t="s">
        <v>263</v>
      </c>
      <c r="K880" t="s">
        <v>278</v>
      </c>
      <c r="L880" t="s">
        <v>172</v>
      </c>
    </row>
    <row r="881" spans="1:12" x14ac:dyDescent="0.25">
      <c r="A881" t="s">
        <v>11</v>
      </c>
      <c r="B881">
        <v>66</v>
      </c>
      <c r="C881" t="s">
        <v>24</v>
      </c>
      <c r="D881">
        <v>1</v>
      </c>
      <c r="E881" t="s">
        <v>155</v>
      </c>
      <c r="F881">
        <v>21</v>
      </c>
      <c r="G881" t="s">
        <v>372</v>
      </c>
      <c r="H881">
        <v>19</v>
      </c>
      <c r="I881" t="s">
        <v>147</v>
      </c>
      <c r="J881" t="s">
        <v>266</v>
      </c>
      <c r="K881" t="s">
        <v>281</v>
      </c>
      <c r="L881" t="s">
        <v>172</v>
      </c>
    </row>
    <row r="882" spans="1:12" x14ac:dyDescent="0.25">
      <c r="A882" t="s">
        <v>11</v>
      </c>
      <c r="B882">
        <v>67</v>
      </c>
      <c r="C882" t="s">
        <v>24</v>
      </c>
      <c r="D882">
        <v>2</v>
      </c>
      <c r="E882" t="s">
        <v>155</v>
      </c>
      <c r="F882">
        <v>1</v>
      </c>
      <c r="G882" t="s">
        <v>372</v>
      </c>
      <c r="H882">
        <v>0</v>
      </c>
      <c r="I882" t="s">
        <v>147</v>
      </c>
      <c r="J882" t="s">
        <v>266</v>
      </c>
      <c r="K882" t="s">
        <v>281</v>
      </c>
      <c r="L882" t="s">
        <v>172</v>
      </c>
    </row>
    <row r="883" spans="1:12" x14ac:dyDescent="0.25">
      <c r="A883" t="s">
        <v>11</v>
      </c>
      <c r="B883">
        <v>68</v>
      </c>
      <c r="C883" t="s">
        <v>24</v>
      </c>
      <c r="D883">
        <v>3</v>
      </c>
      <c r="E883" t="s">
        <v>155</v>
      </c>
      <c r="G883" t="s">
        <v>372</v>
      </c>
      <c r="I883" t="s">
        <v>147</v>
      </c>
      <c r="J883" t="s">
        <v>266</v>
      </c>
      <c r="K883" t="s">
        <v>281</v>
      </c>
      <c r="L883" t="s">
        <v>172</v>
      </c>
    </row>
    <row r="884" spans="1:12" x14ac:dyDescent="0.25">
      <c r="A884" t="s">
        <v>11</v>
      </c>
      <c r="B884">
        <v>69</v>
      </c>
      <c r="C884" t="s">
        <v>27</v>
      </c>
      <c r="D884">
        <v>1</v>
      </c>
      <c r="E884" t="s">
        <v>155</v>
      </c>
      <c r="F884">
        <v>20</v>
      </c>
      <c r="G884" t="s">
        <v>372</v>
      </c>
      <c r="H884">
        <v>22</v>
      </c>
      <c r="I884" t="s">
        <v>147</v>
      </c>
      <c r="J884" t="s">
        <v>268</v>
      </c>
      <c r="K884" t="s">
        <v>284</v>
      </c>
      <c r="L884" t="s">
        <v>172</v>
      </c>
    </row>
    <row r="885" spans="1:12" x14ac:dyDescent="0.25">
      <c r="A885" t="s">
        <v>11</v>
      </c>
      <c r="B885">
        <v>70</v>
      </c>
      <c r="C885" t="s">
        <v>27</v>
      </c>
      <c r="D885">
        <v>2</v>
      </c>
      <c r="E885" t="s">
        <v>155</v>
      </c>
      <c r="F885">
        <v>0</v>
      </c>
      <c r="G885" t="s">
        <v>372</v>
      </c>
      <c r="H885">
        <v>1</v>
      </c>
      <c r="I885" t="s">
        <v>147</v>
      </c>
      <c r="J885" t="s">
        <v>268</v>
      </c>
      <c r="K885" t="s">
        <v>284</v>
      </c>
      <c r="L885" t="s">
        <v>172</v>
      </c>
    </row>
    <row r="886" spans="1:12" x14ac:dyDescent="0.25">
      <c r="A886" t="s">
        <v>11</v>
      </c>
      <c r="B886">
        <v>71</v>
      </c>
      <c r="C886" t="s">
        <v>27</v>
      </c>
      <c r="D886">
        <v>3</v>
      </c>
      <c r="E886" t="s">
        <v>155</v>
      </c>
      <c r="G886" t="s">
        <v>372</v>
      </c>
      <c r="I886" t="s">
        <v>147</v>
      </c>
      <c r="J886" t="s">
        <v>268</v>
      </c>
      <c r="K886" t="s">
        <v>284</v>
      </c>
      <c r="L886" t="s">
        <v>172</v>
      </c>
    </row>
    <row r="887" spans="1:12" x14ac:dyDescent="0.25">
      <c r="A887" t="s">
        <v>11</v>
      </c>
      <c r="B887">
        <v>75</v>
      </c>
      <c r="C887" t="s">
        <v>12</v>
      </c>
      <c r="D887">
        <v>1</v>
      </c>
      <c r="E887" t="s">
        <v>181</v>
      </c>
      <c r="F887">
        <v>1</v>
      </c>
      <c r="G887" t="s">
        <v>372</v>
      </c>
      <c r="H887">
        <v>0</v>
      </c>
      <c r="I887" t="s">
        <v>182</v>
      </c>
      <c r="J887" t="s">
        <v>291</v>
      </c>
      <c r="K887" t="s">
        <v>271</v>
      </c>
      <c r="L887" t="s">
        <v>185</v>
      </c>
    </row>
    <row r="888" spans="1:12" x14ac:dyDescent="0.25">
      <c r="A888" t="s">
        <v>11</v>
      </c>
      <c r="B888">
        <v>76</v>
      </c>
      <c r="C888" t="s">
        <v>12</v>
      </c>
      <c r="D888">
        <v>2</v>
      </c>
      <c r="E888" t="s">
        <v>181</v>
      </c>
      <c r="F888">
        <v>1</v>
      </c>
      <c r="G888" t="s">
        <v>372</v>
      </c>
      <c r="H888">
        <v>0</v>
      </c>
      <c r="I888" t="s">
        <v>182</v>
      </c>
      <c r="J888" t="s">
        <v>291</v>
      </c>
      <c r="K888" t="s">
        <v>271</v>
      </c>
      <c r="L888" t="s">
        <v>185</v>
      </c>
    </row>
    <row r="889" spans="1:12" x14ac:dyDescent="0.25">
      <c r="A889" t="s">
        <v>11</v>
      </c>
      <c r="B889">
        <v>77</v>
      </c>
      <c r="C889" t="s">
        <v>12</v>
      </c>
      <c r="D889">
        <v>3</v>
      </c>
      <c r="E889" t="s">
        <v>181</v>
      </c>
      <c r="G889" t="s">
        <v>372</v>
      </c>
      <c r="I889" t="s">
        <v>182</v>
      </c>
      <c r="J889" t="s">
        <v>291</v>
      </c>
      <c r="K889" t="s">
        <v>271</v>
      </c>
      <c r="L889" t="s">
        <v>185</v>
      </c>
    </row>
    <row r="890" spans="1:12" x14ac:dyDescent="0.25">
      <c r="A890" t="s">
        <v>11</v>
      </c>
      <c r="B890">
        <v>78</v>
      </c>
      <c r="C890" t="s">
        <v>18</v>
      </c>
      <c r="D890">
        <v>1</v>
      </c>
      <c r="E890" t="s">
        <v>181</v>
      </c>
      <c r="F890">
        <v>1</v>
      </c>
      <c r="G890" t="s">
        <v>372</v>
      </c>
      <c r="H890">
        <v>0</v>
      </c>
      <c r="I890" t="s">
        <v>182</v>
      </c>
      <c r="J890" t="s">
        <v>293</v>
      </c>
      <c r="K890" t="s">
        <v>274</v>
      </c>
      <c r="L890" t="s">
        <v>185</v>
      </c>
    </row>
    <row r="891" spans="1:12" x14ac:dyDescent="0.25">
      <c r="A891" t="s">
        <v>11</v>
      </c>
      <c r="B891">
        <v>79</v>
      </c>
      <c r="C891" t="s">
        <v>18</v>
      </c>
      <c r="D891">
        <v>2</v>
      </c>
      <c r="E891" t="s">
        <v>181</v>
      </c>
      <c r="F891">
        <v>1</v>
      </c>
      <c r="G891" t="s">
        <v>372</v>
      </c>
      <c r="H891">
        <v>0</v>
      </c>
      <c r="I891" t="s">
        <v>182</v>
      </c>
      <c r="J891" t="s">
        <v>293</v>
      </c>
      <c r="K891" t="s">
        <v>274</v>
      </c>
      <c r="L891" t="s">
        <v>185</v>
      </c>
    </row>
    <row r="892" spans="1:12" x14ac:dyDescent="0.25">
      <c r="A892" t="s">
        <v>11</v>
      </c>
      <c r="B892">
        <v>80</v>
      </c>
      <c r="C892" t="s">
        <v>18</v>
      </c>
      <c r="D892">
        <v>3</v>
      </c>
      <c r="E892" t="s">
        <v>181</v>
      </c>
      <c r="G892" t="s">
        <v>372</v>
      </c>
      <c r="I892" t="s">
        <v>182</v>
      </c>
      <c r="J892" t="s">
        <v>293</v>
      </c>
      <c r="K892" t="s">
        <v>274</v>
      </c>
      <c r="L892" t="s">
        <v>185</v>
      </c>
    </row>
    <row r="893" spans="1:12" x14ac:dyDescent="0.25">
      <c r="A893" t="s">
        <v>11</v>
      </c>
      <c r="B893">
        <v>81</v>
      </c>
      <c r="C893" t="s">
        <v>21</v>
      </c>
      <c r="D893">
        <v>1</v>
      </c>
      <c r="E893" t="s">
        <v>181</v>
      </c>
      <c r="F893">
        <v>1</v>
      </c>
      <c r="G893" t="s">
        <v>372</v>
      </c>
      <c r="H893">
        <v>0</v>
      </c>
      <c r="I893" t="s">
        <v>182</v>
      </c>
      <c r="J893" t="s">
        <v>295</v>
      </c>
      <c r="K893" t="s">
        <v>277</v>
      </c>
      <c r="L893" t="s">
        <v>185</v>
      </c>
    </row>
    <row r="894" spans="1:12" x14ac:dyDescent="0.25">
      <c r="A894" t="s">
        <v>11</v>
      </c>
      <c r="B894">
        <v>82</v>
      </c>
      <c r="C894" t="s">
        <v>21</v>
      </c>
      <c r="D894">
        <v>2</v>
      </c>
      <c r="E894" t="s">
        <v>181</v>
      </c>
      <c r="F894">
        <v>1</v>
      </c>
      <c r="G894" t="s">
        <v>372</v>
      </c>
      <c r="H894">
        <v>0</v>
      </c>
      <c r="I894" t="s">
        <v>182</v>
      </c>
      <c r="J894" t="s">
        <v>295</v>
      </c>
      <c r="K894" t="s">
        <v>277</v>
      </c>
      <c r="L894" t="s">
        <v>185</v>
      </c>
    </row>
    <row r="895" spans="1:12" x14ac:dyDescent="0.25">
      <c r="A895" t="s">
        <v>11</v>
      </c>
      <c r="B895">
        <v>83</v>
      </c>
      <c r="C895" t="s">
        <v>21</v>
      </c>
      <c r="D895">
        <v>3</v>
      </c>
      <c r="E895" t="s">
        <v>181</v>
      </c>
      <c r="G895" t="s">
        <v>372</v>
      </c>
      <c r="I895" t="s">
        <v>182</v>
      </c>
      <c r="J895" t="s">
        <v>295</v>
      </c>
      <c r="K895" t="s">
        <v>277</v>
      </c>
      <c r="L895" t="s">
        <v>185</v>
      </c>
    </row>
    <row r="896" spans="1:12" x14ac:dyDescent="0.25">
      <c r="A896" t="s">
        <v>11</v>
      </c>
      <c r="B896">
        <v>84</v>
      </c>
      <c r="C896" t="s">
        <v>24</v>
      </c>
      <c r="D896">
        <v>1</v>
      </c>
      <c r="E896" t="s">
        <v>181</v>
      </c>
      <c r="F896">
        <v>0</v>
      </c>
      <c r="G896" t="s">
        <v>372</v>
      </c>
      <c r="H896">
        <v>1</v>
      </c>
      <c r="I896" t="s">
        <v>182</v>
      </c>
      <c r="J896" t="s">
        <v>297</v>
      </c>
      <c r="K896" t="s">
        <v>280</v>
      </c>
      <c r="L896" t="s">
        <v>185</v>
      </c>
    </row>
    <row r="897" spans="1:12" x14ac:dyDescent="0.25">
      <c r="A897" t="s">
        <v>11</v>
      </c>
      <c r="B897">
        <v>85</v>
      </c>
      <c r="C897" t="s">
        <v>24</v>
      </c>
      <c r="D897">
        <v>2</v>
      </c>
      <c r="E897" t="s">
        <v>181</v>
      </c>
      <c r="F897">
        <v>0</v>
      </c>
      <c r="G897" t="s">
        <v>372</v>
      </c>
      <c r="H897">
        <v>1</v>
      </c>
      <c r="I897" t="s">
        <v>182</v>
      </c>
      <c r="J897" t="s">
        <v>297</v>
      </c>
      <c r="K897" t="s">
        <v>280</v>
      </c>
      <c r="L897" t="s">
        <v>185</v>
      </c>
    </row>
    <row r="898" spans="1:12" x14ac:dyDescent="0.25">
      <c r="A898" t="s">
        <v>11</v>
      </c>
      <c r="B898">
        <v>86</v>
      </c>
      <c r="C898" t="s">
        <v>24</v>
      </c>
      <c r="D898">
        <v>3</v>
      </c>
      <c r="E898" t="s">
        <v>181</v>
      </c>
      <c r="G898" t="s">
        <v>372</v>
      </c>
      <c r="I898" t="s">
        <v>182</v>
      </c>
      <c r="J898" t="s">
        <v>297</v>
      </c>
      <c r="K898" t="s">
        <v>280</v>
      </c>
      <c r="L898" t="s">
        <v>185</v>
      </c>
    </row>
    <row r="899" spans="1:12" x14ac:dyDescent="0.25">
      <c r="A899" t="s">
        <v>11</v>
      </c>
      <c r="B899">
        <v>87</v>
      </c>
      <c r="C899" t="s">
        <v>27</v>
      </c>
      <c r="D899">
        <v>1</v>
      </c>
      <c r="E899" t="s">
        <v>181</v>
      </c>
      <c r="F899">
        <v>0</v>
      </c>
      <c r="G899" t="s">
        <v>372</v>
      </c>
      <c r="H899">
        <v>1</v>
      </c>
      <c r="I899" t="s">
        <v>182</v>
      </c>
      <c r="J899" t="s">
        <v>299</v>
      </c>
      <c r="K899" t="s">
        <v>283</v>
      </c>
      <c r="L899" t="s">
        <v>185</v>
      </c>
    </row>
    <row r="900" spans="1:12" x14ac:dyDescent="0.25">
      <c r="A900" t="s">
        <v>11</v>
      </c>
      <c r="B900">
        <v>88</v>
      </c>
      <c r="C900" t="s">
        <v>27</v>
      </c>
      <c r="D900">
        <v>2</v>
      </c>
      <c r="E900" t="s">
        <v>181</v>
      </c>
      <c r="F900">
        <v>0</v>
      </c>
      <c r="G900" t="s">
        <v>372</v>
      </c>
      <c r="H900">
        <v>1</v>
      </c>
      <c r="I900" t="s">
        <v>182</v>
      </c>
      <c r="J900" t="s">
        <v>299</v>
      </c>
      <c r="K900" t="s">
        <v>283</v>
      </c>
      <c r="L900" t="s">
        <v>185</v>
      </c>
    </row>
    <row r="901" spans="1:12" x14ac:dyDescent="0.25">
      <c r="A901" t="s">
        <v>11</v>
      </c>
      <c r="B901">
        <v>89</v>
      </c>
      <c r="C901" t="s">
        <v>27</v>
      </c>
      <c r="D901">
        <v>3</v>
      </c>
      <c r="E901" t="s">
        <v>181</v>
      </c>
      <c r="G901" t="s">
        <v>372</v>
      </c>
      <c r="I901" t="s">
        <v>182</v>
      </c>
      <c r="J901" t="s">
        <v>299</v>
      </c>
      <c r="K901" t="s">
        <v>283</v>
      </c>
      <c r="L901" t="s">
        <v>185</v>
      </c>
    </row>
    <row r="902" spans="1:12" x14ac:dyDescent="0.25">
      <c r="A902" t="s">
        <v>11</v>
      </c>
      <c r="B902">
        <v>93</v>
      </c>
      <c r="C902" t="s">
        <v>12</v>
      </c>
      <c r="D902">
        <v>1</v>
      </c>
      <c r="E902" t="s">
        <v>169</v>
      </c>
      <c r="F902">
        <v>1</v>
      </c>
      <c r="G902" t="s">
        <v>372</v>
      </c>
      <c r="H902">
        <v>0</v>
      </c>
      <c r="I902" t="s">
        <v>31</v>
      </c>
      <c r="J902" t="s">
        <v>256</v>
      </c>
      <c r="K902" t="s">
        <v>290</v>
      </c>
      <c r="L902" t="s">
        <v>17</v>
      </c>
    </row>
    <row r="903" spans="1:12" x14ac:dyDescent="0.25">
      <c r="A903" t="s">
        <v>11</v>
      </c>
      <c r="B903">
        <v>94</v>
      </c>
      <c r="C903" t="s">
        <v>12</v>
      </c>
      <c r="D903">
        <v>2</v>
      </c>
      <c r="E903" t="s">
        <v>169</v>
      </c>
      <c r="F903">
        <v>1</v>
      </c>
      <c r="G903" t="s">
        <v>372</v>
      </c>
      <c r="H903">
        <v>0</v>
      </c>
      <c r="I903" t="s">
        <v>31</v>
      </c>
      <c r="J903" t="s">
        <v>256</v>
      </c>
      <c r="K903" t="s">
        <v>290</v>
      </c>
      <c r="L903" t="s">
        <v>17</v>
      </c>
    </row>
    <row r="904" spans="1:12" x14ac:dyDescent="0.25">
      <c r="A904" t="s">
        <v>11</v>
      </c>
      <c r="B904">
        <v>95</v>
      </c>
      <c r="C904" t="s">
        <v>12</v>
      </c>
      <c r="D904">
        <v>3</v>
      </c>
      <c r="E904" t="s">
        <v>169</v>
      </c>
      <c r="G904" t="s">
        <v>372</v>
      </c>
      <c r="I904" t="s">
        <v>31</v>
      </c>
      <c r="J904" t="s">
        <v>256</v>
      </c>
      <c r="K904" t="s">
        <v>290</v>
      </c>
      <c r="L904" t="s">
        <v>17</v>
      </c>
    </row>
    <row r="905" spans="1:12" x14ac:dyDescent="0.25">
      <c r="A905" t="s">
        <v>11</v>
      </c>
      <c r="B905">
        <v>96</v>
      </c>
      <c r="C905" t="s">
        <v>18</v>
      </c>
      <c r="D905">
        <v>1</v>
      </c>
      <c r="E905" t="s">
        <v>169</v>
      </c>
      <c r="F905">
        <v>1</v>
      </c>
      <c r="G905" t="s">
        <v>372</v>
      </c>
      <c r="H905">
        <v>0</v>
      </c>
      <c r="I905" t="s">
        <v>31</v>
      </c>
      <c r="J905" t="s">
        <v>259</v>
      </c>
      <c r="K905" t="s">
        <v>292</v>
      </c>
      <c r="L905" t="s">
        <v>17</v>
      </c>
    </row>
    <row r="906" spans="1:12" x14ac:dyDescent="0.25">
      <c r="A906" t="s">
        <v>11</v>
      </c>
      <c r="B906">
        <v>97</v>
      </c>
      <c r="C906" t="s">
        <v>18</v>
      </c>
      <c r="D906">
        <v>2</v>
      </c>
      <c r="E906" t="s">
        <v>169</v>
      </c>
      <c r="F906">
        <v>1</v>
      </c>
      <c r="G906" t="s">
        <v>372</v>
      </c>
      <c r="H906">
        <v>0</v>
      </c>
      <c r="I906" t="s">
        <v>31</v>
      </c>
      <c r="J906" t="s">
        <v>259</v>
      </c>
      <c r="K906" t="s">
        <v>292</v>
      </c>
      <c r="L906" t="s">
        <v>17</v>
      </c>
    </row>
    <row r="907" spans="1:12" x14ac:dyDescent="0.25">
      <c r="A907" t="s">
        <v>11</v>
      </c>
      <c r="B907">
        <v>98</v>
      </c>
      <c r="C907" t="s">
        <v>18</v>
      </c>
      <c r="D907">
        <v>3</v>
      </c>
      <c r="E907" t="s">
        <v>169</v>
      </c>
      <c r="G907" t="s">
        <v>372</v>
      </c>
      <c r="I907" t="s">
        <v>31</v>
      </c>
      <c r="J907" t="s">
        <v>259</v>
      </c>
      <c r="K907" t="s">
        <v>292</v>
      </c>
      <c r="L907" t="s">
        <v>17</v>
      </c>
    </row>
    <row r="908" spans="1:12" x14ac:dyDescent="0.25">
      <c r="A908" t="s">
        <v>11</v>
      </c>
      <c r="B908">
        <v>99</v>
      </c>
      <c r="C908" t="s">
        <v>21</v>
      </c>
      <c r="D908">
        <v>1</v>
      </c>
      <c r="E908" t="s">
        <v>169</v>
      </c>
      <c r="F908">
        <v>1</v>
      </c>
      <c r="G908" t="s">
        <v>372</v>
      </c>
      <c r="H908">
        <v>0</v>
      </c>
      <c r="I908" t="s">
        <v>31</v>
      </c>
      <c r="J908" t="s">
        <v>262</v>
      </c>
      <c r="K908" t="s">
        <v>294</v>
      </c>
      <c r="L908" t="s">
        <v>17</v>
      </c>
    </row>
    <row r="909" spans="1:12" x14ac:dyDescent="0.25">
      <c r="A909" t="s">
        <v>11</v>
      </c>
      <c r="B909">
        <v>100</v>
      </c>
      <c r="C909" t="s">
        <v>21</v>
      </c>
      <c r="D909">
        <v>2</v>
      </c>
      <c r="E909" t="s">
        <v>169</v>
      </c>
      <c r="F909">
        <v>1</v>
      </c>
      <c r="G909" t="s">
        <v>372</v>
      </c>
      <c r="H909">
        <v>0</v>
      </c>
      <c r="I909" t="s">
        <v>31</v>
      </c>
      <c r="J909" t="s">
        <v>262</v>
      </c>
      <c r="K909" t="s">
        <v>294</v>
      </c>
      <c r="L909" t="s">
        <v>17</v>
      </c>
    </row>
    <row r="910" spans="1:12" x14ac:dyDescent="0.25">
      <c r="A910" t="s">
        <v>11</v>
      </c>
      <c r="B910">
        <v>101</v>
      </c>
      <c r="C910" t="s">
        <v>21</v>
      </c>
      <c r="D910">
        <v>3</v>
      </c>
      <c r="E910" t="s">
        <v>169</v>
      </c>
      <c r="G910" t="s">
        <v>372</v>
      </c>
      <c r="I910" t="s">
        <v>31</v>
      </c>
      <c r="J910" t="s">
        <v>262</v>
      </c>
      <c r="K910" t="s">
        <v>294</v>
      </c>
      <c r="L910" t="s">
        <v>17</v>
      </c>
    </row>
    <row r="911" spans="1:12" x14ac:dyDescent="0.25">
      <c r="A911" t="s">
        <v>11</v>
      </c>
      <c r="B911">
        <v>102</v>
      </c>
      <c r="C911" t="s">
        <v>24</v>
      </c>
      <c r="D911">
        <v>1</v>
      </c>
      <c r="E911" t="s">
        <v>169</v>
      </c>
      <c r="F911">
        <v>0</v>
      </c>
      <c r="G911" t="s">
        <v>372</v>
      </c>
      <c r="H911">
        <v>1</v>
      </c>
      <c r="I911" t="s">
        <v>31</v>
      </c>
      <c r="J911" t="s">
        <v>265</v>
      </c>
      <c r="K911" t="s">
        <v>296</v>
      </c>
      <c r="L911" t="s">
        <v>17</v>
      </c>
    </row>
    <row r="912" spans="1:12" x14ac:dyDescent="0.25">
      <c r="A912" t="s">
        <v>11</v>
      </c>
      <c r="B912">
        <v>103</v>
      </c>
      <c r="C912" t="s">
        <v>24</v>
      </c>
      <c r="D912">
        <v>2</v>
      </c>
      <c r="E912" t="s">
        <v>169</v>
      </c>
      <c r="F912">
        <v>0</v>
      </c>
      <c r="G912" t="s">
        <v>372</v>
      </c>
      <c r="H912">
        <v>1</v>
      </c>
      <c r="I912" t="s">
        <v>31</v>
      </c>
      <c r="J912" t="s">
        <v>265</v>
      </c>
      <c r="K912" t="s">
        <v>296</v>
      </c>
      <c r="L912" t="s">
        <v>17</v>
      </c>
    </row>
    <row r="913" spans="1:12" x14ac:dyDescent="0.25">
      <c r="A913" t="s">
        <v>11</v>
      </c>
      <c r="B913">
        <v>104</v>
      </c>
      <c r="C913" t="s">
        <v>24</v>
      </c>
      <c r="D913">
        <v>3</v>
      </c>
      <c r="E913" t="s">
        <v>169</v>
      </c>
      <c r="G913" t="s">
        <v>372</v>
      </c>
      <c r="I913" t="s">
        <v>31</v>
      </c>
      <c r="J913" t="s">
        <v>265</v>
      </c>
      <c r="K913" t="s">
        <v>296</v>
      </c>
      <c r="L913" t="s">
        <v>17</v>
      </c>
    </row>
    <row r="914" spans="1:12" x14ac:dyDescent="0.25">
      <c r="A914" t="s">
        <v>11</v>
      </c>
      <c r="B914">
        <v>105</v>
      </c>
      <c r="C914" t="s">
        <v>27</v>
      </c>
      <c r="D914">
        <v>1</v>
      </c>
      <c r="E914" t="s">
        <v>169</v>
      </c>
      <c r="F914">
        <v>0</v>
      </c>
      <c r="G914" t="s">
        <v>372</v>
      </c>
      <c r="H914">
        <v>1</v>
      </c>
      <c r="I914" t="s">
        <v>31</v>
      </c>
      <c r="J914" t="s">
        <v>269</v>
      </c>
      <c r="K914" t="s">
        <v>298</v>
      </c>
      <c r="L914" t="s">
        <v>17</v>
      </c>
    </row>
    <row r="915" spans="1:12" x14ac:dyDescent="0.25">
      <c r="A915" t="s">
        <v>11</v>
      </c>
      <c r="B915">
        <v>106</v>
      </c>
      <c r="C915" t="s">
        <v>27</v>
      </c>
      <c r="D915">
        <v>2</v>
      </c>
      <c r="E915" t="s">
        <v>169</v>
      </c>
      <c r="F915">
        <v>0</v>
      </c>
      <c r="G915" t="s">
        <v>372</v>
      </c>
      <c r="H915">
        <v>1</v>
      </c>
      <c r="I915" t="s">
        <v>31</v>
      </c>
      <c r="J915" t="s">
        <v>269</v>
      </c>
      <c r="K915" t="s">
        <v>298</v>
      </c>
      <c r="L915" t="s">
        <v>17</v>
      </c>
    </row>
    <row r="916" spans="1:12" x14ac:dyDescent="0.25">
      <c r="A916" t="s">
        <v>11</v>
      </c>
      <c r="B916">
        <v>107</v>
      </c>
      <c r="C916" t="s">
        <v>27</v>
      </c>
      <c r="D916">
        <v>3</v>
      </c>
      <c r="E916" t="s">
        <v>169</v>
      </c>
      <c r="G916" t="s">
        <v>372</v>
      </c>
      <c r="I916" t="s">
        <v>31</v>
      </c>
      <c r="J916" t="s">
        <v>269</v>
      </c>
      <c r="K916" t="s">
        <v>298</v>
      </c>
      <c r="L916" t="s">
        <v>17</v>
      </c>
    </row>
    <row r="917" spans="1:12" x14ac:dyDescent="0.25">
      <c r="A917" t="s">
        <v>11</v>
      </c>
      <c r="B917">
        <v>111</v>
      </c>
      <c r="C917" t="s">
        <v>12</v>
      </c>
      <c r="D917">
        <v>1</v>
      </c>
      <c r="E917" t="s">
        <v>95</v>
      </c>
      <c r="F917">
        <v>24</v>
      </c>
      <c r="G917" t="s">
        <v>372</v>
      </c>
      <c r="H917">
        <v>25</v>
      </c>
      <c r="I917" t="s">
        <v>57</v>
      </c>
      <c r="J917" t="s">
        <v>285</v>
      </c>
      <c r="K917" t="s">
        <v>301</v>
      </c>
      <c r="L917" t="s">
        <v>34</v>
      </c>
    </row>
    <row r="918" spans="1:12" x14ac:dyDescent="0.25">
      <c r="A918" t="s">
        <v>11</v>
      </c>
      <c r="B918">
        <v>112</v>
      </c>
      <c r="C918" t="s">
        <v>12</v>
      </c>
      <c r="D918">
        <v>2</v>
      </c>
      <c r="E918" t="s">
        <v>95</v>
      </c>
      <c r="F918">
        <v>0</v>
      </c>
      <c r="G918" t="s">
        <v>372</v>
      </c>
      <c r="H918">
        <v>1</v>
      </c>
      <c r="I918" t="s">
        <v>57</v>
      </c>
      <c r="J918" t="s">
        <v>285</v>
      </c>
      <c r="K918" t="s">
        <v>301</v>
      </c>
      <c r="L918" t="s">
        <v>34</v>
      </c>
    </row>
    <row r="919" spans="1:12" x14ac:dyDescent="0.25">
      <c r="A919" t="s">
        <v>11</v>
      </c>
      <c r="B919">
        <v>113</v>
      </c>
      <c r="C919" t="s">
        <v>12</v>
      </c>
      <c r="D919">
        <v>3</v>
      </c>
      <c r="E919" t="s">
        <v>95</v>
      </c>
      <c r="G919" t="s">
        <v>372</v>
      </c>
      <c r="I919" t="s">
        <v>57</v>
      </c>
      <c r="J919" t="s">
        <v>285</v>
      </c>
      <c r="K919" t="s">
        <v>301</v>
      </c>
      <c r="L919" t="s">
        <v>34</v>
      </c>
    </row>
    <row r="920" spans="1:12" x14ac:dyDescent="0.25">
      <c r="A920" t="s">
        <v>11</v>
      </c>
      <c r="B920">
        <v>114</v>
      </c>
      <c r="C920" t="s">
        <v>18</v>
      </c>
      <c r="D920">
        <v>1</v>
      </c>
      <c r="E920" t="s">
        <v>95</v>
      </c>
      <c r="F920">
        <v>14</v>
      </c>
      <c r="G920" t="s">
        <v>372</v>
      </c>
      <c r="H920">
        <v>21</v>
      </c>
      <c r="I920" t="s">
        <v>57</v>
      </c>
      <c r="J920" t="s">
        <v>286</v>
      </c>
      <c r="K920" t="s">
        <v>303</v>
      </c>
      <c r="L920" t="s">
        <v>34</v>
      </c>
    </row>
    <row r="921" spans="1:12" x14ac:dyDescent="0.25">
      <c r="A921" t="s">
        <v>11</v>
      </c>
      <c r="B921">
        <v>115</v>
      </c>
      <c r="C921" t="s">
        <v>18</v>
      </c>
      <c r="D921">
        <v>2</v>
      </c>
      <c r="E921" t="s">
        <v>95</v>
      </c>
      <c r="F921">
        <v>0</v>
      </c>
      <c r="G921" t="s">
        <v>372</v>
      </c>
      <c r="H921">
        <v>1</v>
      </c>
      <c r="I921" t="s">
        <v>57</v>
      </c>
      <c r="J921" t="s">
        <v>286</v>
      </c>
      <c r="K921" t="s">
        <v>303</v>
      </c>
      <c r="L921" t="s">
        <v>34</v>
      </c>
    </row>
    <row r="922" spans="1:12" x14ac:dyDescent="0.25">
      <c r="A922" t="s">
        <v>11</v>
      </c>
      <c r="B922">
        <v>116</v>
      </c>
      <c r="C922" t="s">
        <v>18</v>
      </c>
      <c r="D922">
        <v>3</v>
      </c>
      <c r="E922" t="s">
        <v>95</v>
      </c>
      <c r="G922" t="s">
        <v>372</v>
      </c>
      <c r="I922" t="s">
        <v>57</v>
      </c>
      <c r="J922" t="s">
        <v>286</v>
      </c>
      <c r="K922" t="s">
        <v>303</v>
      </c>
      <c r="L922" t="s">
        <v>34</v>
      </c>
    </row>
    <row r="923" spans="1:12" x14ac:dyDescent="0.25">
      <c r="A923" t="s">
        <v>11</v>
      </c>
      <c r="B923">
        <v>117</v>
      </c>
      <c r="C923" t="s">
        <v>21</v>
      </c>
      <c r="D923">
        <v>1</v>
      </c>
      <c r="E923" t="s">
        <v>95</v>
      </c>
      <c r="F923">
        <v>18</v>
      </c>
      <c r="G923" t="s">
        <v>372</v>
      </c>
      <c r="H923">
        <v>21</v>
      </c>
      <c r="I923" t="s">
        <v>57</v>
      </c>
      <c r="J923" t="s">
        <v>287</v>
      </c>
      <c r="K923" t="s">
        <v>305</v>
      </c>
      <c r="L923" t="s">
        <v>34</v>
      </c>
    </row>
    <row r="924" spans="1:12" x14ac:dyDescent="0.25">
      <c r="A924" t="s">
        <v>11</v>
      </c>
      <c r="B924">
        <v>118</v>
      </c>
      <c r="C924" t="s">
        <v>21</v>
      </c>
      <c r="D924">
        <v>2</v>
      </c>
      <c r="E924" t="s">
        <v>95</v>
      </c>
      <c r="F924">
        <v>0</v>
      </c>
      <c r="G924" t="s">
        <v>372</v>
      </c>
      <c r="H924">
        <v>1</v>
      </c>
      <c r="I924" t="s">
        <v>57</v>
      </c>
      <c r="J924" t="s">
        <v>287</v>
      </c>
      <c r="K924" t="s">
        <v>305</v>
      </c>
      <c r="L924" t="s">
        <v>34</v>
      </c>
    </row>
    <row r="925" spans="1:12" x14ac:dyDescent="0.25">
      <c r="A925" t="s">
        <v>11</v>
      </c>
      <c r="B925">
        <v>119</v>
      </c>
      <c r="C925" t="s">
        <v>21</v>
      </c>
      <c r="D925">
        <v>3</v>
      </c>
      <c r="E925" t="s">
        <v>95</v>
      </c>
      <c r="G925" t="s">
        <v>372</v>
      </c>
      <c r="I925" t="s">
        <v>57</v>
      </c>
      <c r="J925" t="s">
        <v>287</v>
      </c>
      <c r="K925" t="s">
        <v>305</v>
      </c>
      <c r="L925" t="s">
        <v>34</v>
      </c>
    </row>
    <row r="926" spans="1:12" x14ac:dyDescent="0.25">
      <c r="A926" t="s">
        <v>11</v>
      </c>
      <c r="B926">
        <v>120</v>
      </c>
      <c r="C926" t="s">
        <v>24</v>
      </c>
      <c r="D926">
        <v>1</v>
      </c>
      <c r="E926" t="s">
        <v>95</v>
      </c>
      <c r="F926">
        <v>18</v>
      </c>
      <c r="G926" t="s">
        <v>372</v>
      </c>
      <c r="H926">
        <v>21</v>
      </c>
      <c r="I926" t="s">
        <v>57</v>
      </c>
      <c r="J926" t="s">
        <v>288</v>
      </c>
      <c r="K926" t="s">
        <v>307</v>
      </c>
      <c r="L926" t="s">
        <v>34</v>
      </c>
    </row>
    <row r="927" spans="1:12" x14ac:dyDescent="0.25">
      <c r="A927" t="s">
        <v>11</v>
      </c>
      <c r="B927">
        <v>121</v>
      </c>
      <c r="C927" t="s">
        <v>24</v>
      </c>
      <c r="D927">
        <v>2</v>
      </c>
      <c r="E927" t="s">
        <v>95</v>
      </c>
      <c r="F927">
        <v>0</v>
      </c>
      <c r="G927" t="s">
        <v>372</v>
      </c>
      <c r="H927">
        <v>1</v>
      </c>
      <c r="I927" t="s">
        <v>57</v>
      </c>
      <c r="J927" t="s">
        <v>288</v>
      </c>
      <c r="K927" t="s">
        <v>307</v>
      </c>
      <c r="L927" t="s">
        <v>34</v>
      </c>
    </row>
    <row r="928" spans="1:12" x14ac:dyDescent="0.25">
      <c r="A928" t="s">
        <v>11</v>
      </c>
      <c r="B928">
        <v>122</v>
      </c>
      <c r="C928" t="s">
        <v>24</v>
      </c>
      <c r="D928">
        <v>3</v>
      </c>
      <c r="E928" t="s">
        <v>95</v>
      </c>
      <c r="G928" t="s">
        <v>372</v>
      </c>
      <c r="I928" t="s">
        <v>57</v>
      </c>
      <c r="J928" t="s">
        <v>288</v>
      </c>
      <c r="K928" t="s">
        <v>307</v>
      </c>
      <c r="L928" t="s">
        <v>34</v>
      </c>
    </row>
    <row r="929" spans="1:12" x14ac:dyDescent="0.25">
      <c r="A929" t="s">
        <v>11</v>
      </c>
      <c r="B929">
        <v>123</v>
      </c>
      <c r="C929" t="s">
        <v>27</v>
      </c>
      <c r="D929">
        <v>1</v>
      </c>
      <c r="E929" t="s">
        <v>95</v>
      </c>
      <c r="F929">
        <v>22</v>
      </c>
      <c r="G929" t="s">
        <v>372</v>
      </c>
      <c r="H929">
        <v>20</v>
      </c>
      <c r="I929" t="s">
        <v>57</v>
      </c>
      <c r="J929" t="s">
        <v>289</v>
      </c>
      <c r="K929" t="s">
        <v>309</v>
      </c>
      <c r="L929" t="s">
        <v>34</v>
      </c>
    </row>
    <row r="930" spans="1:12" x14ac:dyDescent="0.25">
      <c r="A930" t="s">
        <v>11</v>
      </c>
      <c r="B930">
        <v>124</v>
      </c>
      <c r="C930" t="s">
        <v>27</v>
      </c>
      <c r="D930">
        <v>2</v>
      </c>
      <c r="E930" t="s">
        <v>95</v>
      </c>
      <c r="F930">
        <v>1</v>
      </c>
      <c r="G930" t="s">
        <v>372</v>
      </c>
      <c r="H930">
        <v>0</v>
      </c>
      <c r="I930" t="s">
        <v>57</v>
      </c>
      <c r="J930" t="s">
        <v>289</v>
      </c>
      <c r="K930" t="s">
        <v>309</v>
      </c>
      <c r="L930" t="s">
        <v>34</v>
      </c>
    </row>
    <row r="931" spans="1:12" x14ac:dyDescent="0.25">
      <c r="A931" t="s">
        <v>11</v>
      </c>
      <c r="B931">
        <v>125</v>
      </c>
      <c r="C931" t="s">
        <v>27</v>
      </c>
      <c r="D931">
        <v>3</v>
      </c>
      <c r="E931" t="s">
        <v>95</v>
      </c>
      <c r="G931" t="s">
        <v>372</v>
      </c>
      <c r="I931" t="s">
        <v>57</v>
      </c>
      <c r="J931" t="s">
        <v>289</v>
      </c>
      <c r="K931" t="s">
        <v>309</v>
      </c>
      <c r="L931" t="s">
        <v>34</v>
      </c>
    </row>
    <row r="932" spans="1:12" x14ac:dyDescent="0.25">
      <c r="A932" t="s">
        <v>11</v>
      </c>
      <c r="B932">
        <v>129</v>
      </c>
      <c r="C932" t="s">
        <v>12</v>
      </c>
      <c r="D932">
        <v>1</v>
      </c>
      <c r="E932" t="s">
        <v>14</v>
      </c>
      <c r="F932">
        <v>0</v>
      </c>
      <c r="G932" t="s">
        <v>372</v>
      </c>
      <c r="H932">
        <v>1</v>
      </c>
      <c r="I932" t="s">
        <v>96</v>
      </c>
      <c r="J932" t="s">
        <v>300</v>
      </c>
      <c r="K932" t="s">
        <v>231</v>
      </c>
      <c r="L932" t="s">
        <v>47</v>
      </c>
    </row>
    <row r="933" spans="1:12" x14ac:dyDescent="0.25">
      <c r="A933" t="s">
        <v>11</v>
      </c>
      <c r="B933">
        <v>130</v>
      </c>
      <c r="C933" t="s">
        <v>12</v>
      </c>
      <c r="D933">
        <v>2</v>
      </c>
      <c r="E933" t="s">
        <v>14</v>
      </c>
      <c r="F933">
        <v>0</v>
      </c>
      <c r="G933" t="s">
        <v>372</v>
      </c>
      <c r="H933">
        <v>1</v>
      </c>
      <c r="I933" t="s">
        <v>96</v>
      </c>
      <c r="J933" t="s">
        <v>300</v>
      </c>
      <c r="K933" t="s">
        <v>231</v>
      </c>
      <c r="L933" t="s">
        <v>47</v>
      </c>
    </row>
    <row r="934" spans="1:12" x14ac:dyDescent="0.25">
      <c r="A934" t="s">
        <v>11</v>
      </c>
      <c r="B934">
        <v>131</v>
      </c>
      <c r="C934" t="s">
        <v>12</v>
      </c>
      <c r="D934">
        <v>3</v>
      </c>
      <c r="E934" t="s">
        <v>14</v>
      </c>
      <c r="G934" t="s">
        <v>372</v>
      </c>
      <c r="I934" t="s">
        <v>96</v>
      </c>
      <c r="J934" t="s">
        <v>300</v>
      </c>
      <c r="K934" t="s">
        <v>231</v>
      </c>
      <c r="L934" t="s">
        <v>47</v>
      </c>
    </row>
    <row r="935" spans="1:12" x14ac:dyDescent="0.25">
      <c r="A935" t="s">
        <v>11</v>
      </c>
      <c r="B935">
        <v>132</v>
      </c>
      <c r="C935" t="s">
        <v>18</v>
      </c>
      <c r="D935">
        <v>1</v>
      </c>
      <c r="E935" t="s">
        <v>14</v>
      </c>
      <c r="F935">
        <v>0</v>
      </c>
      <c r="G935" t="s">
        <v>372</v>
      </c>
      <c r="H935">
        <v>1</v>
      </c>
      <c r="I935" t="s">
        <v>96</v>
      </c>
      <c r="J935" t="s">
        <v>302</v>
      </c>
      <c r="K935" t="s">
        <v>236</v>
      </c>
      <c r="L935" t="s">
        <v>47</v>
      </c>
    </row>
    <row r="936" spans="1:12" x14ac:dyDescent="0.25">
      <c r="A936" t="s">
        <v>11</v>
      </c>
      <c r="B936">
        <v>133</v>
      </c>
      <c r="C936" t="s">
        <v>18</v>
      </c>
      <c r="D936">
        <v>2</v>
      </c>
      <c r="E936" t="s">
        <v>14</v>
      </c>
      <c r="F936">
        <v>0</v>
      </c>
      <c r="G936" t="s">
        <v>372</v>
      </c>
      <c r="H936">
        <v>1</v>
      </c>
      <c r="I936" t="s">
        <v>96</v>
      </c>
      <c r="J936" t="s">
        <v>302</v>
      </c>
      <c r="K936" t="s">
        <v>236</v>
      </c>
      <c r="L936" t="s">
        <v>47</v>
      </c>
    </row>
    <row r="937" spans="1:12" x14ac:dyDescent="0.25">
      <c r="A937" t="s">
        <v>11</v>
      </c>
      <c r="B937">
        <v>134</v>
      </c>
      <c r="C937" t="s">
        <v>18</v>
      </c>
      <c r="D937">
        <v>3</v>
      </c>
      <c r="E937" t="s">
        <v>14</v>
      </c>
      <c r="G937" t="s">
        <v>372</v>
      </c>
      <c r="I937" t="s">
        <v>96</v>
      </c>
      <c r="J937" t="s">
        <v>302</v>
      </c>
      <c r="K937" t="s">
        <v>236</v>
      </c>
      <c r="L937" t="s">
        <v>47</v>
      </c>
    </row>
    <row r="938" spans="1:12" x14ac:dyDescent="0.25">
      <c r="A938" t="s">
        <v>11</v>
      </c>
      <c r="B938">
        <v>135</v>
      </c>
      <c r="C938" t="s">
        <v>21</v>
      </c>
      <c r="D938">
        <v>1</v>
      </c>
      <c r="E938" t="s">
        <v>14</v>
      </c>
      <c r="G938" t="s">
        <v>372</v>
      </c>
      <c r="I938" t="s">
        <v>96</v>
      </c>
      <c r="J938" t="s">
        <v>304</v>
      </c>
      <c r="K938" t="s">
        <v>241</v>
      </c>
      <c r="L938" t="s">
        <v>47</v>
      </c>
    </row>
    <row r="939" spans="1:12" x14ac:dyDescent="0.25">
      <c r="A939" t="s">
        <v>11</v>
      </c>
      <c r="B939">
        <v>136</v>
      </c>
      <c r="C939" t="s">
        <v>21</v>
      </c>
      <c r="D939">
        <v>2</v>
      </c>
      <c r="E939" t="s">
        <v>14</v>
      </c>
      <c r="G939" t="s">
        <v>372</v>
      </c>
      <c r="I939" t="s">
        <v>96</v>
      </c>
      <c r="J939" t="s">
        <v>304</v>
      </c>
      <c r="K939" t="s">
        <v>241</v>
      </c>
      <c r="L939" t="s">
        <v>47</v>
      </c>
    </row>
    <row r="940" spans="1:12" x14ac:dyDescent="0.25">
      <c r="A940" t="s">
        <v>11</v>
      </c>
      <c r="B940">
        <v>137</v>
      </c>
      <c r="C940" t="s">
        <v>21</v>
      </c>
      <c r="D940">
        <v>3</v>
      </c>
      <c r="E940" t="s">
        <v>14</v>
      </c>
      <c r="G940" t="s">
        <v>372</v>
      </c>
      <c r="I940" t="s">
        <v>96</v>
      </c>
      <c r="J940" t="s">
        <v>304</v>
      </c>
      <c r="K940" t="s">
        <v>241</v>
      </c>
      <c r="L940" t="s">
        <v>47</v>
      </c>
    </row>
    <row r="941" spans="1:12" x14ac:dyDescent="0.25">
      <c r="A941" t="s">
        <v>11</v>
      </c>
      <c r="B941">
        <v>138</v>
      </c>
      <c r="C941" t="s">
        <v>24</v>
      </c>
      <c r="D941">
        <v>1</v>
      </c>
      <c r="E941" t="s">
        <v>14</v>
      </c>
      <c r="G941" t="s">
        <v>372</v>
      </c>
      <c r="I941" t="s">
        <v>96</v>
      </c>
      <c r="J941" t="s">
        <v>306</v>
      </c>
      <c r="K941" t="s">
        <v>246</v>
      </c>
      <c r="L941" t="s">
        <v>47</v>
      </c>
    </row>
    <row r="942" spans="1:12" x14ac:dyDescent="0.25">
      <c r="A942" t="s">
        <v>11</v>
      </c>
      <c r="B942">
        <v>139</v>
      </c>
      <c r="C942" t="s">
        <v>24</v>
      </c>
      <c r="D942">
        <v>2</v>
      </c>
      <c r="E942" t="s">
        <v>14</v>
      </c>
      <c r="G942" t="s">
        <v>372</v>
      </c>
      <c r="I942" t="s">
        <v>96</v>
      </c>
      <c r="J942" t="s">
        <v>306</v>
      </c>
      <c r="K942" t="s">
        <v>246</v>
      </c>
      <c r="L942" t="s">
        <v>47</v>
      </c>
    </row>
    <row r="943" spans="1:12" x14ac:dyDescent="0.25">
      <c r="A943" t="s">
        <v>11</v>
      </c>
      <c r="B943">
        <v>140</v>
      </c>
      <c r="C943" t="s">
        <v>24</v>
      </c>
      <c r="D943">
        <v>3</v>
      </c>
      <c r="E943" t="s">
        <v>14</v>
      </c>
      <c r="G943" t="s">
        <v>372</v>
      </c>
      <c r="I943" t="s">
        <v>96</v>
      </c>
      <c r="J943" t="s">
        <v>306</v>
      </c>
      <c r="K943" t="s">
        <v>246</v>
      </c>
      <c r="L943" t="s">
        <v>47</v>
      </c>
    </row>
    <row r="944" spans="1:12" x14ac:dyDescent="0.25">
      <c r="A944" t="s">
        <v>11</v>
      </c>
      <c r="B944">
        <v>141</v>
      </c>
      <c r="C944" t="s">
        <v>27</v>
      </c>
      <c r="D944">
        <v>1</v>
      </c>
      <c r="E944" t="s">
        <v>14</v>
      </c>
      <c r="G944" t="s">
        <v>372</v>
      </c>
      <c r="I944" t="s">
        <v>96</v>
      </c>
      <c r="J944" t="s">
        <v>308</v>
      </c>
      <c r="K944" t="s">
        <v>251</v>
      </c>
      <c r="L944" t="s">
        <v>47</v>
      </c>
    </row>
    <row r="945" spans="1:12" x14ac:dyDescent="0.25">
      <c r="A945" t="s">
        <v>11</v>
      </c>
      <c r="B945">
        <v>142</v>
      </c>
      <c r="C945" t="s">
        <v>27</v>
      </c>
      <c r="D945">
        <v>2</v>
      </c>
      <c r="E945" t="s">
        <v>14</v>
      </c>
      <c r="G945" t="s">
        <v>372</v>
      </c>
      <c r="I945" t="s">
        <v>96</v>
      </c>
      <c r="J945" t="s">
        <v>308</v>
      </c>
      <c r="K945" t="s">
        <v>251</v>
      </c>
      <c r="L945" t="s">
        <v>47</v>
      </c>
    </row>
    <row r="946" spans="1:12" x14ac:dyDescent="0.25">
      <c r="A946" t="s">
        <v>11</v>
      </c>
      <c r="B946">
        <v>143</v>
      </c>
      <c r="C946" t="s">
        <v>27</v>
      </c>
      <c r="D946">
        <v>3</v>
      </c>
      <c r="E946" t="s">
        <v>14</v>
      </c>
      <c r="G946" t="s">
        <v>372</v>
      </c>
      <c r="I946" t="s">
        <v>96</v>
      </c>
      <c r="J946" t="s">
        <v>308</v>
      </c>
      <c r="K946" t="s">
        <v>251</v>
      </c>
      <c r="L946" t="s">
        <v>47</v>
      </c>
    </row>
    <row r="947" spans="1:12" x14ac:dyDescent="0.25">
      <c r="A947" t="s">
        <v>11</v>
      </c>
      <c r="B947">
        <v>147</v>
      </c>
      <c r="C947" t="s">
        <v>12</v>
      </c>
      <c r="D947">
        <v>1</v>
      </c>
      <c r="E947" t="s">
        <v>82</v>
      </c>
      <c r="F947">
        <v>0</v>
      </c>
      <c r="G947" t="s">
        <v>372</v>
      </c>
      <c r="H947">
        <v>1</v>
      </c>
      <c r="I947" t="s">
        <v>44</v>
      </c>
      <c r="J947" t="s">
        <v>316</v>
      </c>
      <c r="K947" t="s">
        <v>317</v>
      </c>
      <c r="L947" t="s">
        <v>60</v>
      </c>
    </row>
    <row r="948" spans="1:12" x14ac:dyDescent="0.25">
      <c r="A948" t="s">
        <v>11</v>
      </c>
      <c r="B948">
        <v>148</v>
      </c>
      <c r="C948" t="s">
        <v>12</v>
      </c>
      <c r="D948">
        <v>2</v>
      </c>
      <c r="E948" t="s">
        <v>82</v>
      </c>
      <c r="F948">
        <v>0</v>
      </c>
      <c r="G948" t="s">
        <v>372</v>
      </c>
      <c r="H948">
        <v>1</v>
      </c>
      <c r="I948" t="s">
        <v>44</v>
      </c>
      <c r="J948" t="s">
        <v>316</v>
      </c>
      <c r="K948" t="s">
        <v>317</v>
      </c>
      <c r="L948" t="s">
        <v>60</v>
      </c>
    </row>
    <row r="949" spans="1:12" x14ac:dyDescent="0.25">
      <c r="A949" t="s">
        <v>11</v>
      </c>
      <c r="B949">
        <v>149</v>
      </c>
      <c r="C949" t="s">
        <v>12</v>
      </c>
      <c r="D949">
        <v>3</v>
      </c>
      <c r="E949" t="s">
        <v>82</v>
      </c>
      <c r="G949" t="s">
        <v>372</v>
      </c>
      <c r="I949" t="s">
        <v>44</v>
      </c>
      <c r="J949" t="s">
        <v>316</v>
      </c>
      <c r="K949" t="s">
        <v>317</v>
      </c>
      <c r="L949" t="s">
        <v>60</v>
      </c>
    </row>
    <row r="950" spans="1:12" x14ac:dyDescent="0.25">
      <c r="A950" t="s">
        <v>11</v>
      </c>
      <c r="B950">
        <v>150</v>
      </c>
      <c r="C950" t="s">
        <v>18</v>
      </c>
      <c r="D950">
        <v>1</v>
      </c>
      <c r="E950" t="s">
        <v>82</v>
      </c>
      <c r="F950">
        <v>22</v>
      </c>
      <c r="G950" t="s">
        <v>372</v>
      </c>
      <c r="H950">
        <v>20</v>
      </c>
      <c r="I950" t="s">
        <v>44</v>
      </c>
      <c r="J950" t="s">
        <v>321</v>
      </c>
      <c r="K950" t="s">
        <v>322</v>
      </c>
      <c r="L950" t="s">
        <v>60</v>
      </c>
    </row>
    <row r="951" spans="1:12" x14ac:dyDescent="0.25">
      <c r="A951" t="s">
        <v>11</v>
      </c>
      <c r="B951">
        <v>151</v>
      </c>
      <c r="C951" t="s">
        <v>18</v>
      </c>
      <c r="D951">
        <v>2</v>
      </c>
      <c r="E951" t="s">
        <v>82</v>
      </c>
      <c r="F951">
        <v>1</v>
      </c>
      <c r="G951" t="s">
        <v>372</v>
      </c>
      <c r="H951">
        <v>0</v>
      </c>
      <c r="I951" t="s">
        <v>44</v>
      </c>
      <c r="J951" t="s">
        <v>321</v>
      </c>
      <c r="K951" t="s">
        <v>322</v>
      </c>
      <c r="L951" t="s">
        <v>60</v>
      </c>
    </row>
    <row r="952" spans="1:12" x14ac:dyDescent="0.25">
      <c r="A952" t="s">
        <v>11</v>
      </c>
      <c r="B952">
        <v>152</v>
      </c>
      <c r="C952" t="s">
        <v>18</v>
      </c>
      <c r="D952">
        <v>3</v>
      </c>
      <c r="E952" t="s">
        <v>82</v>
      </c>
      <c r="G952" t="s">
        <v>372</v>
      </c>
      <c r="I952" t="s">
        <v>44</v>
      </c>
      <c r="J952" t="s">
        <v>321</v>
      </c>
      <c r="K952" t="s">
        <v>322</v>
      </c>
      <c r="L952" t="s">
        <v>60</v>
      </c>
    </row>
    <row r="953" spans="1:12" x14ac:dyDescent="0.25">
      <c r="A953" t="s">
        <v>11</v>
      </c>
      <c r="B953">
        <v>153</v>
      </c>
      <c r="C953" t="s">
        <v>21</v>
      </c>
      <c r="D953">
        <v>1</v>
      </c>
      <c r="E953" t="s">
        <v>82</v>
      </c>
      <c r="F953">
        <v>21</v>
      </c>
      <c r="G953" t="s">
        <v>372</v>
      </c>
      <c r="H953">
        <v>14</v>
      </c>
      <c r="I953" t="s">
        <v>44</v>
      </c>
      <c r="J953" t="s">
        <v>324</v>
      </c>
      <c r="K953" t="s">
        <v>327</v>
      </c>
      <c r="L953" t="s">
        <v>60</v>
      </c>
    </row>
    <row r="954" spans="1:12" x14ac:dyDescent="0.25">
      <c r="A954" t="s">
        <v>11</v>
      </c>
      <c r="B954">
        <v>154</v>
      </c>
      <c r="C954" t="s">
        <v>21</v>
      </c>
      <c r="D954">
        <v>2</v>
      </c>
      <c r="E954" t="s">
        <v>82</v>
      </c>
      <c r="F954">
        <v>1</v>
      </c>
      <c r="G954" t="s">
        <v>372</v>
      </c>
      <c r="H954">
        <v>0</v>
      </c>
      <c r="I954" t="s">
        <v>44</v>
      </c>
      <c r="J954" t="s">
        <v>324</v>
      </c>
      <c r="K954" t="s">
        <v>327</v>
      </c>
      <c r="L954" t="s">
        <v>60</v>
      </c>
    </row>
    <row r="955" spans="1:12" x14ac:dyDescent="0.25">
      <c r="A955" t="s">
        <v>11</v>
      </c>
      <c r="B955">
        <v>155</v>
      </c>
      <c r="C955" t="s">
        <v>21</v>
      </c>
      <c r="D955">
        <v>3</v>
      </c>
      <c r="E955" t="s">
        <v>82</v>
      </c>
      <c r="G955" t="s">
        <v>372</v>
      </c>
      <c r="I955" t="s">
        <v>44</v>
      </c>
      <c r="J955" t="s">
        <v>324</v>
      </c>
      <c r="K955" t="s">
        <v>327</v>
      </c>
      <c r="L955" t="s">
        <v>60</v>
      </c>
    </row>
    <row r="956" spans="1:12" x14ac:dyDescent="0.25">
      <c r="A956" t="s">
        <v>11</v>
      </c>
      <c r="B956">
        <v>156</v>
      </c>
      <c r="C956" t="s">
        <v>24</v>
      </c>
      <c r="D956">
        <v>1</v>
      </c>
      <c r="E956" t="s">
        <v>82</v>
      </c>
      <c r="F956">
        <v>19</v>
      </c>
      <c r="G956" t="s">
        <v>372</v>
      </c>
      <c r="H956">
        <v>21</v>
      </c>
      <c r="I956" t="s">
        <v>44</v>
      </c>
      <c r="J956" t="s">
        <v>329</v>
      </c>
      <c r="K956" t="s">
        <v>331</v>
      </c>
      <c r="L956" t="s">
        <v>60</v>
      </c>
    </row>
    <row r="957" spans="1:12" x14ac:dyDescent="0.25">
      <c r="A957" t="s">
        <v>11</v>
      </c>
      <c r="B957">
        <v>157</v>
      </c>
      <c r="C957" t="s">
        <v>24</v>
      </c>
      <c r="D957">
        <v>2</v>
      </c>
      <c r="E957" t="s">
        <v>82</v>
      </c>
      <c r="F957">
        <v>0</v>
      </c>
      <c r="G957" t="s">
        <v>372</v>
      </c>
      <c r="H957">
        <v>1</v>
      </c>
      <c r="I957" t="s">
        <v>44</v>
      </c>
      <c r="J957" t="s">
        <v>329</v>
      </c>
      <c r="K957" t="s">
        <v>331</v>
      </c>
      <c r="L957" t="s">
        <v>60</v>
      </c>
    </row>
    <row r="958" spans="1:12" x14ac:dyDescent="0.25">
      <c r="A958" t="s">
        <v>11</v>
      </c>
      <c r="B958">
        <v>158</v>
      </c>
      <c r="C958" t="s">
        <v>24</v>
      </c>
      <c r="D958">
        <v>3</v>
      </c>
      <c r="E958" t="s">
        <v>82</v>
      </c>
      <c r="G958" t="s">
        <v>372</v>
      </c>
      <c r="I958" t="s">
        <v>44</v>
      </c>
      <c r="J958" t="s">
        <v>329</v>
      </c>
      <c r="K958" t="s">
        <v>331</v>
      </c>
      <c r="L958" t="s">
        <v>60</v>
      </c>
    </row>
    <row r="959" spans="1:12" x14ac:dyDescent="0.25">
      <c r="A959" t="s">
        <v>11</v>
      </c>
      <c r="B959">
        <v>159</v>
      </c>
      <c r="C959" t="s">
        <v>27</v>
      </c>
      <c r="D959">
        <v>1</v>
      </c>
      <c r="E959" t="s">
        <v>82</v>
      </c>
      <c r="F959">
        <v>21</v>
      </c>
      <c r="G959" t="s">
        <v>372</v>
      </c>
      <c r="H959">
        <v>15</v>
      </c>
      <c r="I959" t="s">
        <v>44</v>
      </c>
      <c r="J959" t="s">
        <v>377</v>
      </c>
      <c r="K959" t="s">
        <v>334</v>
      </c>
      <c r="L959" t="s">
        <v>60</v>
      </c>
    </row>
    <row r="960" spans="1:12" x14ac:dyDescent="0.25">
      <c r="A960" t="s">
        <v>11</v>
      </c>
      <c r="B960">
        <v>160</v>
      </c>
      <c r="C960" t="s">
        <v>27</v>
      </c>
      <c r="D960">
        <v>2</v>
      </c>
      <c r="E960" t="s">
        <v>82</v>
      </c>
      <c r="F960">
        <v>1</v>
      </c>
      <c r="G960" t="s">
        <v>372</v>
      </c>
      <c r="H960">
        <v>0</v>
      </c>
      <c r="I960" t="s">
        <v>44</v>
      </c>
      <c r="J960" t="s">
        <v>377</v>
      </c>
      <c r="K960" t="s">
        <v>334</v>
      </c>
      <c r="L960" t="s">
        <v>60</v>
      </c>
    </row>
    <row r="961" spans="1:12" x14ac:dyDescent="0.25">
      <c r="A961" t="s">
        <v>11</v>
      </c>
      <c r="B961">
        <v>161</v>
      </c>
      <c r="C961" t="s">
        <v>27</v>
      </c>
      <c r="D961">
        <v>3</v>
      </c>
      <c r="E961" t="s">
        <v>82</v>
      </c>
      <c r="G961" t="s">
        <v>372</v>
      </c>
      <c r="I961" t="s">
        <v>44</v>
      </c>
      <c r="J961" t="s">
        <v>377</v>
      </c>
      <c r="K961" t="s">
        <v>334</v>
      </c>
      <c r="L961" t="s">
        <v>60</v>
      </c>
    </row>
    <row r="962" spans="1:12" x14ac:dyDescent="0.25">
      <c r="A962" t="s">
        <v>11</v>
      </c>
      <c r="B962">
        <v>165</v>
      </c>
      <c r="C962" t="s">
        <v>12</v>
      </c>
      <c r="D962">
        <v>1</v>
      </c>
      <c r="E962" t="s">
        <v>13</v>
      </c>
      <c r="F962">
        <v>15</v>
      </c>
      <c r="G962" t="s">
        <v>372</v>
      </c>
      <c r="H962">
        <v>21</v>
      </c>
      <c r="I962" t="s">
        <v>56</v>
      </c>
      <c r="J962" t="s">
        <v>335</v>
      </c>
      <c r="K962" t="s">
        <v>319</v>
      </c>
      <c r="L962" t="s">
        <v>73</v>
      </c>
    </row>
    <row r="963" spans="1:12" x14ac:dyDescent="0.25">
      <c r="A963" t="s">
        <v>11</v>
      </c>
      <c r="B963">
        <v>166</v>
      </c>
      <c r="C963" t="s">
        <v>12</v>
      </c>
      <c r="D963">
        <v>2</v>
      </c>
      <c r="E963" t="s">
        <v>13</v>
      </c>
      <c r="F963">
        <v>0</v>
      </c>
      <c r="G963" t="s">
        <v>372</v>
      </c>
      <c r="H963">
        <v>1</v>
      </c>
      <c r="I963" t="s">
        <v>56</v>
      </c>
      <c r="J963" t="s">
        <v>335</v>
      </c>
      <c r="K963" t="s">
        <v>319</v>
      </c>
      <c r="L963" t="s">
        <v>73</v>
      </c>
    </row>
    <row r="964" spans="1:12" x14ac:dyDescent="0.25">
      <c r="A964" t="s">
        <v>11</v>
      </c>
      <c r="B964">
        <v>167</v>
      </c>
      <c r="C964" t="s">
        <v>12</v>
      </c>
      <c r="D964">
        <v>3</v>
      </c>
      <c r="E964" t="s">
        <v>13</v>
      </c>
      <c r="G964" t="s">
        <v>372</v>
      </c>
      <c r="I964" t="s">
        <v>56</v>
      </c>
      <c r="J964" t="s">
        <v>335</v>
      </c>
      <c r="K964" t="s">
        <v>319</v>
      </c>
      <c r="L964" t="s">
        <v>73</v>
      </c>
    </row>
    <row r="965" spans="1:12" x14ac:dyDescent="0.25">
      <c r="A965" t="s">
        <v>11</v>
      </c>
      <c r="B965">
        <v>168</v>
      </c>
      <c r="C965" t="s">
        <v>18</v>
      </c>
      <c r="D965">
        <v>1</v>
      </c>
      <c r="E965" t="s">
        <v>13</v>
      </c>
      <c r="F965">
        <v>20</v>
      </c>
      <c r="G965" t="s">
        <v>372</v>
      </c>
      <c r="H965">
        <v>22</v>
      </c>
      <c r="I965" t="s">
        <v>56</v>
      </c>
      <c r="J965" t="s">
        <v>337</v>
      </c>
      <c r="K965" t="s">
        <v>323</v>
      </c>
      <c r="L965" t="s">
        <v>73</v>
      </c>
    </row>
    <row r="966" spans="1:12" x14ac:dyDescent="0.25">
      <c r="A966" t="s">
        <v>11</v>
      </c>
      <c r="B966">
        <v>169</v>
      </c>
      <c r="C966" t="s">
        <v>18</v>
      </c>
      <c r="D966">
        <v>2</v>
      </c>
      <c r="E966" t="s">
        <v>13</v>
      </c>
      <c r="F966">
        <v>0</v>
      </c>
      <c r="G966" t="s">
        <v>372</v>
      </c>
      <c r="H966">
        <v>1</v>
      </c>
      <c r="I966" t="s">
        <v>56</v>
      </c>
      <c r="J966" t="s">
        <v>337</v>
      </c>
      <c r="K966" t="s">
        <v>323</v>
      </c>
      <c r="L966" t="s">
        <v>73</v>
      </c>
    </row>
    <row r="967" spans="1:12" x14ac:dyDescent="0.25">
      <c r="A967" t="s">
        <v>11</v>
      </c>
      <c r="B967">
        <v>170</v>
      </c>
      <c r="C967" t="s">
        <v>18</v>
      </c>
      <c r="D967">
        <v>3</v>
      </c>
      <c r="E967" t="s">
        <v>13</v>
      </c>
      <c r="G967" t="s">
        <v>372</v>
      </c>
      <c r="I967" t="s">
        <v>56</v>
      </c>
      <c r="J967" t="s">
        <v>337</v>
      </c>
      <c r="K967" t="s">
        <v>323</v>
      </c>
      <c r="L967" t="s">
        <v>73</v>
      </c>
    </row>
    <row r="968" spans="1:12" x14ac:dyDescent="0.25">
      <c r="A968" t="s">
        <v>11</v>
      </c>
      <c r="B968">
        <v>171</v>
      </c>
      <c r="C968" t="s">
        <v>21</v>
      </c>
      <c r="D968">
        <v>1</v>
      </c>
      <c r="E968" t="s">
        <v>13</v>
      </c>
      <c r="F968">
        <v>0</v>
      </c>
      <c r="G968" t="s">
        <v>372</v>
      </c>
      <c r="H968">
        <v>1</v>
      </c>
      <c r="I968" t="s">
        <v>56</v>
      </c>
      <c r="J968" t="s">
        <v>339</v>
      </c>
      <c r="K968" t="s">
        <v>325</v>
      </c>
      <c r="L968" t="s">
        <v>73</v>
      </c>
    </row>
    <row r="969" spans="1:12" x14ac:dyDescent="0.25">
      <c r="A969" t="s">
        <v>11</v>
      </c>
      <c r="B969">
        <v>172</v>
      </c>
      <c r="C969" t="s">
        <v>21</v>
      </c>
      <c r="D969">
        <v>2</v>
      </c>
      <c r="E969" t="s">
        <v>13</v>
      </c>
      <c r="F969">
        <v>0</v>
      </c>
      <c r="G969" t="s">
        <v>372</v>
      </c>
      <c r="H969">
        <v>1</v>
      </c>
      <c r="I969" t="s">
        <v>56</v>
      </c>
      <c r="J969" t="s">
        <v>339</v>
      </c>
      <c r="K969" t="s">
        <v>325</v>
      </c>
      <c r="L969" t="s">
        <v>73</v>
      </c>
    </row>
    <row r="970" spans="1:12" x14ac:dyDescent="0.25">
      <c r="A970" t="s">
        <v>11</v>
      </c>
      <c r="B970">
        <v>173</v>
      </c>
      <c r="C970" t="s">
        <v>21</v>
      </c>
      <c r="D970">
        <v>3</v>
      </c>
      <c r="E970" t="s">
        <v>13</v>
      </c>
      <c r="G970" t="s">
        <v>372</v>
      </c>
      <c r="I970" t="s">
        <v>56</v>
      </c>
      <c r="J970" t="s">
        <v>339</v>
      </c>
      <c r="K970" t="s">
        <v>325</v>
      </c>
      <c r="L970" t="s">
        <v>73</v>
      </c>
    </row>
    <row r="971" spans="1:12" x14ac:dyDescent="0.25">
      <c r="A971" t="s">
        <v>11</v>
      </c>
      <c r="B971">
        <v>174</v>
      </c>
      <c r="C971" t="s">
        <v>24</v>
      </c>
      <c r="D971">
        <v>1</v>
      </c>
      <c r="E971" t="s">
        <v>13</v>
      </c>
      <c r="F971">
        <v>21</v>
      </c>
      <c r="G971" t="s">
        <v>372</v>
      </c>
      <c r="H971">
        <v>15</v>
      </c>
      <c r="I971" t="s">
        <v>56</v>
      </c>
      <c r="J971" t="s">
        <v>341</v>
      </c>
      <c r="K971" t="s">
        <v>330</v>
      </c>
      <c r="L971" t="s">
        <v>73</v>
      </c>
    </row>
    <row r="972" spans="1:12" x14ac:dyDescent="0.25">
      <c r="A972" t="s">
        <v>11</v>
      </c>
      <c r="B972">
        <v>175</v>
      </c>
      <c r="C972" t="s">
        <v>24</v>
      </c>
      <c r="D972">
        <v>2</v>
      </c>
      <c r="E972" t="s">
        <v>13</v>
      </c>
      <c r="F972">
        <v>1</v>
      </c>
      <c r="G972" t="s">
        <v>372</v>
      </c>
      <c r="H972">
        <v>0</v>
      </c>
      <c r="I972" t="s">
        <v>56</v>
      </c>
      <c r="J972" t="s">
        <v>341</v>
      </c>
      <c r="K972" t="s">
        <v>330</v>
      </c>
      <c r="L972" t="s">
        <v>73</v>
      </c>
    </row>
    <row r="973" spans="1:12" x14ac:dyDescent="0.25">
      <c r="A973" t="s">
        <v>11</v>
      </c>
      <c r="B973">
        <v>176</v>
      </c>
      <c r="C973" t="s">
        <v>24</v>
      </c>
      <c r="D973">
        <v>3</v>
      </c>
      <c r="E973" t="s">
        <v>13</v>
      </c>
      <c r="G973" t="s">
        <v>372</v>
      </c>
      <c r="I973" t="s">
        <v>56</v>
      </c>
      <c r="J973" t="s">
        <v>341</v>
      </c>
      <c r="K973" t="s">
        <v>330</v>
      </c>
      <c r="L973" t="s">
        <v>73</v>
      </c>
    </row>
    <row r="974" spans="1:12" x14ac:dyDescent="0.25">
      <c r="A974" t="s">
        <v>11</v>
      </c>
      <c r="B974">
        <v>177</v>
      </c>
      <c r="C974" t="s">
        <v>27</v>
      </c>
      <c r="D974">
        <v>1</v>
      </c>
      <c r="E974" t="s">
        <v>13</v>
      </c>
      <c r="F974">
        <v>17</v>
      </c>
      <c r="G974" t="s">
        <v>372</v>
      </c>
      <c r="H974">
        <v>21</v>
      </c>
      <c r="I974" t="s">
        <v>56</v>
      </c>
      <c r="J974" t="s">
        <v>343</v>
      </c>
      <c r="K974" t="s">
        <v>333</v>
      </c>
      <c r="L974" t="s">
        <v>73</v>
      </c>
    </row>
    <row r="975" spans="1:12" x14ac:dyDescent="0.25">
      <c r="A975" t="s">
        <v>11</v>
      </c>
      <c r="B975">
        <v>178</v>
      </c>
      <c r="C975" t="s">
        <v>27</v>
      </c>
      <c r="D975">
        <v>2</v>
      </c>
      <c r="E975" t="s">
        <v>13</v>
      </c>
      <c r="F975">
        <v>0</v>
      </c>
      <c r="G975" t="s">
        <v>372</v>
      </c>
      <c r="H975">
        <v>1</v>
      </c>
      <c r="I975" t="s">
        <v>56</v>
      </c>
      <c r="J975" t="s">
        <v>343</v>
      </c>
      <c r="K975" t="s">
        <v>333</v>
      </c>
      <c r="L975" t="s">
        <v>73</v>
      </c>
    </row>
    <row r="976" spans="1:12" x14ac:dyDescent="0.25">
      <c r="A976" t="s">
        <v>11</v>
      </c>
      <c r="B976">
        <v>179</v>
      </c>
      <c r="C976" t="s">
        <v>27</v>
      </c>
      <c r="D976">
        <v>3</v>
      </c>
      <c r="E976" t="s">
        <v>13</v>
      </c>
      <c r="G976" t="s">
        <v>372</v>
      </c>
      <c r="I976" t="s">
        <v>56</v>
      </c>
      <c r="J976" t="s">
        <v>343</v>
      </c>
      <c r="K976" t="s">
        <v>333</v>
      </c>
      <c r="L976" t="s">
        <v>73</v>
      </c>
    </row>
    <row r="977" spans="1:12" x14ac:dyDescent="0.25">
      <c r="A977" t="s">
        <v>11</v>
      </c>
      <c r="B977">
        <v>183</v>
      </c>
      <c r="C977" t="s">
        <v>12</v>
      </c>
      <c r="D977">
        <v>1</v>
      </c>
      <c r="E977" t="s">
        <v>109</v>
      </c>
      <c r="F977">
        <v>21</v>
      </c>
      <c r="G977" t="s">
        <v>372</v>
      </c>
      <c r="H977">
        <v>17</v>
      </c>
      <c r="I977" t="s">
        <v>43</v>
      </c>
      <c r="J977" t="s">
        <v>346</v>
      </c>
      <c r="K977" t="s">
        <v>345</v>
      </c>
      <c r="L977" t="s">
        <v>86</v>
      </c>
    </row>
    <row r="978" spans="1:12" x14ac:dyDescent="0.25">
      <c r="A978" t="s">
        <v>11</v>
      </c>
      <c r="B978">
        <v>184</v>
      </c>
      <c r="C978" t="s">
        <v>12</v>
      </c>
      <c r="D978">
        <v>2</v>
      </c>
      <c r="E978" t="s">
        <v>109</v>
      </c>
      <c r="F978">
        <v>1</v>
      </c>
      <c r="G978" t="s">
        <v>372</v>
      </c>
      <c r="H978">
        <v>0</v>
      </c>
      <c r="I978" t="s">
        <v>43</v>
      </c>
      <c r="J978" t="s">
        <v>346</v>
      </c>
      <c r="K978" t="s">
        <v>345</v>
      </c>
      <c r="L978" t="s">
        <v>86</v>
      </c>
    </row>
    <row r="979" spans="1:12" x14ac:dyDescent="0.25">
      <c r="A979" t="s">
        <v>11</v>
      </c>
      <c r="B979">
        <v>185</v>
      </c>
      <c r="C979" t="s">
        <v>12</v>
      </c>
      <c r="D979">
        <v>3</v>
      </c>
      <c r="E979" t="s">
        <v>109</v>
      </c>
      <c r="G979" t="s">
        <v>372</v>
      </c>
      <c r="I979" t="s">
        <v>43</v>
      </c>
      <c r="J979" t="s">
        <v>346</v>
      </c>
      <c r="K979" t="s">
        <v>345</v>
      </c>
      <c r="L979" t="s">
        <v>86</v>
      </c>
    </row>
    <row r="980" spans="1:12" x14ac:dyDescent="0.25">
      <c r="A980" t="s">
        <v>11</v>
      </c>
      <c r="B980">
        <v>186</v>
      </c>
      <c r="C980" t="s">
        <v>18</v>
      </c>
      <c r="D980">
        <v>1</v>
      </c>
      <c r="E980" t="s">
        <v>109</v>
      </c>
      <c r="F980">
        <v>17</v>
      </c>
      <c r="G980" t="s">
        <v>372</v>
      </c>
      <c r="H980">
        <v>21</v>
      </c>
      <c r="I980" t="s">
        <v>43</v>
      </c>
      <c r="J980" t="s">
        <v>348</v>
      </c>
      <c r="K980" t="s">
        <v>347</v>
      </c>
      <c r="L980" t="s">
        <v>86</v>
      </c>
    </row>
    <row r="981" spans="1:12" x14ac:dyDescent="0.25">
      <c r="A981" t="s">
        <v>11</v>
      </c>
      <c r="B981">
        <v>187</v>
      </c>
      <c r="C981" t="s">
        <v>18</v>
      </c>
      <c r="D981">
        <v>2</v>
      </c>
      <c r="E981" t="s">
        <v>109</v>
      </c>
      <c r="F981">
        <v>0</v>
      </c>
      <c r="G981" t="s">
        <v>372</v>
      </c>
      <c r="H981">
        <v>1</v>
      </c>
      <c r="I981" t="s">
        <v>43</v>
      </c>
      <c r="J981" t="s">
        <v>348</v>
      </c>
      <c r="K981" t="s">
        <v>347</v>
      </c>
      <c r="L981" t="s">
        <v>86</v>
      </c>
    </row>
    <row r="982" spans="1:12" x14ac:dyDescent="0.25">
      <c r="A982" t="s">
        <v>11</v>
      </c>
      <c r="B982">
        <v>188</v>
      </c>
      <c r="C982" t="s">
        <v>18</v>
      </c>
      <c r="D982">
        <v>3</v>
      </c>
      <c r="E982" t="s">
        <v>109</v>
      </c>
      <c r="G982" t="s">
        <v>372</v>
      </c>
      <c r="I982" t="s">
        <v>43</v>
      </c>
      <c r="J982" t="s">
        <v>348</v>
      </c>
      <c r="K982" t="s">
        <v>347</v>
      </c>
      <c r="L982" t="s">
        <v>86</v>
      </c>
    </row>
    <row r="983" spans="1:12" x14ac:dyDescent="0.25">
      <c r="A983" t="s">
        <v>11</v>
      </c>
      <c r="B983">
        <v>189</v>
      </c>
      <c r="C983" t="s">
        <v>21</v>
      </c>
      <c r="D983">
        <v>1</v>
      </c>
      <c r="E983" t="s">
        <v>109</v>
      </c>
      <c r="F983">
        <v>21</v>
      </c>
      <c r="G983" t="s">
        <v>372</v>
      </c>
      <c r="H983">
        <v>18</v>
      </c>
      <c r="I983" t="s">
        <v>43</v>
      </c>
      <c r="J983" t="s">
        <v>350</v>
      </c>
      <c r="K983" t="s">
        <v>349</v>
      </c>
      <c r="L983" t="s">
        <v>86</v>
      </c>
    </row>
    <row r="984" spans="1:12" x14ac:dyDescent="0.25">
      <c r="A984" t="s">
        <v>11</v>
      </c>
      <c r="B984">
        <v>190</v>
      </c>
      <c r="C984" t="s">
        <v>21</v>
      </c>
      <c r="D984">
        <v>2</v>
      </c>
      <c r="E984" t="s">
        <v>109</v>
      </c>
      <c r="F984">
        <v>1</v>
      </c>
      <c r="G984" t="s">
        <v>372</v>
      </c>
      <c r="H984">
        <v>0</v>
      </c>
      <c r="I984" t="s">
        <v>43</v>
      </c>
      <c r="J984" t="s">
        <v>350</v>
      </c>
      <c r="K984" t="s">
        <v>349</v>
      </c>
      <c r="L984" t="s">
        <v>86</v>
      </c>
    </row>
    <row r="985" spans="1:12" x14ac:dyDescent="0.25">
      <c r="A985" t="s">
        <v>11</v>
      </c>
      <c r="B985">
        <v>191</v>
      </c>
      <c r="C985" t="s">
        <v>21</v>
      </c>
      <c r="D985">
        <v>3</v>
      </c>
      <c r="E985" t="s">
        <v>109</v>
      </c>
      <c r="G985" t="s">
        <v>372</v>
      </c>
      <c r="I985" t="s">
        <v>43</v>
      </c>
      <c r="J985" t="s">
        <v>350</v>
      </c>
      <c r="K985" t="s">
        <v>349</v>
      </c>
      <c r="L985" t="s">
        <v>86</v>
      </c>
    </row>
    <row r="986" spans="1:12" x14ac:dyDescent="0.25">
      <c r="A986" t="s">
        <v>11</v>
      </c>
      <c r="B986">
        <v>192</v>
      </c>
      <c r="C986" t="s">
        <v>24</v>
      </c>
      <c r="D986">
        <v>1</v>
      </c>
      <c r="E986" t="s">
        <v>109</v>
      </c>
      <c r="F986">
        <v>17</v>
      </c>
      <c r="G986" t="s">
        <v>372</v>
      </c>
      <c r="H986">
        <v>21</v>
      </c>
      <c r="I986" t="s">
        <v>43</v>
      </c>
      <c r="J986" t="s">
        <v>352</v>
      </c>
      <c r="K986" t="s">
        <v>351</v>
      </c>
      <c r="L986" t="s">
        <v>86</v>
      </c>
    </row>
    <row r="987" spans="1:12" x14ac:dyDescent="0.25">
      <c r="A987" t="s">
        <v>11</v>
      </c>
      <c r="B987">
        <v>193</v>
      </c>
      <c r="C987" t="s">
        <v>24</v>
      </c>
      <c r="D987">
        <v>2</v>
      </c>
      <c r="E987" t="s">
        <v>109</v>
      </c>
      <c r="F987">
        <v>0</v>
      </c>
      <c r="G987" t="s">
        <v>372</v>
      </c>
      <c r="H987">
        <v>1</v>
      </c>
      <c r="I987" t="s">
        <v>43</v>
      </c>
      <c r="J987" t="s">
        <v>352</v>
      </c>
      <c r="K987" t="s">
        <v>351</v>
      </c>
      <c r="L987" t="s">
        <v>86</v>
      </c>
    </row>
    <row r="988" spans="1:12" x14ac:dyDescent="0.25">
      <c r="A988" t="s">
        <v>11</v>
      </c>
      <c r="B988">
        <v>194</v>
      </c>
      <c r="C988" t="s">
        <v>24</v>
      </c>
      <c r="D988">
        <v>3</v>
      </c>
      <c r="E988" t="s">
        <v>109</v>
      </c>
      <c r="G988" t="s">
        <v>372</v>
      </c>
      <c r="I988" t="s">
        <v>43</v>
      </c>
      <c r="J988" t="s">
        <v>352</v>
      </c>
      <c r="K988" t="s">
        <v>351</v>
      </c>
      <c r="L988" t="s">
        <v>86</v>
      </c>
    </row>
    <row r="989" spans="1:12" x14ac:dyDescent="0.25">
      <c r="A989" t="s">
        <v>11</v>
      </c>
      <c r="B989">
        <v>195</v>
      </c>
      <c r="C989" t="s">
        <v>27</v>
      </c>
      <c r="D989">
        <v>1</v>
      </c>
      <c r="E989" t="s">
        <v>109</v>
      </c>
      <c r="F989">
        <v>1</v>
      </c>
      <c r="G989" t="s">
        <v>372</v>
      </c>
      <c r="H989">
        <v>0</v>
      </c>
      <c r="I989" t="s">
        <v>43</v>
      </c>
      <c r="J989" t="s">
        <v>353</v>
      </c>
      <c r="L989" t="s">
        <v>86</v>
      </c>
    </row>
    <row r="990" spans="1:12" x14ac:dyDescent="0.25">
      <c r="A990" t="s">
        <v>11</v>
      </c>
      <c r="B990">
        <v>196</v>
      </c>
      <c r="C990" t="s">
        <v>27</v>
      </c>
      <c r="D990">
        <v>2</v>
      </c>
      <c r="E990" t="s">
        <v>109</v>
      </c>
      <c r="F990">
        <v>1</v>
      </c>
      <c r="G990" t="s">
        <v>372</v>
      </c>
      <c r="H990">
        <v>0</v>
      </c>
      <c r="I990" t="s">
        <v>43</v>
      </c>
      <c r="J990" t="s">
        <v>353</v>
      </c>
      <c r="L990" t="s">
        <v>86</v>
      </c>
    </row>
    <row r="991" spans="1:12" x14ac:dyDescent="0.25">
      <c r="A991" t="s">
        <v>11</v>
      </c>
      <c r="B991">
        <v>197</v>
      </c>
      <c r="C991" t="s">
        <v>27</v>
      </c>
      <c r="D991">
        <v>3</v>
      </c>
      <c r="E991" t="s">
        <v>109</v>
      </c>
      <c r="G991" t="s">
        <v>372</v>
      </c>
      <c r="I991" t="s">
        <v>43</v>
      </c>
      <c r="J991" t="s">
        <v>353</v>
      </c>
      <c r="L991" t="s">
        <v>86</v>
      </c>
    </row>
    <row r="992" spans="1:12" x14ac:dyDescent="0.25">
      <c r="A992" t="s">
        <v>11</v>
      </c>
      <c r="B992">
        <v>201</v>
      </c>
      <c r="C992" t="s">
        <v>12</v>
      </c>
      <c r="D992">
        <v>1</v>
      </c>
      <c r="E992" t="s">
        <v>83</v>
      </c>
      <c r="F992">
        <v>21</v>
      </c>
      <c r="G992" t="s">
        <v>372</v>
      </c>
      <c r="H992">
        <v>10</v>
      </c>
      <c r="I992" t="s">
        <v>134</v>
      </c>
      <c r="J992" t="s">
        <v>336</v>
      </c>
      <c r="K992" t="s">
        <v>318</v>
      </c>
      <c r="L992" t="s">
        <v>99</v>
      </c>
    </row>
    <row r="993" spans="1:12" x14ac:dyDescent="0.25">
      <c r="A993" t="s">
        <v>11</v>
      </c>
      <c r="B993">
        <v>202</v>
      </c>
      <c r="C993" t="s">
        <v>12</v>
      </c>
      <c r="D993">
        <v>2</v>
      </c>
      <c r="E993" t="s">
        <v>83</v>
      </c>
      <c r="F993">
        <v>1</v>
      </c>
      <c r="G993" t="s">
        <v>372</v>
      </c>
      <c r="H993">
        <v>0</v>
      </c>
      <c r="I993" t="s">
        <v>134</v>
      </c>
      <c r="J993" t="s">
        <v>336</v>
      </c>
      <c r="K993" t="s">
        <v>318</v>
      </c>
      <c r="L993" t="s">
        <v>99</v>
      </c>
    </row>
    <row r="994" spans="1:12" x14ac:dyDescent="0.25">
      <c r="A994" t="s">
        <v>11</v>
      </c>
      <c r="B994">
        <v>203</v>
      </c>
      <c r="C994" t="s">
        <v>12</v>
      </c>
      <c r="D994">
        <v>3</v>
      </c>
      <c r="E994" t="s">
        <v>83</v>
      </c>
      <c r="G994" t="s">
        <v>372</v>
      </c>
      <c r="I994" t="s">
        <v>134</v>
      </c>
      <c r="J994" t="s">
        <v>336</v>
      </c>
      <c r="K994" t="s">
        <v>318</v>
      </c>
      <c r="L994" t="s">
        <v>99</v>
      </c>
    </row>
    <row r="995" spans="1:12" x14ac:dyDescent="0.25">
      <c r="A995" t="s">
        <v>11</v>
      </c>
      <c r="B995">
        <v>204</v>
      </c>
      <c r="C995" t="s">
        <v>18</v>
      </c>
      <c r="D995">
        <v>1</v>
      </c>
      <c r="E995" t="s">
        <v>83</v>
      </c>
      <c r="F995">
        <v>21</v>
      </c>
      <c r="G995" t="s">
        <v>372</v>
      </c>
      <c r="H995">
        <v>19</v>
      </c>
      <c r="I995" t="s">
        <v>134</v>
      </c>
      <c r="J995" t="s">
        <v>338</v>
      </c>
      <c r="K995" t="s">
        <v>320</v>
      </c>
      <c r="L995" t="s">
        <v>99</v>
      </c>
    </row>
    <row r="996" spans="1:12" x14ac:dyDescent="0.25">
      <c r="A996" t="s">
        <v>11</v>
      </c>
      <c r="B996">
        <v>205</v>
      </c>
      <c r="C996" t="s">
        <v>18</v>
      </c>
      <c r="D996">
        <v>2</v>
      </c>
      <c r="E996" t="s">
        <v>83</v>
      </c>
      <c r="F996">
        <v>1</v>
      </c>
      <c r="G996" t="s">
        <v>372</v>
      </c>
      <c r="H996">
        <v>0</v>
      </c>
      <c r="I996" t="s">
        <v>134</v>
      </c>
      <c r="J996" t="s">
        <v>338</v>
      </c>
      <c r="K996" t="s">
        <v>320</v>
      </c>
      <c r="L996" t="s">
        <v>99</v>
      </c>
    </row>
    <row r="997" spans="1:12" x14ac:dyDescent="0.25">
      <c r="A997" t="s">
        <v>11</v>
      </c>
      <c r="B997">
        <v>206</v>
      </c>
      <c r="C997" t="s">
        <v>18</v>
      </c>
      <c r="D997">
        <v>3</v>
      </c>
      <c r="E997" t="s">
        <v>83</v>
      </c>
      <c r="G997" t="s">
        <v>372</v>
      </c>
      <c r="I997" t="s">
        <v>134</v>
      </c>
      <c r="J997" t="s">
        <v>338</v>
      </c>
      <c r="K997" t="s">
        <v>320</v>
      </c>
      <c r="L997" t="s">
        <v>99</v>
      </c>
    </row>
    <row r="998" spans="1:12" x14ac:dyDescent="0.25">
      <c r="A998" t="s">
        <v>11</v>
      </c>
      <c r="B998">
        <v>207</v>
      </c>
      <c r="C998" t="s">
        <v>21</v>
      </c>
      <c r="D998">
        <v>1</v>
      </c>
      <c r="E998" t="s">
        <v>83</v>
      </c>
      <c r="F998">
        <v>9</v>
      </c>
      <c r="G998" t="s">
        <v>372</v>
      </c>
      <c r="H998">
        <v>21</v>
      </c>
      <c r="I998" t="s">
        <v>134</v>
      </c>
      <c r="J998" t="s">
        <v>340</v>
      </c>
      <c r="K998" t="s">
        <v>326</v>
      </c>
      <c r="L998" t="s">
        <v>99</v>
      </c>
    </row>
    <row r="999" spans="1:12" x14ac:dyDescent="0.25">
      <c r="A999" t="s">
        <v>11</v>
      </c>
      <c r="B999">
        <v>208</v>
      </c>
      <c r="C999" t="s">
        <v>21</v>
      </c>
      <c r="D999">
        <v>2</v>
      </c>
      <c r="E999" t="s">
        <v>83</v>
      </c>
      <c r="F999">
        <v>0</v>
      </c>
      <c r="G999" t="s">
        <v>372</v>
      </c>
      <c r="H999">
        <v>1</v>
      </c>
      <c r="I999" t="s">
        <v>134</v>
      </c>
      <c r="J999" t="s">
        <v>340</v>
      </c>
      <c r="K999" t="s">
        <v>326</v>
      </c>
      <c r="L999" t="s">
        <v>99</v>
      </c>
    </row>
    <row r="1000" spans="1:12" x14ac:dyDescent="0.25">
      <c r="A1000" t="s">
        <v>11</v>
      </c>
      <c r="B1000">
        <v>209</v>
      </c>
      <c r="C1000" t="s">
        <v>21</v>
      </c>
      <c r="D1000">
        <v>3</v>
      </c>
      <c r="E1000" t="s">
        <v>83</v>
      </c>
      <c r="G1000" t="s">
        <v>372</v>
      </c>
      <c r="I1000" t="s">
        <v>134</v>
      </c>
      <c r="J1000" t="s">
        <v>340</v>
      </c>
      <c r="K1000" t="s">
        <v>326</v>
      </c>
      <c r="L1000" t="s">
        <v>99</v>
      </c>
    </row>
    <row r="1001" spans="1:12" x14ac:dyDescent="0.25">
      <c r="A1001" t="s">
        <v>11</v>
      </c>
      <c r="B1001">
        <v>210</v>
      </c>
      <c r="C1001" t="s">
        <v>24</v>
      </c>
      <c r="D1001">
        <v>1</v>
      </c>
      <c r="E1001" t="s">
        <v>83</v>
      </c>
      <c r="F1001">
        <v>21</v>
      </c>
      <c r="G1001" t="s">
        <v>372</v>
      </c>
      <c r="H1001">
        <v>6</v>
      </c>
      <c r="I1001" t="s">
        <v>134</v>
      </c>
      <c r="J1001" t="s">
        <v>342</v>
      </c>
      <c r="K1001" t="s">
        <v>328</v>
      </c>
      <c r="L1001" t="s">
        <v>99</v>
      </c>
    </row>
    <row r="1002" spans="1:12" x14ac:dyDescent="0.25">
      <c r="A1002" t="s">
        <v>11</v>
      </c>
      <c r="B1002">
        <v>211</v>
      </c>
      <c r="C1002" t="s">
        <v>24</v>
      </c>
      <c r="D1002">
        <v>2</v>
      </c>
      <c r="E1002" t="s">
        <v>83</v>
      </c>
      <c r="F1002">
        <v>1</v>
      </c>
      <c r="G1002" t="s">
        <v>372</v>
      </c>
      <c r="H1002">
        <v>0</v>
      </c>
      <c r="I1002" t="s">
        <v>134</v>
      </c>
      <c r="J1002" t="s">
        <v>342</v>
      </c>
      <c r="K1002" t="s">
        <v>328</v>
      </c>
      <c r="L1002" t="s">
        <v>99</v>
      </c>
    </row>
    <row r="1003" spans="1:12" x14ac:dyDescent="0.25">
      <c r="A1003" t="s">
        <v>11</v>
      </c>
      <c r="B1003">
        <v>212</v>
      </c>
      <c r="C1003" t="s">
        <v>24</v>
      </c>
      <c r="D1003">
        <v>3</v>
      </c>
      <c r="E1003" t="s">
        <v>83</v>
      </c>
      <c r="G1003" t="s">
        <v>372</v>
      </c>
      <c r="I1003" t="s">
        <v>134</v>
      </c>
      <c r="J1003" t="s">
        <v>342</v>
      </c>
      <c r="K1003" t="s">
        <v>328</v>
      </c>
      <c r="L1003" t="s">
        <v>99</v>
      </c>
    </row>
    <row r="1004" spans="1:12" x14ac:dyDescent="0.25">
      <c r="A1004" t="s">
        <v>11</v>
      </c>
      <c r="B1004">
        <v>213</v>
      </c>
      <c r="C1004" t="s">
        <v>27</v>
      </c>
      <c r="D1004">
        <v>1</v>
      </c>
      <c r="E1004" t="s">
        <v>83</v>
      </c>
      <c r="F1004">
        <v>1</v>
      </c>
      <c r="G1004" t="s">
        <v>372</v>
      </c>
      <c r="H1004">
        <v>0</v>
      </c>
      <c r="I1004" t="s">
        <v>134</v>
      </c>
      <c r="J1004" t="s">
        <v>344</v>
      </c>
      <c r="L1004" t="s">
        <v>99</v>
      </c>
    </row>
    <row r="1005" spans="1:12" x14ac:dyDescent="0.25">
      <c r="A1005" t="s">
        <v>11</v>
      </c>
      <c r="B1005">
        <v>214</v>
      </c>
      <c r="C1005" t="s">
        <v>27</v>
      </c>
      <c r="D1005">
        <v>2</v>
      </c>
      <c r="E1005" t="s">
        <v>83</v>
      </c>
      <c r="F1005">
        <v>1</v>
      </c>
      <c r="G1005" t="s">
        <v>372</v>
      </c>
      <c r="H1005">
        <v>0</v>
      </c>
      <c r="I1005" t="s">
        <v>134</v>
      </c>
      <c r="J1005" t="s">
        <v>344</v>
      </c>
      <c r="L1005" t="s">
        <v>99</v>
      </c>
    </row>
    <row r="1006" spans="1:12" x14ac:dyDescent="0.25">
      <c r="A1006" t="s">
        <v>11</v>
      </c>
      <c r="B1006">
        <v>215</v>
      </c>
      <c r="C1006" t="s">
        <v>27</v>
      </c>
      <c r="D1006">
        <v>3</v>
      </c>
      <c r="E1006" t="s">
        <v>83</v>
      </c>
      <c r="G1006" t="s">
        <v>372</v>
      </c>
      <c r="I1006" t="s">
        <v>134</v>
      </c>
      <c r="J1006" t="s">
        <v>344</v>
      </c>
      <c r="L1006" t="s">
        <v>99</v>
      </c>
    </row>
    <row r="1007" spans="1:12" x14ac:dyDescent="0.25">
      <c r="A1007" t="s">
        <v>11</v>
      </c>
      <c r="B1007">
        <v>219</v>
      </c>
      <c r="C1007" t="s">
        <v>12</v>
      </c>
      <c r="D1007">
        <v>1</v>
      </c>
      <c r="E1007" t="s">
        <v>108</v>
      </c>
      <c r="F1007">
        <v>0</v>
      </c>
      <c r="G1007" t="s">
        <v>372</v>
      </c>
      <c r="H1007">
        <v>1</v>
      </c>
      <c r="I1007" t="s">
        <v>69</v>
      </c>
      <c r="J1007" t="s">
        <v>313</v>
      </c>
      <c r="K1007" t="s">
        <v>310</v>
      </c>
      <c r="L1007" t="s">
        <v>112</v>
      </c>
    </row>
    <row r="1008" spans="1:12" x14ac:dyDescent="0.25">
      <c r="A1008" t="s">
        <v>11</v>
      </c>
      <c r="B1008">
        <v>220</v>
      </c>
      <c r="C1008" t="s">
        <v>12</v>
      </c>
      <c r="D1008">
        <v>2</v>
      </c>
      <c r="E1008" t="s">
        <v>108</v>
      </c>
      <c r="F1008">
        <v>0</v>
      </c>
      <c r="G1008" t="s">
        <v>372</v>
      </c>
      <c r="H1008">
        <v>1</v>
      </c>
      <c r="I1008" t="s">
        <v>69</v>
      </c>
      <c r="J1008" t="s">
        <v>313</v>
      </c>
      <c r="K1008" t="s">
        <v>310</v>
      </c>
      <c r="L1008" t="s">
        <v>112</v>
      </c>
    </row>
    <row r="1009" spans="1:12" x14ac:dyDescent="0.25">
      <c r="A1009" t="s">
        <v>11</v>
      </c>
      <c r="B1009">
        <v>221</v>
      </c>
      <c r="C1009" t="s">
        <v>12</v>
      </c>
      <c r="D1009">
        <v>3</v>
      </c>
      <c r="E1009" t="s">
        <v>108</v>
      </c>
      <c r="G1009" t="s">
        <v>372</v>
      </c>
      <c r="I1009" t="s">
        <v>69</v>
      </c>
      <c r="J1009" t="s">
        <v>313</v>
      </c>
      <c r="K1009" t="s">
        <v>310</v>
      </c>
      <c r="L1009" t="s">
        <v>112</v>
      </c>
    </row>
    <row r="1010" spans="1:12" x14ac:dyDescent="0.25">
      <c r="A1010" t="s">
        <v>11</v>
      </c>
      <c r="B1010">
        <v>222</v>
      </c>
      <c r="C1010" t="s">
        <v>18</v>
      </c>
      <c r="D1010">
        <v>1</v>
      </c>
      <c r="E1010" t="s">
        <v>108</v>
      </c>
      <c r="F1010">
        <v>0</v>
      </c>
      <c r="G1010" t="s">
        <v>372</v>
      </c>
      <c r="H1010">
        <v>1</v>
      </c>
      <c r="I1010" t="s">
        <v>69</v>
      </c>
      <c r="J1010" t="s">
        <v>314</v>
      </c>
      <c r="K1010" t="s">
        <v>311</v>
      </c>
      <c r="L1010" t="s">
        <v>112</v>
      </c>
    </row>
    <row r="1011" spans="1:12" x14ac:dyDescent="0.25">
      <c r="A1011" t="s">
        <v>11</v>
      </c>
      <c r="B1011">
        <v>223</v>
      </c>
      <c r="C1011" t="s">
        <v>18</v>
      </c>
      <c r="D1011">
        <v>2</v>
      </c>
      <c r="E1011" t="s">
        <v>108</v>
      </c>
      <c r="F1011">
        <v>0</v>
      </c>
      <c r="G1011" t="s">
        <v>372</v>
      </c>
      <c r="H1011">
        <v>1</v>
      </c>
      <c r="I1011" t="s">
        <v>69</v>
      </c>
      <c r="J1011" t="s">
        <v>314</v>
      </c>
      <c r="K1011" t="s">
        <v>311</v>
      </c>
      <c r="L1011" t="s">
        <v>112</v>
      </c>
    </row>
    <row r="1012" spans="1:12" x14ac:dyDescent="0.25">
      <c r="A1012" t="s">
        <v>11</v>
      </c>
      <c r="B1012">
        <v>224</v>
      </c>
      <c r="C1012" t="s">
        <v>18</v>
      </c>
      <c r="D1012">
        <v>3</v>
      </c>
      <c r="E1012" t="s">
        <v>108</v>
      </c>
      <c r="G1012" t="s">
        <v>372</v>
      </c>
      <c r="I1012" t="s">
        <v>69</v>
      </c>
      <c r="J1012" t="s">
        <v>314</v>
      </c>
      <c r="K1012" t="s">
        <v>311</v>
      </c>
      <c r="L1012" t="s">
        <v>112</v>
      </c>
    </row>
    <row r="1013" spans="1:12" x14ac:dyDescent="0.25">
      <c r="A1013" t="s">
        <v>11</v>
      </c>
      <c r="B1013">
        <v>225</v>
      </c>
      <c r="C1013" t="s">
        <v>21</v>
      </c>
      <c r="D1013">
        <v>1</v>
      </c>
      <c r="E1013" t="s">
        <v>108</v>
      </c>
      <c r="F1013">
        <v>1</v>
      </c>
      <c r="G1013" t="s">
        <v>372</v>
      </c>
      <c r="H1013">
        <v>0</v>
      </c>
      <c r="I1013" t="s">
        <v>69</v>
      </c>
      <c r="J1013" t="s">
        <v>315</v>
      </c>
      <c r="K1013" t="s">
        <v>312</v>
      </c>
      <c r="L1013" t="s">
        <v>112</v>
      </c>
    </row>
    <row r="1014" spans="1:12" x14ac:dyDescent="0.25">
      <c r="A1014" t="s">
        <v>11</v>
      </c>
      <c r="B1014">
        <v>226</v>
      </c>
      <c r="C1014" t="s">
        <v>21</v>
      </c>
      <c r="D1014">
        <v>2</v>
      </c>
      <c r="E1014" t="s">
        <v>108</v>
      </c>
      <c r="F1014">
        <v>1</v>
      </c>
      <c r="G1014" t="s">
        <v>372</v>
      </c>
      <c r="H1014">
        <v>0</v>
      </c>
      <c r="I1014" t="s">
        <v>69</v>
      </c>
      <c r="J1014" t="s">
        <v>315</v>
      </c>
      <c r="K1014" t="s">
        <v>312</v>
      </c>
      <c r="L1014" t="s">
        <v>112</v>
      </c>
    </row>
    <row r="1015" spans="1:12" x14ac:dyDescent="0.25">
      <c r="A1015" t="s">
        <v>11</v>
      </c>
      <c r="B1015">
        <v>227</v>
      </c>
      <c r="C1015" t="s">
        <v>21</v>
      </c>
      <c r="D1015">
        <v>3</v>
      </c>
      <c r="E1015" t="s">
        <v>108</v>
      </c>
      <c r="G1015" t="s">
        <v>372</v>
      </c>
      <c r="I1015" t="s">
        <v>69</v>
      </c>
      <c r="J1015" t="s">
        <v>315</v>
      </c>
      <c r="K1015" t="s">
        <v>312</v>
      </c>
      <c r="L101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Women</vt:lpstr>
      <vt:lpstr>Men</vt:lpstr>
      <vt:lpstr>Full</vt:lpstr>
      <vt:lpstr>Updates</vt:lpstr>
      <vt:lpstr>Men 5-9</vt:lpstr>
      <vt:lpstr>Women 5-9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Grazi - federico.grazi@studio.unibo.it</cp:lastModifiedBy>
  <dcterms:modified xsi:type="dcterms:W3CDTF">2025-10-21T10:10:53Z</dcterms:modified>
</cp:coreProperties>
</file>